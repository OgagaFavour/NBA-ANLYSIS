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D&amp;D\"/>
    </mc:Choice>
  </mc:AlternateContent>
  <xr:revisionPtr revIDLastSave="0" documentId="13_ncr:1_{FFA65A61-4E4B-48B7-888B-8599ADA0B214}" xr6:coauthVersionLast="47" xr6:coauthVersionMax="47" xr10:uidLastSave="{00000000-0000-0000-0000-000000000000}"/>
  <bookViews>
    <workbookView xWindow="-120" yWindow="-120" windowWidth="20730" windowHeight="11040" activeTab="1" xr2:uid="{5BAA5188-1FAB-4261-B60F-CCEE1AA9212B}"/>
  </bookViews>
  <sheets>
    <sheet name="NBA_Dictionary" sheetId="3" r:id="rId1"/>
    <sheet name="NBA_Draft" sheetId="2" r:id="rId2"/>
    <sheet name="Executive Summary" sheetId="5" r:id="rId3"/>
    <sheet name="Analysis" sheetId="1" r:id="rId4"/>
    <sheet name="Dashboard" sheetId="4" r:id="rId5"/>
  </sheets>
  <definedNames>
    <definedName name="ExternalData_1" localSheetId="0" hidden="1">NBA_Dictionary!$A$1:$B$24</definedName>
    <definedName name="ExternalData_1" localSheetId="1" hidden="1">NBA_Draft!$A$1:$V$1620</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5" i="1" l="1"/>
  <c r="V4" i="1"/>
  <c r="V3" i="1"/>
  <c r="S5" i="1"/>
  <c r="S4" i="1"/>
  <c r="S3" i="1"/>
  <c r="P4" i="1"/>
  <c r="P3" i="1"/>
  <c r="W96" i="2"/>
  <c r="W17" i="2"/>
  <c r="W211" i="2"/>
  <c r="W232" i="2"/>
  <c r="W95" i="2"/>
  <c r="W548" i="2"/>
  <c r="W346" i="2"/>
  <c r="W1048" i="2"/>
  <c r="W563" i="2"/>
  <c r="W646" i="2"/>
  <c r="W260" i="2"/>
  <c r="W890" i="2"/>
  <c r="W286" i="2"/>
  <c r="W858" i="2"/>
  <c r="W1177" i="2"/>
  <c r="W276" i="2"/>
  <c r="W991" i="2"/>
  <c r="W633" i="2"/>
  <c r="W299" i="2"/>
  <c r="W801" i="2"/>
  <c r="W536" i="2"/>
  <c r="W987" i="2"/>
  <c r="W695" i="2"/>
  <c r="W1042" i="2"/>
  <c r="W825" i="2"/>
  <c r="W1186" i="2"/>
  <c r="W144" i="2"/>
  <c r="W1440" i="2"/>
  <c r="W168" i="2"/>
  <c r="W657" i="2"/>
  <c r="W765" i="2"/>
  <c r="W1127" i="2"/>
  <c r="W1371" i="2"/>
  <c r="W1154" i="2"/>
  <c r="W649" i="2"/>
  <c r="W1038" i="2"/>
  <c r="W817" i="2"/>
  <c r="W671" i="2"/>
  <c r="W1158" i="2"/>
  <c r="W305" i="2"/>
  <c r="W1412" i="2"/>
  <c r="W726" i="2"/>
  <c r="W470" i="2"/>
  <c r="W986" i="2"/>
  <c r="W191" i="2"/>
  <c r="W863" i="2"/>
  <c r="W584" i="2"/>
  <c r="W206" i="2"/>
  <c r="W1478" i="2"/>
  <c r="W653" i="2"/>
  <c r="W1572" i="2"/>
  <c r="W843" i="2"/>
  <c r="W124" i="2"/>
  <c r="W145" i="2"/>
  <c r="W285" i="2"/>
  <c r="W120" i="2"/>
  <c r="W84" i="2"/>
  <c r="W675" i="2"/>
  <c r="W485" i="2"/>
  <c r="W769" i="2"/>
  <c r="W237" i="2"/>
  <c r="W452" i="2"/>
  <c r="W161" i="2"/>
  <c r="W377" i="2"/>
  <c r="W205" i="2"/>
  <c r="W1328" i="2"/>
  <c r="W723" i="2"/>
  <c r="W274" i="2"/>
  <c r="W648" i="2"/>
  <c r="W1114" i="2"/>
  <c r="W867" i="2"/>
  <c r="W1351" i="2"/>
  <c r="W401" i="2"/>
  <c r="W1198" i="2"/>
  <c r="W644" i="2"/>
  <c r="W195" i="2"/>
  <c r="W1157" i="2"/>
  <c r="W656" i="2"/>
  <c r="W1174" i="2"/>
  <c r="W1334" i="2"/>
  <c r="W575" i="2"/>
  <c r="W1581" i="2"/>
  <c r="W876" i="2"/>
  <c r="W1568" i="2"/>
  <c r="W887" i="2"/>
  <c r="W1115" i="2"/>
  <c r="W540" i="2"/>
  <c r="W1159" i="2"/>
  <c r="W688" i="2"/>
  <c r="W1144" i="2"/>
  <c r="W1426" i="2"/>
  <c r="W397" i="2"/>
  <c r="W892" i="2"/>
  <c r="W556" i="2"/>
  <c r="W973" i="2"/>
  <c r="W865" i="2"/>
  <c r="W5" i="2"/>
  <c r="W66" i="2"/>
  <c r="W131" i="2"/>
  <c r="W99" i="2"/>
  <c r="W265" i="2"/>
  <c r="W165" i="2"/>
  <c r="W215" i="2"/>
  <c r="W338" i="2"/>
  <c r="W154" i="2"/>
  <c r="W579" i="2"/>
  <c r="W253" i="2"/>
  <c r="W745" i="2"/>
  <c r="W333" i="2"/>
  <c r="W420" i="2"/>
  <c r="W234" i="2"/>
  <c r="W1143" i="2"/>
  <c r="W181" i="2"/>
  <c r="W334" i="2"/>
  <c r="W533" i="2"/>
  <c r="W369" i="2"/>
  <c r="W438" i="2"/>
  <c r="W520" i="2"/>
  <c r="W647" i="2"/>
  <c r="W41" i="2"/>
  <c r="W928" i="2"/>
  <c r="W1249" i="2"/>
  <c r="W951" i="2"/>
  <c r="W1078" i="2"/>
  <c r="W166" i="2"/>
  <c r="W441" i="2"/>
  <c r="W1373" i="2"/>
  <c r="W658" i="2"/>
  <c r="W1383" i="2"/>
  <c r="W880" i="2"/>
  <c r="W1060" i="2"/>
  <c r="W1250" i="2"/>
  <c r="W1432" i="2"/>
  <c r="W1453" i="2"/>
  <c r="W1110" i="2"/>
  <c r="W511" i="2"/>
  <c r="W409" i="2"/>
  <c r="W915" i="2"/>
  <c r="W1001" i="2"/>
  <c r="W1369" i="2"/>
  <c r="W1377" i="2"/>
  <c r="W1335" i="2"/>
  <c r="W1284" i="2"/>
  <c r="W1595" i="2"/>
  <c r="W38" i="2"/>
  <c r="W300" i="2"/>
  <c r="W151" i="2"/>
  <c r="W122" i="2"/>
  <c r="W177" i="2"/>
  <c r="W244" i="2"/>
  <c r="W901" i="2"/>
  <c r="W118" i="2"/>
  <c r="W174" i="2"/>
  <c r="W238" i="2"/>
  <c r="W61" i="2"/>
  <c r="W403" i="2"/>
  <c r="W566" i="2"/>
  <c r="W1433" i="2"/>
  <c r="W1253" i="2"/>
  <c r="W803" i="2"/>
  <c r="W921" i="2"/>
  <c r="W1528" i="2"/>
  <c r="W911" i="2"/>
  <c r="W634" i="2"/>
  <c r="W607" i="2"/>
  <c r="W315" i="2"/>
  <c r="W535" i="2"/>
  <c r="W51" i="2"/>
  <c r="W682" i="2"/>
  <c r="W1549" i="2"/>
  <c r="W1492" i="2"/>
  <c r="W351" i="2"/>
  <c r="W591" i="2"/>
  <c r="W1431" i="2"/>
  <c r="W1484" i="2"/>
  <c r="W1049" i="2"/>
  <c r="W1409" i="2"/>
  <c r="W1596" i="2"/>
  <c r="W100" i="2"/>
  <c r="W1278" i="2"/>
  <c r="W1522" i="2"/>
  <c r="W1309" i="2"/>
  <c r="W302" i="2"/>
  <c r="W1441" i="2"/>
  <c r="W509" i="2"/>
  <c r="W1554" i="2"/>
  <c r="W1265" i="2"/>
  <c r="W68" i="2"/>
  <c r="W32" i="2"/>
  <c r="W39" i="2"/>
  <c r="W148" i="2"/>
  <c r="W45" i="2"/>
  <c r="W721" i="2"/>
  <c r="W222" i="2"/>
  <c r="W241" i="2"/>
  <c r="W712" i="2"/>
  <c r="W70" i="2"/>
  <c r="W696" i="2"/>
  <c r="W701" i="2"/>
  <c r="W88" i="2"/>
  <c r="W1229" i="2"/>
  <c r="W337" i="2"/>
  <c r="W955" i="2"/>
  <c r="W345" i="2"/>
  <c r="W1098" i="2"/>
  <c r="W881" i="2"/>
  <c r="W1263" i="2"/>
  <c r="W840" i="2"/>
  <c r="W1124" i="2"/>
  <c r="W227" i="2"/>
  <c r="W606" i="2"/>
  <c r="W730" i="2"/>
  <c r="W493" i="2"/>
  <c r="W975" i="2"/>
  <c r="W1160" i="2"/>
  <c r="W402" i="2"/>
  <c r="W894" i="2"/>
  <c r="W978" i="2"/>
  <c r="W1547" i="2"/>
  <c r="W650" i="2"/>
  <c r="W1111" i="2"/>
  <c r="W1084" i="2"/>
  <c r="W1065" i="2"/>
  <c r="W1533" i="2"/>
  <c r="W1268" i="2"/>
  <c r="W1298" i="2"/>
  <c r="W301" i="2"/>
  <c r="W1165" i="2"/>
  <c r="W1600" i="2"/>
  <c r="W716" i="2"/>
  <c r="W774" i="2"/>
  <c r="W856" i="2"/>
  <c r="W130" i="2"/>
  <c r="W107" i="2"/>
  <c r="W42" i="2"/>
  <c r="W46" i="2"/>
  <c r="W9" i="2"/>
  <c r="W422" i="2"/>
  <c r="W119" i="2"/>
  <c r="W945" i="2"/>
  <c r="W1029" i="2"/>
  <c r="W194" i="2"/>
  <c r="W463" i="2"/>
  <c r="W714" i="2"/>
  <c r="W188" i="2"/>
  <c r="W363" i="2"/>
  <c r="W212" i="2"/>
  <c r="W405" i="2"/>
  <c r="W362" i="2"/>
  <c r="W349" i="2"/>
  <c r="W1343" i="2"/>
  <c r="W547" i="2"/>
  <c r="W35" i="2"/>
  <c r="W1089" i="2"/>
  <c r="W383" i="2"/>
  <c r="W1021" i="2"/>
  <c r="W1152" i="2"/>
  <c r="W1386" i="2"/>
  <c r="W1203" i="2"/>
  <c r="W532" i="2"/>
  <c r="W771" i="2"/>
  <c r="W1336" i="2"/>
  <c r="W1366" i="2"/>
  <c r="W1365" i="2"/>
  <c r="W1269" i="2"/>
  <c r="W619" i="2"/>
  <c r="W1191" i="2"/>
  <c r="W981" i="2"/>
  <c r="W1503" i="2"/>
  <c r="W1183" i="2"/>
  <c r="W1470" i="2"/>
  <c r="W1405" i="2"/>
  <c r="W350" i="2"/>
  <c r="W760" i="2"/>
  <c r="W860" i="2"/>
  <c r="W1155" i="2"/>
  <c r="W1389" i="2"/>
  <c r="W599" i="2"/>
  <c r="W1608" i="2"/>
  <c r="W719" i="2"/>
  <c r="W1569" i="2"/>
  <c r="W827" i="2"/>
  <c r="W13" i="2"/>
  <c r="W184" i="2"/>
  <c r="W54" i="2"/>
  <c r="W43" i="2"/>
  <c r="W12" i="2"/>
  <c r="W50" i="2"/>
  <c r="W321" i="2"/>
  <c r="W278" i="2"/>
  <c r="W672" i="2"/>
  <c r="W271" i="2"/>
  <c r="W952" i="2"/>
  <c r="W491" i="2"/>
  <c r="W3" i="2"/>
  <c r="W81" i="2"/>
  <c r="W34" i="2"/>
  <c r="W419" i="2"/>
  <c r="W86" i="2"/>
  <c r="W603" i="2"/>
  <c r="W588" i="2"/>
  <c r="W137" i="2"/>
  <c r="W1463" i="2"/>
  <c r="W1018" i="2"/>
  <c r="W1444" i="2"/>
  <c r="W149" i="2"/>
  <c r="W1128" i="2"/>
  <c r="W500" i="2"/>
  <c r="W1135" i="2"/>
  <c r="W1213" i="2"/>
  <c r="W857" i="2"/>
  <c r="W394" i="2"/>
  <c r="W1131" i="2"/>
  <c r="W685" i="2"/>
  <c r="W382" i="2"/>
  <c r="W1410" i="2"/>
  <c r="W1496" i="2"/>
  <c r="W971" i="2"/>
  <c r="W1436" i="2"/>
  <c r="W415" i="2"/>
  <c r="W1384" i="2"/>
  <c r="W930" i="2"/>
  <c r="W1251" i="2"/>
  <c r="W1146" i="2"/>
  <c r="W1192" i="2"/>
  <c r="W1534" i="2"/>
  <c r="W390" i="2"/>
  <c r="W1246" i="2"/>
  <c r="W1330" i="2"/>
  <c r="W7" i="2"/>
  <c r="W186" i="2"/>
  <c r="W48" i="2"/>
  <c r="W306" i="2"/>
  <c r="W406" i="2"/>
  <c r="W339" i="2"/>
  <c r="W175" i="2"/>
  <c r="W596" i="2"/>
  <c r="W30" i="2"/>
  <c r="W521" i="2"/>
  <c r="W740" i="2"/>
  <c r="W456" i="2"/>
  <c r="W269" i="2"/>
  <c r="W340" i="2"/>
  <c r="W598" i="2"/>
  <c r="W389" i="2"/>
  <c r="W1212" i="2"/>
  <c r="W958" i="2"/>
  <c r="W691" i="2"/>
  <c r="W1499" i="2"/>
  <c r="W455" i="2"/>
  <c r="W1137" i="2"/>
  <c r="W270" i="2"/>
  <c r="W1132" i="2"/>
  <c r="W1053" i="2"/>
  <c r="W989" i="2"/>
  <c r="W537" i="2"/>
  <c r="W1337" i="2"/>
  <c r="W1347" i="2"/>
  <c r="W1450" i="2"/>
  <c r="W1360" i="2"/>
  <c r="W1339" i="2"/>
  <c r="W1471" i="2"/>
  <c r="W1427" i="2"/>
  <c r="W565" i="2"/>
  <c r="W1201" i="2"/>
  <c r="W459" i="2"/>
  <c r="W1507" i="2"/>
  <c r="W94" i="2"/>
  <c r="W734" i="2"/>
  <c r="W1425" i="2"/>
  <c r="W992" i="2"/>
  <c r="W480" i="2"/>
  <c r="W697" i="2"/>
  <c r="W779" i="2"/>
  <c r="W1205" i="2"/>
  <c r="W423" i="2"/>
  <c r="W481" i="2"/>
  <c r="W59" i="2"/>
  <c r="W357" i="2"/>
  <c r="W22" i="2"/>
  <c r="W10" i="2"/>
  <c r="W710" i="2"/>
  <c r="W223" i="2"/>
  <c r="W157" i="2"/>
  <c r="W4" i="2"/>
  <c r="W8" i="2"/>
  <c r="W279" i="2"/>
  <c r="W608" i="2"/>
  <c r="W609" i="2"/>
  <c r="W559" i="2"/>
  <c r="W255" i="2"/>
  <c r="W891" i="2"/>
  <c r="W374" i="2"/>
  <c r="W1489" i="2"/>
  <c r="W490" i="2"/>
  <c r="W957" i="2"/>
  <c r="W164" i="2"/>
  <c r="W612" i="2"/>
  <c r="W439" i="2"/>
  <c r="W829" i="2"/>
  <c r="W87" i="2"/>
  <c r="W1194" i="2"/>
  <c r="W885" i="2"/>
  <c r="W953" i="2"/>
  <c r="W347" i="2"/>
  <c r="W1121" i="2"/>
  <c r="W289" i="2"/>
  <c r="W52" i="2"/>
  <c r="W871" i="2"/>
  <c r="W732" i="2"/>
  <c r="W1288" i="2"/>
  <c r="W805" i="2"/>
  <c r="W1601" i="2"/>
  <c r="W1582" i="2"/>
  <c r="W298" i="2"/>
  <c r="W1555" i="2"/>
  <c r="W115" i="2"/>
  <c r="W1602" i="2"/>
  <c r="W725" i="2"/>
  <c r="W1027" i="2"/>
  <c r="W1225" i="2"/>
  <c r="W1348" i="2"/>
  <c r="W1589" i="2"/>
  <c r="W1374" i="2"/>
  <c r="W1292" i="2"/>
  <c r="W1215" i="2"/>
  <c r="W611" i="2"/>
  <c r="W1179" i="2"/>
  <c r="W854" i="2"/>
  <c r="W1375" i="2"/>
  <c r="W1459" i="2"/>
  <c r="W1190" i="2"/>
  <c r="W40" i="2"/>
  <c r="W155" i="2"/>
  <c r="W83" i="2"/>
  <c r="W98" i="2"/>
  <c r="W828" i="2"/>
  <c r="W187" i="2"/>
  <c r="W49" i="2"/>
  <c r="W44" i="2"/>
  <c r="W31" i="2"/>
  <c r="W28" i="2"/>
  <c r="W1019" i="2"/>
  <c r="W1508" i="2"/>
  <c r="W90" i="2"/>
  <c r="W1133" i="2"/>
  <c r="W92" i="2"/>
  <c r="W1109" i="2"/>
  <c r="W263" i="2"/>
  <c r="W1050" i="2"/>
  <c r="W669" i="2"/>
  <c r="W507" i="2"/>
  <c r="W344" i="2"/>
  <c r="W530" i="2"/>
  <c r="W176" i="2"/>
  <c r="W1419" i="2"/>
  <c r="W842" i="2"/>
  <c r="W550" i="2"/>
  <c r="W735" i="2"/>
  <c r="W1490" i="2"/>
  <c r="W1479" i="2"/>
  <c r="W993" i="2"/>
  <c r="W1232" i="2"/>
  <c r="W1113" i="2"/>
  <c r="W873" i="2"/>
  <c r="W1034" i="2"/>
  <c r="W1066" i="2"/>
  <c r="W1097" i="2"/>
  <c r="W1573" i="2"/>
  <c r="W516" i="2"/>
  <c r="W761" i="2"/>
  <c r="W636" i="2"/>
  <c r="W1586" i="2"/>
  <c r="W844" i="2"/>
  <c r="W1488" i="2"/>
  <c r="W824" i="2"/>
  <c r="W1437" i="2"/>
  <c r="W72" i="2"/>
  <c r="W180" i="2"/>
  <c r="W450" i="2"/>
  <c r="W453" i="2"/>
  <c r="W624" i="2"/>
  <c r="W138" i="2"/>
  <c r="W705" i="2"/>
  <c r="W558" i="2"/>
  <c r="W25" i="2"/>
  <c r="W681" i="2"/>
  <c r="W408" i="2"/>
  <c r="W1130" i="2"/>
  <c r="W676" i="2"/>
  <c r="W768" i="2"/>
  <c r="W1033" i="2"/>
  <c r="W947" i="2"/>
  <c r="W136" i="2"/>
  <c r="W249" i="2"/>
  <c r="W233" i="2"/>
  <c r="W425" i="2"/>
  <c r="W580" i="2"/>
  <c r="W256" i="2"/>
  <c r="W878" i="2"/>
  <c r="W336" i="2"/>
  <c r="W1220" i="2"/>
  <c r="W818" i="2"/>
  <c r="W1207" i="2"/>
  <c r="W665" i="2"/>
  <c r="W1407" i="2"/>
  <c r="W912" i="2"/>
  <c r="W574" i="2"/>
  <c r="W1125" i="2"/>
  <c r="W1095" i="2"/>
  <c r="W743" i="2"/>
  <c r="W1171" i="2"/>
  <c r="W1445" i="2"/>
  <c r="W1420" i="2"/>
  <c r="W385" i="2"/>
  <c r="W590" i="2"/>
  <c r="W1264" i="2"/>
  <c r="W994" i="2"/>
  <c r="W1340" i="2"/>
  <c r="W113" i="2"/>
  <c r="W708" i="2"/>
  <c r="W1161" i="2"/>
  <c r="W784" i="2"/>
  <c r="W1518" i="2"/>
  <c r="W1406" i="2"/>
  <c r="W1597" i="2"/>
  <c r="W1535" i="2"/>
  <c r="W1099" i="2"/>
  <c r="W487" i="2"/>
  <c r="W173" i="2"/>
  <c r="W18" i="2"/>
  <c r="W293" i="2"/>
  <c r="W60" i="2"/>
  <c r="W214" i="2"/>
  <c r="W700" i="2"/>
  <c r="W875" i="2"/>
  <c r="W806" i="2"/>
  <c r="W21" i="2"/>
  <c r="W1067" i="2"/>
  <c r="W343" i="2"/>
  <c r="W56" i="2"/>
  <c r="W243" i="2"/>
  <c r="W742" i="2"/>
  <c r="W1493" i="2"/>
  <c r="W1076" i="2"/>
  <c r="W638" i="2"/>
  <c r="W29" i="2"/>
  <c r="W373" i="2"/>
  <c r="W1497" i="2"/>
  <c r="W1252" i="2"/>
  <c r="W1227" i="2"/>
  <c r="W988" i="2"/>
  <c r="W163" i="2"/>
  <c r="W294" i="2"/>
  <c r="W442" i="2"/>
  <c r="W24" i="2"/>
  <c r="W508" i="2"/>
  <c r="W126" i="2"/>
  <c r="W1480" i="2"/>
  <c r="W1043" i="2"/>
  <c r="W1081" i="2"/>
  <c r="W794" i="2"/>
  <c r="W1391" i="2"/>
  <c r="W1361" i="2"/>
  <c r="W210" i="2"/>
  <c r="W366" i="2"/>
  <c r="W1390" i="2"/>
  <c r="W476" i="2"/>
  <c r="W1254" i="2"/>
  <c r="W1055" i="2"/>
  <c r="W1362" i="2"/>
  <c r="W1494" i="2"/>
  <c r="W1466" i="2"/>
  <c r="W1272" i="2"/>
  <c r="W709" i="2"/>
  <c r="W1166" i="2"/>
  <c r="W1509" i="2"/>
  <c r="W185" i="2"/>
  <c r="W995" i="2"/>
  <c r="W135" i="2"/>
  <c r="W209" i="2"/>
  <c r="W1069" i="2"/>
  <c r="W913" i="2"/>
  <c r="W140" i="2"/>
  <c r="W398" i="2"/>
  <c r="W47" i="2"/>
  <c r="W103" i="2"/>
  <c r="W593" i="2"/>
  <c r="W718" i="2"/>
  <c r="W1173" i="2"/>
  <c r="W570" i="2"/>
  <c r="W689" i="2"/>
  <c r="W811" i="2"/>
  <c r="W514" i="2"/>
  <c r="W1209" i="2"/>
  <c r="W1259" i="2"/>
  <c r="W692" i="2"/>
  <c r="W1004" i="2"/>
  <c r="W819" i="2"/>
  <c r="W127" i="2"/>
  <c r="W473" i="2"/>
  <c r="W1216" i="2"/>
  <c r="W221" i="2"/>
  <c r="W1196" i="2"/>
  <c r="W755" i="2"/>
  <c r="W555" i="2"/>
  <c r="W1446" i="2"/>
  <c r="W1118" i="2"/>
  <c r="W663" i="2"/>
  <c r="W75" i="2"/>
  <c r="W1071" i="2"/>
  <c r="W1559" i="2"/>
  <c r="W933" i="2"/>
  <c r="W1257" i="2"/>
  <c r="W428" i="2"/>
  <c r="W1028" i="2"/>
  <c r="W257" i="2"/>
  <c r="W1322" i="2"/>
  <c r="W1590" i="2"/>
  <c r="W543" i="2"/>
  <c r="W326" i="2"/>
  <c r="W1289" i="2"/>
  <c r="W198" i="2"/>
  <c r="W1603" i="2"/>
  <c r="W1504" i="2"/>
  <c r="W2" i="2"/>
  <c r="W620" i="2"/>
  <c r="W6" i="2"/>
  <c r="W37" i="2"/>
  <c r="W14" i="2"/>
  <c r="W224" i="2"/>
  <c r="W171" i="2"/>
  <c r="W430" i="2"/>
  <c r="W812" i="2"/>
  <c r="W527" i="2"/>
  <c r="W445" i="2"/>
  <c r="W384" i="2"/>
  <c r="W713" i="2"/>
  <c r="W251" i="2"/>
  <c r="W1344" i="2"/>
  <c r="W1560" i="2"/>
  <c r="W1026" i="2"/>
  <c r="W73" i="2"/>
  <c r="W623" i="2"/>
  <c r="W549" i="2"/>
  <c r="W190" i="2"/>
  <c r="W1052" i="2"/>
  <c r="W391" i="2"/>
  <c r="W680" i="2"/>
  <c r="W483" i="2"/>
  <c r="W1472" i="2"/>
  <c r="W472" i="2"/>
  <c r="W192" i="2"/>
  <c r="W272" i="2"/>
  <c r="W1242" i="2"/>
  <c r="W545" i="2"/>
  <c r="W632" i="2"/>
  <c r="W1604" i="2"/>
  <c r="W1345" i="2"/>
  <c r="W361" i="2"/>
  <c r="W1609" i="2"/>
  <c r="W1591" i="2"/>
  <c r="W327" i="2"/>
  <c r="W264" i="2"/>
  <c r="W468" i="2"/>
  <c r="W444" i="2"/>
  <c r="W146" i="2"/>
  <c r="W1561" i="2"/>
  <c r="W512" i="2"/>
  <c r="W116" i="2"/>
  <c r="W1235" i="2"/>
  <c r="W1540" i="2"/>
  <c r="W26" i="2"/>
  <c r="W268" i="2"/>
  <c r="W133" i="2"/>
  <c r="W392" i="2"/>
  <c r="W153" i="2"/>
  <c r="W528" i="2"/>
  <c r="W85" i="2"/>
  <c r="W1129" i="2"/>
  <c r="W77" i="2"/>
  <c r="W1219" i="2"/>
  <c r="W562" i="2"/>
  <c r="W1116" i="2"/>
  <c r="W477" i="2"/>
  <c r="W386" i="2"/>
  <c r="W64" i="2"/>
  <c r="W852" i="2"/>
  <c r="W93" i="2"/>
  <c r="W110" i="2"/>
  <c r="W448" i="2"/>
  <c r="W162" i="2"/>
  <c r="W1592" i="2"/>
  <c r="W1022" i="2"/>
  <c r="W1408" i="2"/>
  <c r="W475" i="2"/>
  <c r="W303" i="2"/>
  <c r="W104" i="2"/>
  <c r="W582" i="2"/>
  <c r="W290" i="2"/>
  <c r="W917" i="2"/>
  <c r="W451" i="2"/>
  <c r="W1193" i="2"/>
  <c r="W1562" i="2"/>
  <c r="W1357" i="2"/>
  <c r="W1299" i="2"/>
  <c r="W1525" i="2"/>
  <c r="W1273" i="2"/>
  <c r="W781" i="2"/>
  <c r="W494" i="2"/>
  <c r="W1082" i="2"/>
  <c r="W123" i="2"/>
  <c r="W1046" i="2"/>
  <c r="W1416" i="2"/>
  <c r="W1236" i="2"/>
  <c r="W1397" i="2"/>
  <c r="W1331" i="2"/>
  <c r="W1485" i="2"/>
  <c r="W295" i="2"/>
  <c r="W139" i="2"/>
  <c r="W78" i="2"/>
  <c r="W19" i="2"/>
  <c r="W141" i="2"/>
  <c r="W410" i="2"/>
  <c r="W296" i="2"/>
  <c r="W247" i="2"/>
  <c r="W849" i="2"/>
  <c r="W427" i="2"/>
  <c r="W1473" i="2"/>
  <c r="W956" i="2"/>
  <c r="W659" i="2"/>
  <c r="W787" i="2"/>
  <c r="W690" i="2"/>
  <c r="W167" i="2"/>
  <c r="W312" i="2"/>
  <c r="W421" i="2"/>
  <c r="W1500" i="2"/>
  <c r="W297" i="2"/>
  <c r="W178" i="2"/>
  <c r="W466" i="2"/>
  <c r="W615" i="2"/>
  <c r="W694" i="2"/>
  <c r="W534" i="2"/>
  <c r="W526" i="2"/>
  <c r="W569" i="2"/>
  <c r="W1294" i="2"/>
  <c r="W128" i="2"/>
  <c r="W861" i="2"/>
  <c r="W1105" i="2"/>
  <c r="W308" i="2"/>
  <c r="W231" i="2"/>
  <c r="W218" i="2"/>
  <c r="W693" i="2"/>
  <c r="W944" i="2"/>
  <c r="W897" i="2"/>
  <c r="W58" i="2"/>
  <c r="W1153" i="2"/>
  <c r="W1457" i="2"/>
  <c r="W1610" i="2"/>
  <c r="W1611" i="2"/>
  <c r="W53" i="2"/>
  <c r="W1338" i="2"/>
  <c r="W1011" i="2"/>
  <c r="W355" i="2"/>
  <c r="W424" i="2"/>
  <c r="W1451" i="2"/>
  <c r="W1163" i="2"/>
  <c r="W1461" i="2"/>
  <c r="W1156" i="2"/>
  <c r="W325" i="2"/>
  <c r="W240" i="2"/>
  <c r="W1476" i="2"/>
  <c r="W1402" i="2"/>
  <c r="W242" i="2"/>
  <c r="W20" i="2"/>
  <c r="W872" i="2"/>
  <c r="W583" i="2"/>
  <c r="W785" i="2"/>
  <c r="W323" i="2"/>
  <c r="W252" i="2"/>
  <c r="W36" i="2"/>
  <c r="W1274" i="2"/>
  <c r="W1367" i="2"/>
  <c r="W112" i="2"/>
  <c r="W939" i="2"/>
  <c r="W416" i="2"/>
  <c r="W495" i="2"/>
  <c r="W1301" i="2"/>
  <c r="W750" i="2"/>
  <c r="W752" i="2"/>
  <c r="W1102" i="2"/>
  <c r="W1041" i="2"/>
  <c r="W936" i="2"/>
  <c r="W182" i="2"/>
  <c r="W884" i="2"/>
  <c r="W851" i="2"/>
  <c r="W57" i="2"/>
  <c r="W577" i="2"/>
  <c r="W499" i="2"/>
  <c r="W754" i="2"/>
  <c r="W1295" i="2"/>
  <c r="W984" i="2"/>
  <c r="W1079" i="2"/>
  <c r="W1279" i="2"/>
  <c r="W699" i="2"/>
  <c r="W949" i="2"/>
  <c r="W1239" i="2"/>
  <c r="W380" i="2"/>
  <c r="W585" i="2"/>
  <c r="W1188" i="2"/>
  <c r="W1564" i="2"/>
  <c r="W1276" i="2"/>
  <c r="W1468" i="2"/>
  <c r="W578" i="2"/>
  <c r="W1449" i="2"/>
  <c r="W1101" i="2"/>
  <c r="W62" i="2"/>
  <c r="W821" i="2"/>
  <c r="W728" i="2"/>
  <c r="W1519" i="2"/>
  <c r="W1587" i="2"/>
  <c r="W1275" i="2"/>
  <c r="W1447" i="2"/>
  <c r="W1511" i="2"/>
  <c r="W948" i="2"/>
  <c r="W11" i="2"/>
  <c r="W97" i="2"/>
  <c r="W76" i="2"/>
  <c r="W91" i="2"/>
  <c r="W704" i="2"/>
  <c r="W281" i="2"/>
  <c r="W597" i="2"/>
  <c r="W342" i="2"/>
  <c r="W335" i="2"/>
  <c r="W990" i="2"/>
  <c r="W80" i="2"/>
  <c r="W932" i="2"/>
  <c r="W531" i="2"/>
  <c r="W228" i="2"/>
  <c r="W226" i="2"/>
  <c r="W1045" i="2"/>
  <c r="W217" i="2"/>
  <c r="W1036" i="2"/>
  <c r="W503" i="2"/>
  <c r="W706" i="2"/>
  <c r="W304" i="2"/>
  <c r="W213" i="2"/>
  <c r="W687" i="2"/>
  <c r="W1349" i="2"/>
  <c r="W320" i="2"/>
  <c r="W225" i="2"/>
  <c r="W618" i="2"/>
  <c r="W1243" i="2"/>
  <c r="W372" i="2"/>
  <c r="W1342" i="2"/>
  <c r="W1363" i="2"/>
  <c r="W484" i="2"/>
  <c r="W1302" i="2"/>
  <c r="W677" i="2"/>
  <c r="W1178" i="2"/>
  <c r="W1583" i="2"/>
  <c r="W1329" i="2"/>
  <c r="W1565" i="2"/>
  <c r="W1399" i="2"/>
  <c r="W920" i="2"/>
  <c r="W102" i="2"/>
  <c r="W896" i="2"/>
  <c r="W1612" i="2"/>
  <c r="W1505" i="2"/>
  <c r="W1520" i="2"/>
  <c r="W280" i="2"/>
  <c r="W1413" i="2"/>
  <c r="W106" i="2"/>
  <c r="W259" i="2"/>
  <c r="W258" i="2"/>
  <c r="W16" i="2"/>
  <c r="W74" i="2"/>
  <c r="W134" i="2"/>
  <c r="W109" i="2"/>
  <c r="W1195" i="2"/>
  <c r="W189" i="2"/>
  <c r="W71" i="2"/>
  <c r="W426" i="2"/>
  <c r="W395" i="2"/>
  <c r="W561" i="2"/>
  <c r="W747" i="2"/>
  <c r="W229" i="2"/>
  <c r="W367" i="2"/>
  <c r="W307" i="2"/>
  <c r="W314" i="2"/>
  <c r="W407" i="2"/>
  <c r="W802" i="2"/>
  <c r="W236" i="2"/>
  <c r="W250" i="2"/>
  <c r="W497" i="2"/>
  <c r="W143" i="2"/>
  <c r="W160" i="2"/>
  <c r="W183" i="2"/>
  <c r="W557" i="2"/>
  <c r="W804" i="2"/>
  <c r="W959" i="2"/>
  <c r="W1414" i="2"/>
  <c r="W544" i="2"/>
  <c r="W1574" i="2"/>
  <c r="W1149" i="2"/>
  <c r="W354" i="2"/>
  <c r="W202" i="2"/>
  <c r="W660" i="2"/>
  <c r="W461" i="2"/>
  <c r="W1140" i="2"/>
  <c r="W874" i="2"/>
  <c r="W799" i="2"/>
  <c r="W1341" i="2"/>
  <c r="W1387" i="2"/>
  <c r="W1598" i="2"/>
  <c r="W111" i="2"/>
  <c r="W893" i="2"/>
  <c r="W1316" i="2"/>
  <c r="W1176" i="2"/>
  <c r="W1187" i="2"/>
  <c r="W1515" i="2"/>
  <c r="W1570" i="2"/>
  <c r="W1208" i="2"/>
  <c r="W67" i="2"/>
  <c r="W1077" i="2"/>
  <c r="W15" i="2"/>
  <c r="W179" i="2"/>
  <c r="W266" i="2"/>
  <c r="W814" i="2"/>
  <c r="W23" i="2"/>
  <c r="W567" i="2"/>
  <c r="W27" i="2"/>
  <c r="W246" i="2"/>
  <c r="W889" i="2"/>
  <c r="W331" i="2"/>
  <c r="W610" i="2"/>
  <c r="W883" i="2"/>
  <c r="W809" i="2"/>
  <c r="W360" i="2"/>
  <c r="W89" i="2"/>
  <c r="W287" i="2"/>
  <c r="W159" i="2"/>
  <c r="W879" i="2"/>
  <c r="W201" i="2"/>
  <c r="W1210" i="2"/>
  <c r="W443" i="2"/>
  <c r="W838" i="2"/>
  <c r="W855" i="2"/>
  <c r="W235" i="2"/>
  <c r="W399" i="2"/>
  <c r="W324" i="2"/>
  <c r="W592" i="2"/>
  <c r="W1167" i="2"/>
  <c r="W1005" i="2"/>
  <c r="W1145" i="2"/>
  <c r="W482" i="2"/>
  <c r="W1197" i="2"/>
  <c r="W831" i="2"/>
  <c r="W614" i="2"/>
  <c r="W1168" i="2"/>
  <c r="W496" i="2"/>
  <c r="W935" i="2"/>
  <c r="W418" i="2"/>
  <c r="W454" i="2"/>
  <c r="W352" i="2"/>
  <c r="W573" i="2"/>
  <c r="W1039" i="2"/>
  <c r="W283" i="2"/>
  <c r="W1566" i="2"/>
  <c r="W808" i="2"/>
  <c r="W1090" i="2"/>
  <c r="W267" i="2"/>
  <c r="W1204" i="2"/>
  <c r="W121" i="2"/>
  <c r="W292" i="2"/>
  <c r="W220" i="2"/>
  <c r="W471" i="2"/>
  <c r="W101" i="2"/>
  <c r="W846" i="2"/>
  <c r="W216" i="2"/>
  <c r="W387" i="2"/>
  <c r="W125" i="2"/>
  <c r="W55" i="2"/>
  <c r="W898" i="2"/>
  <c r="W899" i="2"/>
  <c r="W467" i="2"/>
  <c r="W431" i="2"/>
  <c r="W810" i="2"/>
  <c r="W741" i="2"/>
  <c r="W651" i="2"/>
  <c r="W156" i="2"/>
  <c r="W275" i="2"/>
  <c r="W833" i="2"/>
  <c r="W1498" i="2"/>
  <c r="W1061" i="2"/>
  <c r="W513" i="2"/>
  <c r="W1315" i="2"/>
  <c r="W1222" i="2"/>
  <c r="W788" i="2"/>
  <c r="W542" i="2"/>
  <c r="W523" i="2"/>
  <c r="W1321" i="2"/>
  <c r="W1247" i="2"/>
  <c r="W1513" i="2"/>
  <c r="W1352" i="2"/>
  <c r="W318" i="2"/>
  <c r="W1310" i="2"/>
  <c r="W552" i="2"/>
  <c r="W1593" i="2"/>
  <c r="W1575" i="2"/>
  <c r="W758" i="2"/>
  <c r="W447" i="2"/>
  <c r="W1364" i="2"/>
  <c r="W1233" i="2"/>
  <c r="W1282" i="2"/>
  <c r="W1613" i="2"/>
  <c r="W1474" i="2"/>
  <c r="W1217" i="2"/>
  <c r="W1578" i="2"/>
  <c r="W1481" i="2"/>
  <c r="W940" i="2"/>
  <c r="W1526" i="2"/>
  <c r="W1576" i="2"/>
  <c r="W1403" i="2"/>
  <c r="W82" i="2"/>
  <c r="W502" i="2"/>
  <c r="W219" i="2"/>
  <c r="W311" i="2"/>
  <c r="W196" i="2"/>
  <c r="W1040" i="2"/>
  <c r="W506" i="2"/>
  <c r="W319" i="2"/>
  <c r="W63" i="2"/>
  <c r="W830" i="2"/>
  <c r="W105" i="2"/>
  <c r="W316" i="2"/>
  <c r="W248" i="2"/>
  <c r="W208" i="2"/>
  <c r="W132" i="2"/>
  <c r="W108" i="2"/>
  <c r="W551" i="2"/>
  <c r="W1032" i="2"/>
  <c r="W114" i="2"/>
  <c r="W739" i="2"/>
  <c r="W1199" i="2"/>
  <c r="W381" i="2"/>
  <c r="W498" i="2"/>
  <c r="W200" i="2"/>
  <c r="W796" i="2"/>
  <c r="W938" i="2"/>
  <c r="W1354" i="2"/>
  <c r="W652" i="2"/>
  <c r="W412" i="2"/>
  <c r="W117" i="2"/>
  <c r="W204" i="2"/>
  <c r="W1462" i="2"/>
  <c r="W678" i="2"/>
  <c r="W594" i="2"/>
  <c r="W1501" i="2"/>
  <c r="W1260" i="2"/>
  <c r="W1430" i="2"/>
  <c r="W370" i="2"/>
  <c r="W1138" i="2"/>
  <c r="W670" i="2"/>
  <c r="W1106" i="2"/>
  <c r="W586" i="2"/>
  <c r="W1324" i="2"/>
  <c r="W1117" i="2"/>
  <c r="W1206" i="2"/>
  <c r="W1261" i="2"/>
  <c r="W1550" i="2"/>
  <c r="W1614" i="2"/>
  <c r="W1400" i="2"/>
  <c r="W738" i="2"/>
  <c r="W1460" i="2"/>
  <c r="W1147" i="2"/>
  <c r="W435" i="2"/>
  <c r="W172" i="2"/>
  <c r="W65" i="2"/>
  <c r="W505" i="2"/>
  <c r="W69" i="2"/>
  <c r="W376" i="2"/>
  <c r="W807" i="2"/>
  <c r="W33" i="2"/>
  <c r="W158" i="2"/>
  <c r="W262" i="2"/>
  <c r="W170" i="2"/>
  <c r="W365" i="2"/>
  <c r="W655" i="2"/>
  <c r="W359" i="2"/>
  <c r="W961" i="2"/>
  <c r="W546" i="2"/>
  <c r="W469" i="2"/>
  <c r="W1615" i="2"/>
  <c r="W613" i="2"/>
  <c r="W668" i="2"/>
  <c r="W764" i="2"/>
  <c r="W197" i="2"/>
  <c r="W604" i="2"/>
  <c r="W1579" i="2"/>
  <c r="W943" i="2"/>
  <c r="W1262" i="2"/>
  <c r="W790" i="2"/>
  <c r="W766" i="2"/>
  <c r="W1245" i="2"/>
  <c r="W1073" i="2"/>
  <c r="W1240" i="2"/>
  <c r="W996" i="2"/>
  <c r="W960" i="2"/>
  <c r="W642" i="2"/>
  <c r="W1255" i="2"/>
  <c r="W291" i="2"/>
  <c r="W341" i="2"/>
  <c r="W1162" i="2"/>
  <c r="W780" i="2"/>
  <c r="W1180" i="2"/>
  <c r="W147" i="2"/>
  <c r="W288" i="2"/>
  <c r="W1286" i="2"/>
  <c r="W1148" i="2"/>
  <c r="W510" i="2"/>
  <c r="W1350" i="2"/>
  <c r="W1007" i="2"/>
  <c r="W793" i="2"/>
  <c r="W1548" i="2"/>
  <c r="W1221" i="2"/>
  <c r="W641" i="2"/>
  <c r="W1571" i="2"/>
  <c r="W1486" i="2"/>
  <c r="W1380" i="2"/>
  <c r="W1428" i="2"/>
  <c r="W1616" i="2"/>
  <c r="W1134" i="2"/>
  <c r="W967" i="2"/>
  <c r="W1016" i="2"/>
  <c r="W239" i="2"/>
  <c r="W393" i="2"/>
  <c r="W474" i="2"/>
  <c r="W465" i="2"/>
  <c r="W553" i="2"/>
  <c r="W436" i="2"/>
  <c r="W261" i="2"/>
  <c r="W433" i="2"/>
  <c r="W142" i="2"/>
  <c r="W489" i="2"/>
  <c r="W329" i="2"/>
  <c r="W332" i="2"/>
  <c r="W654" i="2"/>
  <c r="W79" i="2"/>
  <c r="W1094" i="2"/>
  <c r="W207" i="2"/>
  <c r="W837" i="2"/>
  <c r="W1189" i="2"/>
  <c r="W522" i="2"/>
  <c r="W457" i="2"/>
  <c r="W388" i="2"/>
  <c r="W664" i="2"/>
  <c r="W230" i="2"/>
  <c r="W572" i="2"/>
  <c r="W841" i="2"/>
  <c r="W273" i="2"/>
  <c r="W900" i="2"/>
  <c r="W1510" i="2"/>
  <c r="W539" i="2"/>
  <c r="W926" i="2"/>
  <c r="W1529" i="2"/>
  <c r="W729" i="2"/>
  <c r="W1467" i="2"/>
  <c r="W929" i="2"/>
  <c r="W1521" i="2"/>
  <c r="W1085" i="2"/>
  <c r="W1012" i="2"/>
  <c r="W1543" i="2"/>
  <c r="W1469" i="2"/>
  <c r="W1487" i="2"/>
  <c r="W1358" i="2"/>
  <c r="W630" i="2"/>
  <c r="W1308" i="2"/>
  <c r="W702" i="2"/>
  <c r="W910" i="2"/>
  <c r="W1584" i="2"/>
  <c r="W635" i="2"/>
  <c r="W1184" i="2"/>
  <c r="W877" i="2"/>
  <c r="W1438" i="2"/>
  <c r="W129" i="2"/>
  <c r="W462" i="2"/>
  <c r="W245" i="2"/>
  <c r="W310" i="2"/>
  <c r="W839" i="2"/>
  <c r="W396" i="2"/>
  <c r="W199" i="2"/>
  <c r="W684" i="2"/>
  <c r="W777" i="2"/>
  <c r="W414" i="2"/>
  <c r="W432" i="2"/>
  <c r="W479" i="2"/>
  <c r="W193" i="2"/>
  <c r="W400" i="2"/>
  <c r="W1107" i="2"/>
  <c r="W413" i="2"/>
  <c r="W1237" i="2"/>
  <c r="W970" i="2"/>
  <c r="W379" i="2"/>
  <c r="W1096" i="2"/>
  <c r="W1231" i="2"/>
  <c r="W1370" i="2"/>
  <c r="W446" i="2"/>
  <c r="W667" i="2"/>
  <c r="W371" i="2"/>
  <c r="W1013" i="2"/>
  <c r="W486" i="2"/>
  <c r="W1333" i="2"/>
  <c r="W1270" i="2"/>
  <c r="W571" i="2"/>
  <c r="W1483" i="2"/>
  <c r="W968" i="2"/>
  <c r="W449" i="2"/>
  <c r="W1226" i="2"/>
  <c r="W1422" i="2"/>
  <c r="W1068" i="2"/>
  <c r="W440" i="2"/>
  <c r="W328" i="2"/>
  <c r="W744" i="2"/>
  <c r="W169" i="2"/>
  <c r="W1411" i="2"/>
  <c r="W1491" i="2"/>
  <c r="W1044" i="2"/>
  <c r="W518" i="2"/>
  <c r="W203" i="2"/>
  <c r="W1442" i="2"/>
  <c r="W1381" i="2"/>
  <c r="W1464" i="2"/>
  <c r="W1164" i="2"/>
  <c r="W1277" i="2"/>
  <c r="W1376" i="2"/>
  <c r="W946" i="2"/>
  <c r="W1248" i="2"/>
  <c r="W152" i="2"/>
  <c r="W277" i="2"/>
  <c r="W643" i="2"/>
  <c r="W330" i="2"/>
  <c r="W683" i="2"/>
  <c r="W515" i="2"/>
  <c r="W554" i="2"/>
  <c r="W662" i="2"/>
  <c r="W529" i="2"/>
  <c r="W640" i="2"/>
  <c r="W378" i="2"/>
  <c r="W560" i="2"/>
  <c r="W150" i="2"/>
  <c r="W727" i="2"/>
  <c r="W375" i="2"/>
  <c r="W368" i="2"/>
  <c r="W1112" i="2"/>
  <c r="W888" i="2"/>
  <c r="W767" i="2"/>
  <c r="W616" i="2"/>
  <c r="W869" i="2"/>
  <c r="W434" i="2"/>
  <c r="W626" i="2"/>
  <c r="W639" i="2"/>
  <c r="W907" i="2"/>
  <c r="W576" i="2"/>
  <c r="W1332" i="2"/>
  <c r="W1266" i="2"/>
  <c r="W791" i="2"/>
  <c r="W587" i="2"/>
  <c r="W358" i="2"/>
  <c r="W1313" i="2"/>
  <c r="W1304" i="2"/>
  <c r="W711" i="2"/>
  <c r="W1423" i="2"/>
  <c r="W525" i="2"/>
  <c r="W1181" i="2"/>
  <c r="W411" i="2"/>
  <c r="W673" i="2"/>
  <c r="W1108" i="2"/>
  <c r="W906" i="2"/>
  <c r="W437" i="2"/>
  <c r="W1434" i="2"/>
  <c r="W1588" i="2"/>
  <c r="W460" i="2"/>
  <c r="W309" i="2"/>
  <c r="W322" i="2"/>
  <c r="W905" i="2"/>
  <c r="W733" i="2"/>
  <c r="W282" i="2"/>
  <c r="W364" i="2"/>
  <c r="W703" i="2"/>
  <c r="W625" i="2"/>
  <c r="W868" i="2"/>
  <c r="W353" i="2"/>
  <c r="W517" i="2"/>
  <c r="W1305" i="2"/>
  <c r="W746" i="2"/>
  <c r="W820" i="2"/>
  <c r="W1290" i="2"/>
  <c r="W1287" i="2"/>
  <c r="W1150" i="2"/>
  <c r="W564" i="2"/>
  <c r="W458" i="2"/>
  <c r="W756" i="2"/>
  <c r="W1258" i="2"/>
  <c r="W1009" i="2"/>
  <c r="W737" i="2"/>
  <c r="W1458" i="2"/>
  <c r="W722" i="2"/>
  <c r="W356" i="2"/>
  <c r="W895" i="2"/>
  <c r="W524" i="2"/>
  <c r="W934" i="2"/>
  <c r="W1088" i="2"/>
  <c r="W627" i="2"/>
  <c r="W914" i="2"/>
  <c r="W908" i="2"/>
  <c r="W417" i="2"/>
  <c r="W1536" i="2"/>
  <c r="W976" i="2"/>
  <c r="W1567" i="2"/>
  <c r="W1516" i="2"/>
  <c r="W1023" i="2"/>
  <c r="W1514" i="2"/>
  <c r="W1454" i="2"/>
  <c r="W1455" i="2"/>
  <c r="W882" i="2"/>
  <c r="W1087" i="2"/>
  <c r="W1594" i="2"/>
  <c r="W775" i="2"/>
  <c r="W1617" i="2"/>
  <c r="W1495" i="2"/>
  <c r="W1551" i="2"/>
  <c r="W1234" i="2"/>
  <c r="W1558" i="2"/>
  <c r="W1417" i="2"/>
  <c r="W924" i="2"/>
  <c r="W1058" i="2"/>
  <c r="W866" i="2"/>
  <c r="W595" i="2"/>
  <c r="W284" i="2"/>
  <c r="W568" i="2"/>
  <c r="W348" i="2"/>
  <c r="W859" i="2"/>
  <c r="W492" i="2"/>
  <c r="W845" i="2"/>
  <c r="W679" i="2"/>
  <c r="W931" i="2"/>
  <c r="W621" i="2"/>
  <c r="W629" i="2"/>
  <c r="W254" i="2"/>
  <c r="W478" i="2"/>
  <c r="W778" i="2"/>
  <c r="W1396" i="2"/>
  <c r="W1025" i="2"/>
  <c r="W1080" i="2"/>
  <c r="W429" i="2"/>
  <c r="W954" i="2"/>
  <c r="W927" i="2"/>
  <c r="W501" i="2"/>
  <c r="W589" i="2"/>
  <c r="W1517" i="2"/>
  <c r="W1311" i="2"/>
  <c r="W1296" i="2"/>
  <c r="W404" i="2"/>
  <c r="W980" i="2"/>
  <c r="W622" i="2"/>
  <c r="W628" i="2"/>
  <c r="W762" i="2"/>
  <c r="W1267" i="2"/>
  <c r="W909" i="2"/>
  <c r="W1000" i="2"/>
  <c r="W1074" i="2"/>
  <c r="W1241" i="2"/>
  <c r="W918" i="2"/>
  <c r="W1037" i="2"/>
  <c r="W1228" i="2"/>
  <c r="W816" i="2"/>
  <c r="W999" i="2"/>
  <c r="W776" i="2"/>
  <c r="W982" i="2"/>
  <c r="W795" i="2"/>
  <c r="W504" i="2"/>
  <c r="W836" i="2"/>
  <c r="W1556" i="2"/>
  <c r="W1122" i="2"/>
  <c r="W1303" i="2"/>
  <c r="W631" i="2"/>
  <c r="W1031" i="2"/>
  <c r="W1211" i="2"/>
  <c r="W1401" i="2"/>
  <c r="W1552" i="2"/>
  <c r="W1475" i="2"/>
  <c r="W1355" i="2"/>
  <c r="W538" i="2"/>
  <c r="W717" i="2"/>
  <c r="W317" i="2"/>
  <c r="W601" i="2"/>
  <c r="W313" i="2"/>
  <c r="W822" i="2"/>
  <c r="W686" i="2"/>
  <c r="W464" i="2"/>
  <c r="W789" i="2"/>
  <c r="W581" i="2"/>
  <c r="W488" i="2"/>
  <c r="W541" i="2"/>
  <c r="W1064" i="2"/>
  <c r="W753" i="2"/>
  <c r="W850" i="2"/>
  <c r="W1456" i="2"/>
  <c r="W798" i="2"/>
  <c r="W763" i="2"/>
  <c r="W617" i="2"/>
  <c r="W815" i="2"/>
  <c r="W782" i="2"/>
  <c r="W1054" i="2"/>
  <c r="W773" i="2"/>
  <c r="W715" i="2"/>
  <c r="W862" i="2"/>
  <c r="W707" i="2"/>
  <c r="W886" i="2"/>
  <c r="W1297" i="2"/>
  <c r="W1244" i="2"/>
  <c r="W1024" i="2"/>
  <c r="W1063" i="2"/>
  <c r="W941" i="2"/>
  <c r="W600" i="2"/>
  <c r="W605" i="2"/>
  <c r="W1435" i="2"/>
  <c r="W751" i="2"/>
  <c r="W674" i="2"/>
  <c r="W1306" i="2"/>
  <c r="W1103" i="2"/>
  <c r="W969" i="2"/>
  <c r="W972" i="2"/>
  <c r="W757" i="2"/>
  <c r="W772" i="2"/>
  <c r="W770" i="2"/>
  <c r="W832" i="2"/>
  <c r="W977" i="2"/>
  <c r="W997" i="2"/>
  <c r="W1291" i="2"/>
  <c r="W1599" i="2"/>
  <c r="W1527" i="2"/>
  <c r="W797" i="2"/>
  <c r="W1618" i="2"/>
  <c r="W1429" i="2"/>
  <c r="W1541" i="2"/>
  <c r="W1537" i="2"/>
  <c r="W1606" i="2"/>
  <c r="W1523" i="2"/>
  <c r="W698" i="2"/>
  <c r="W519" i="2"/>
  <c r="W602" i="2"/>
  <c r="W813" i="2"/>
  <c r="W637" i="2"/>
  <c r="W942" i="2"/>
  <c r="W666" i="2"/>
  <c r="W853" i="2"/>
  <c r="W792" i="2"/>
  <c r="W847" i="2"/>
  <c r="W759" i="2"/>
  <c r="W724" i="2"/>
  <c r="W661" i="2"/>
  <c r="W1151" i="2"/>
  <c r="W1059" i="2"/>
  <c r="W979" i="2"/>
  <c r="W835" i="2"/>
  <c r="W1047" i="2"/>
  <c r="W1326" i="2"/>
  <c r="W962" i="2"/>
  <c r="W748" i="2"/>
  <c r="W919" i="2"/>
  <c r="W786" i="2"/>
  <c r="W964" i="2"/>
  <c r="W963" i="2"/>
  <c r="W1214" i="2"/>
  <c r="W1327" i="2"/>
  <c r="W720" i="2"/>
  <c r="W731" i="2"/>
  <c r="W826" i="2"/>
  <c r="W1070" i="2"/>
  <c r="W1285" i="2"/>
  <c r="W1223" i="2"/>
  <c r="W1169" i="2"/>
  <c r="W1577" i="2"/>
  <c r="W950" i="2"/>
  <c r="W1465" i="2"/>
  <c r="W902" i="2"/>
  <c r="W1395" i="2"/>
  <c r="W1230" i="2"/>
  <c r="W823" i="2"/>
  <c r="W1280" i="2"/>
  <c r="W974" i="2"/>
  <c r="W1323" i="2"/>
  <c r="W1008" i="2"/>
  <c r="W904" i="2"/>
  <c r="W1271" i="2"/>
  <c r="W870" i="2"/>
  <c r="W1415" i="2"/>
  <c r="W1392" i="2"/>
  <c r="W1317" i="2"/>
  <c r="W1002" i="2"/>
  <c r="W1530" i="2"/>
  <c r="W1563" i="2"/>
  <c r="W1300" i="2"/>
  <c r="W1421" i="2"/>
  <c r="W1320" i="2"/>
  <c r="W1553" i="2"/>
  <c r="W645" i="2"/>
  <c r="W1093" i="2"/>
  <c r="W736" i="2"/>
  <c r="W1006" i="2"/>
  <c r="W903" i="2"/>
  <c r="W1091" i="2"/>
  <c r="W1086" i="2"/>
  <c r="W1020" i="2"/>
  <c r="W966" i="2"/>
  <c r="W1200" i="2"/>
  <c r="W923" i="2"/>
  <c r="W800" i="2"/>
  <c r="W1075" i="2"/>
  <c r="W1141" i="2"/>
  <c r="W834" i="2"/>
  <c r="W916" i="2"/>
  <c r="W1035" i="2"/>
  <c r="W1182" i="2"/>
  <c r="W749" i="2"/>
  <c r="W1014" i="2"/>
  <c r="W848" i="2"/>
  <c r="W1123" i="2"/>
  <c r="W1502" i="2"/>
  <c r="W1017" i="2"/>
  <c r="W864" i="2"/>
  <c r="W985" i="2"/>
  <c r="W1393" i="2"/>
  <c r="W925" i="2"/>
  <c r="W1092" i="2"/>
  <c r="W783" i="2"/>
  <c r="W1557" i="2"/>
  <c r="W1439" i="2"/>
  <c r="W1424" i="2"/>
  <c r="W965" i="2"/>
  <c r="W1051" i="2"/>
  <c r="W1538" i="2"/>
  <c r="W1585" i="2"/>
  <c r="W1119" i="2"/>
  <c r="W1404" i="2"/>
  <c r="W1506" i="2"/>
  <c r="W1170" i="2"/>
  <c r="W1312" i="2"/>
  <c r="W1372" i="2"/>
  <c r="W1542" i="2"/>
  <c r="W1056" i="2"/>
  <c r="W1238" i="2"/>
  <c r="W1346" i="2"/>
  <c r="W1175" i="2"/>
  <c r="W1256" i="2"/>
  <c r="W937" i="2"/>
  <c r="W1448" i="2"/>
  <c r="W1394" i="2"/>
  <c r="W1398" i="2"/>
  <c r="W1539" i="2"/>
  <c r="W1385" i="2"/>
  <c r="W1319" i="2"/>
  <c r="W1378" i="2"/>
  <c r="W1356" i="2"/>
  <c r="W1003" i="2"/>
  <c r="W1030" i="2"/>
  <c r="W983" i="2"/>
  <c r="W998" i="2"/>
  <c r="W1072" i="2"/>
  <c r="W1015" i="2"/>
  <c r="W1136" i="2"/>
  <c r="W922" i="2"/>
  <c r="W1057" i="2"/>
  <c r="W1185" i="2"/>
  <c r="W1325" i="2"/>
  <c r="W1318" i="2"/>
  <c r="W1010" i="2"/>
  <c r="W1359" i="2"/>
  <c r="W1142" i="2"/>
  <c r="W1104" i="2"/>
  <c r="W1307" i="2"/>
  <c r="W1126" i="2"/>
  <c r="W1544" i="2"/>
  <c r="W1512" i="2"/>
  <c r="W1443" i="2"/>
  <c r="W1353" i="2"/>
  <c r="W1531" i="2"/>
  <c r="W1139" i="2"/>
  <c r="W1218" i="2"/>
  <c r="W1120" i="2"/>
  <c r="W1083" i="2"/>
  <c r="W1605" i="2"/>
  <c r="W1281" i="2"/>
  <c r="W1388" i="2"/>
  <c r="W1545" i="2"/>
  <c r="W1172" i="2"/>
  <c r="W1062" i="2"/>
  <c r="W1477" i="2"/>
  <c r="W1452" i="2"/>
  <c r="W1100" i="2"/>
  <c r="W1524" i="2"/>
  <c r="W1379" i="2"/>
  <c r="W1482" i="2"/>
  <c r="W1619" i="2"/>
  <c r="W1382" i="2"/>
  <c r="W1283" i="2"/>
  <c r="W1293" i="2"/>
  <c r="W1620" i="2"/>
  <c r="W1580" i="2"/>
  <c r="W1202" i="2"/>
  <c r="W1314" i="2"/>
  <c r="W1418" i="2"/>
  <c r="W1368" i="2"/>
  <c r="W1224" i="2"/>
  <c r="W1607" i="2"/>
  <c r="W1532" i="2"/>
  <c r="W1546" i="2"/>
  <c r="B4" i="1"/>
  <c r="B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4AC7C2-6E64-49FC-BAAF-D982D94A3E10}" keepAlive="1" name="Query - nba_draft" description="Connection to the 'nba_draft' query in the workbook." type="5" refreshedVersion="8" background="1" saveData="1">
    <dbPr connection="Provider=Microsoft.Mashup.OleDb.1;Data Source=$Workbook$;Location=nba_draft;Extended Properties=&quot;&quot;" command="SELECT * FROM [nba_draft]"/>
  </connection>
  <connection id="2" xr16:uid="{2D6DD16E-2B7A-4CDA-BBA9-3CE86C653B72}" keepAlive="1" name="Query - Table001 (Page 1)" description="Connection to the 'Table001 (Page 1)' query in the workbook." type="5" refreshedVersion="8" background="1" saveData="1">
    <dbPr connection="Provider=Microsoft.Mashup.OleDb.1;Data Source=$Workbook$;Location=&quot;Table001 (Page 1)&quot;;Extended Properties=&quot;&quot;" command="SELECT * FROM [Table001 (Page 1)]"/>
  </connection>
</connections>
</file>

<file path=xl/sharedStrings.xml><?xml version="1.0" encoding="utf-8"?>
<sst xmlns="http://schemas.openxmlformats.org/spreadsheetml/2006/main" count="5002" uniqueCount="1937">
  <si>
    <t>pick_overall</t>
  </si>
  <si>
    <t>team</t>
  </si>
  <si>
    <t>player_name</t>
  </si>
  <si>
    <t>college</t>
  </si>
  <si>
    <t>years_played</t>
  </si>
  <si>
    <t>games_played</t>
  </si>
  <si>
    <t>total_mins_played</t>
  </si>
  <si>
    <t>total_pts</t>
  </si>
  <si>
    <t>total_rebounds</t>
  </si>
  <si>
    <t>total_assists</t>
  </si>
  <si>
    <t>fg_percent</t>
  </si>
  <si>
    <t>three_pt_percent</t>
  </si>
  <si>
    <t>ft_percent</t>
  </si>
  <si>
    <t>win_shares</t>
  </si>
  <si>
    <t>win_shares_per_48</t>
  </si>
  <si>
    <t>draft_year</t>
  </si>
  <si>
    <t>mins_per_game</t>
  </si>
  <si>
    <t>pts_per_game</t>
  </si>
  <si>
    <t>rebounds_per_game</t>
  </si>
  <si>
    <t>assists_per_game</t>
  </si>
  <si>
    <t>round_picked</t>
  </si>
  <si>
    <t>pick_in_round</t>
  </si>
  <si>
    <t>BRK</t>
  </si>
  <si>
    <t>Derrick Coleman</t>
  </si>
  <si>
    <t>Syracuse</t>
  </si>
  <si>
    <t>OKC</t>
  </si>
  <si>
    <t>Gary Payton</t>
  </si>
  <si>
    <t>Oregon State</t>
  </si>
  <si>
    <t>DEN</t>
  </si>
  <si>
    <t>Mahmoud Abdul-Rauf</t>
  </si>
  <si>
    <t>LSU</t>
  </si>
  <si>
    <t>ORL</t>
  </si>
  <si>
    <t>Dennis Scott</t>
  </si>
  <si>
    <t>Georgia Tech</t>
  </si>
  <si>
    <t>CHA</t>
  </si>
  <si>
    <t>Kendall Gill</t>
  </si>
  <si>
    <t>Illinois</t>
  </si>
  <si>
    <t>MIN</t>
  </si>
  <si>
    <t>Felton Spencer</t>
  </si>
  <si>
    <t>Louisville</t>
  </si>
  <si>
    <t>SAC</t>
  </si>
  <si>
    <t>Lionel Simmons</t>
  </si>
  <si>
    <t>La Salle</t>
  </si>
  <si>
    <t>LAC</t>
  </si>
  <si>
    <t>Bo Kimble</t>
  </si>
  <si>
    <t>Loyola Marymount</t>
  </si>
  <si>
    <t>MIA</t>
  </si>
  <si>
    <t>Willie Burton</t>
  </si>
  <si>
    <t>Minnesota</t>
  </si>
  <si>
    <t>ATL</t>
  </si>
  <si>
    <t>Rumeal Robinson</t>
  </si>
  <si>
    <t>Michigan</t>
  </si>
  <si>
    <t>GSW</t>
  </si>
  <si>
    <t>Tyrone Hill</t>
  </si>
  <si>
    <t>Xavier</t>
  </si>
  <si>
    <t>HOU</t>
  </si>
  <si>
    <t>Alec Kessler</t>
  </si>
  <si>
    <t>Georgia</t>
  </si>
  <si>
    <t>Loy Vaught</t>
  </si>
  <si>
    <t>Travis Mays</t>
  </si>
  <si>
    <t>Texas</t>
  </si>
  <si>
    <t>Dave Jamerson</t>
  </si>
  <si>
    <t>Ohio University</t>
  </si>
  <si>
    <t>MIL</t>
  </si>
  <si>
    <t>Terry Mills</t>
  </si>
  <si>
    <t>NYK</t>
  </si>
  <si>
    <t>Jerrod Mustaf</t>
  </si>
  <si>
    <t>Maryland</t>
  </si>
  <si>
    <t>Duane Causwell</t>
  </si>
  <si>
    <t>Temple</t>
  </si>
  <si>
    <t>BOS</t>
  </si>
  <si>
    <t>Dee Brown</t>
  </si>
  <si>
    <t>Jacksonville University</t>
  </si>
  <si>
    <t>Gerald Glass</t>
  </si>
  <si>
    <t>Ole Miss</t>
  </si>
  <si>
    <t>PHO</t>
  </si>
  <si>
    <t>Jayson Williams</t>
  </si>
  <si>
    <t>St. John's</t>
  </si>
  <si>
    <t>Tate George</t>
  </si>
  <si>
    <t>UConn</t>
  </si>
  <si>
    <t>Anthony Bonner</t>
  </si>
  <si>
    <t>Saint Louis</t>
  </si>
  <si>
    <t>SAS</t>
  </si>
  <si>
    <t>Dwayne Schintzius</t>
  </si>
  <si>
    <t>Florida</t>
  </si>
  <si>
    <t>POR</t>
  </si>
  <si>
    <t>Alaa Abdelnaby</t>
  </si>
  <si>
    <t>Duke</t>
  </si>
  <si>
    <t>DET</t>
  </si>
  <si>
    <t>Lance Blanks</t>
  </si>
  <si>
    <t>LAL</t>
  </si>
  <si>
    <t>Elden Campbell</t>
  </si>
  <si>
    <t>Clemson</t>
  </si>
  <si>
    <t>Les Jepsen</t>
  </si>
  <si>
    <t>Iowa</t>
  </si>
  <si>
    <t>CHI</t>
  </si>
  <si>
    <t>Toni Kukoč</t>
  </si>
  <si>
    <t>NA</t>
  </si>
  <si>
    <t>Carl Herrera</t>
  </si>
  <si>
    <t>Houston</t>
  </si>
  <si>
    <t>Negele Knight</t>
  </si>
  <si>
    <t>Dayton</t>
  </si>
  <si>
    <t>PHI</t>
  </si>
  <si>
    <t>Brian Oliver</t>
  </si>
  <si>
    <t>UTA</t>
  </si>
  <si>
    <t>Walter Palmer</t>
  </si>
  <si>
    <t>Dartmouth College</t>
  </si>
  <si>
    <t>Kevin Pritchard</t>
  </si>
  <si>
    <t>Kansas</t>
  </si>
  <si>
    <t>WAS</t>
  </si>
  <si>
    <t>Greg Foster</t>
  </si>
  <si>
    <t>Texas-El Paso</t>
  </si>
  <si>
    <t>Trevor Wilson</t>
  </si>
  <si>
    <t>UCLA</t>
  </si>
  <si>
    <t>A.J. English</t>
  </si>
  <si>
    <t>Virginia Union University</t>
  </si>
  <si>
    <t>Jud Buechler</t>
  </si>
  <si>
    <t>Arizona</t>
  </si>
  <si>
    <t>Steve Scheffler</t>
  </si>
  <si>
    <t>Purdue</t>
  </si>
  <si>
    <t>Bimbo Coles</t>
  </si>
  <si>
    <t>Virginia Tech</t>
  </si>
  <si>
    <t>Steve Bardo</t>
  </si>
  <si>
    <t>Marcus Liberty</t>
  </si>
  <si>
    <t>Tony Massenburg</t>
  </si>
  <si>
    <t>Steve Henson</t>
  </si>
  <si>
    <t>Kansas State</t>
  </si>
  <si>
    <t>IND</t>
  </si>
  <si>
    <t>Antonio Davis</t>
  </si>
  <si>
    <t>Kenny Williams</t>
  </si>
  <si>
    <t>Elizabeth City State University</t>
  </si>
  <si>
    <t>Derek Strong</t>
  </si>
  <si>
    <t>Cedric Ceballos</t>
  </si>
  <si>
    <t>Cal State Fullerton</t>
  </si>
  <si>
    <t>Miloš Babić</t>
  </si>
  <si>
    <t>Tennessee Technological University</t>
  </si>
  <si>
    <t>Tony Smith</t>
  </si>
  <si>
    <t>Marquette</t>
  </si>
  <si>
    <t>CLE</t>
  </si>
  <si>
    <t>Stefano Rusconi</t>
  </si>
  <si>
    <t>Sean Higgins</t>
  </si>
  <si>
    <t>Larry Johnson</t>
  </si>
  <si>
    <t>UNLV</t>
  </si>
  <si>
    <t>Kenny Anderson</t>
  </si>
  <si>
    <t>Billy Owens</t>
  </si>
  <si>
    <t>Dikembe Mutombo</t>
  </si>
  <si>
    <t>Georgetown</t>
  </si>
  <si>
    <t>Steve Smith</t>
  </si>
  <si>
    <t>Michigan State</t>
  </si>
  <si>
    <t>DAL</t>
  </si>
  <si>
    <t>Doug Smith</t>
  </si>
  <si>
    <t>Missouri</t>
  </si>
  <si>
    <t>Luc Longley</t>
  </si>
  <si>
    <t>New Mexico</t>
  </si>
  <si>
    <t>Mark Macon</t>
  </si>
  <si>
    <t>Stacey Augmon</t>
  </si>
  <si>
    <t>Bison Dele</t>
  </si>
  <si>
    <t>Terrell Brandon</t>
  </si>
  <si>
    <t>Oregon</t>
  </si>
  <si>
    <t>Greg Anthony</t>
  </si>
  <si>
    <t>Dale Davis</t>
  </si>
  <si>
    <t>Rich King</t>
  </si>
  <si>
    <t>Nebraska</t>
  </si>
  <si>
    <t>Anthony Avent</t>
  </si>
  <si>
    <t>Seton Hall</t>
  </si>
  <si>
    <t>Chris Gatling</t>
  </si>
  <si>
    <t>Old Dominion</t>
  </si>
  <si>
    <t>Victor Alexander</t>
  </si>
  <si>
    <t>Iowa State</t>
  </si>
  <si>
    <t>Kevin Brooks</t>
  </si>
  <si>
    <t>Louisiana</t>
  </si>
  <si>
    <t>LaBradford Smith</t>
  </si>
  <si>
    <t>John Turner</t>
  </si>
  <si>
    <t>Phillips University</t>
  </si>
  <si>
    <t>Eric Murdock</t>
  </si>
  <si>
    <t>Providence</t>
  </si>
  <si>
    <t>LeRon Ellis</t>
  </si>
  <si>
    <t>Stanley Roberts</t>
  </si>
  <si>
    <t>Rick Fox</t>
  </si>
  <si>
    <t>UNC</t>
  </si>
  <si>
    <t>Mark Randall</t>
  </si>
  <si>
    <t>Pete Chilcutt</t>
  </si>
  <si>
    <t>Kevin Lynch</t>
  </si>
  <si>
    <t>Rodney Monroe</t>
  </si>
  <si>
    <t>NC State</t>
  </si>
  <si>
    <t>Randy Brown</t>
  </si>
  <si>
    <t>New Mexico State</t>
  </si>
  <si>
    <t>Chad Gallagher</t>
  </si>
  <si>
    <t>Creighton</t>
  </si>
  <si>
    <t>Donald Hodge</t>
  </si>
  <si>
    <t>Myron Brown</t>
  </si>
  <si>
    <t>Slippery Rock University of Pennsylvania</t>
  </si>
  <si>
    <t>Mike Iuzzolino</t>
  </si>
  <si>
    <t>Saint Francis University</t>
  </si>
  <si>
    <t>Chris Corchiani</t>
  </si>
  <si>
    <t>Elliot Perry</t>
  </si>
  <si>
    <t>Memphis</t>
  </si>
  <si>
    <t>Jimmy Oliver</t>
  </si>
  <si>
    <t>Doug Overton</t>
  </si>
  <si>
    <t>Sean Green</t>
  </si>
  <si>
    <t>Iona College</t>
  </si>
  <si>
    <t>Lamont Strothers</t>
  </si>
  <si>
    <t>Christopher Newport University</t>
  </si>
  <si>
    <t>Bobby Phills</t>
  </si>
  <si>
    <t>Southern University and A&amp;M College</t>
  </si>
  <si>
    <t>Richard Dumas</t>
  </si>
  <si>
    <t>Oklahoma State</t>
  </si>
  <si>
    <t>Isaac Austin</t>
  </si>
  <si>
    <t>Arizona State</t>
  </si>
  <si>
    <t>Greg Sutton</t>
  </si>
  <si>
    <t>Oral Roberts</t>
  </si>
  <si>
    <t>Žan Tabak</t>
  </si>
  <si>
    <t>Shaquille O'Neal</t>
  </si>
  <si>
    <t>Alonzo Mourning</t>
  </si>
  <si>
    <t>Christian Laettner</t>
  </si>
  <si>
    <t>Jim Jackson</t>
  </si>
  <si>
    <t>Ohio State</t>
  </si>
  <si>
    <t>LaPhonso Ellis</t>
  </si>
  <si>
    <t>Notre Dame</t>
  </si>
  <si>
    <t>Tom Gugliotta</t>
  </si>
  <si>
    <t>Walt Williams</t>
  </si>
  <si>
    <t>Todd Day</t>
  </si>
  <si>
    <t>Arkansas</t>
  </si>
  <si>
    <t>Clarence Weatherspoon</t>
  </si>
  <si>
    <t>Southern Miss</t>
  </si>
  <si>
    <t>Adam Keefe</t>
  </si>
  <si>
    <t>Stanford</t>
  </si>
  <si>
    <t>Robert Horry</t>
  </si>
  <si>
    <t>Alabama</t>
  </si>
  <si>
    <t>Harold Miner</t>
  </si>
  <si>
    <t>USC</t>
  </si>
  <si>
    <t>Bryant Stith</t>
  </si>
  <si>
    <t>Virginia</t>
  </si>
  <si>
    <t>Malik Sealy</t>
  </si>
  <si>
    <t>Anthony Peeler</t>
  </si>
  <si>
    <t>Randy Woods</t>
  </si>
  <si>
    <t>Doug Christie</t>
  </si>
  <si>
    <t>Pepperdine</t>
  </si>
  <si>
    <t>Tracy Murray</t>
  </si>
  <si>
    <t>Don MacLean</t>
  </si>
  <si>
    <t>Hubert Davis</t>
  </si>
  <si>
    <t>Jon Barry</t>
  </si>
  <si>
    <t>Oliver Miller</t>
  </si>
  <si>
    <t>Lee Mayberry</t>
  </si>
  <si>
    <t>Latrell Sprewell</t>
  </si>
  <si>
    <t>Elmore Spencer</t>
  </si>
  <si>
    <t>Dave Johnson</t>
  </si>
  <si>
    <t>Byron Houston</t>
  </si>
  <si>
    <t>Marlon Maxey</t>
  </si>
  <si>
    <t>P.J. Brown</t>
  </si>
  <si>
    <t>Louisiana Tech</t>
  </si>
  <si>
    <t>Sean Rooks</t>
  </si>
  <si>
    <t>Reggie Smith</t>
  </si>
  <si>
    <t>TCU</t>
  </si>
  <si>
    <t>Brent Price</t>
  </si>
  <si>
    <t>Oklahoma</t>
  </si>
  <si>
    <t>Corey Williams</t>
  </si>
  <si>
    <t>Chris Smith</t>
  </si>
  <si>
    <t>Tony Bennett</t>
  </si>
  <si>
    <t>Green Bay</t>
  </si>
  <si>
    <t>Duane Cooper</t>
  </si>
  <si>
    <t>Isaiah Morris</t>
  </si>
  <si>
    <t>Elmer Bennett</t>
  </si>
  <si>
    <t>Litterial Green</t>
  </si>
  <si>
    <t>Popeye Jones</t>
  </si>
  <si>
    <t>Murray State</t>
  </si>
  <si>
    <t>Matt Geiger</t>
  </si>
  <si>
    <t>Sasha Danilović</t>
  </si>
  <si>
    <t>Chris King</t>
  </si>
  <si>
    <t>Wake Forest</t>
  </si>
  <si>
    <t>Robert Werdann</t>
  </si>
  <si>
    <t>Darren Morningstar</t>
  </si>
  <si>
    <t>Pitt</t>
  </si>
  <si>
    <t>Brian Davis</t>
  </si>
  <si>
    <t>Matt Fish</t>
  </si>
  <si>
    <t>UNC Wilmington</t>
  </si>
  <si>
    <t>Matt Steigenga</t>
  </si>
  <si>
    <t>Chris Webber</t>
  </si>
  <si>
    <t>Shawn Bradley</t>
  </si>
  <si>
    <t>BYU</t>
  </si>
  <si>
    <t>Anfernee Hardaway</t>
  </si>
  <si>
    <t>Jamal Mashburn</t>
  </si>
  <si>
    <t>Kentucky</t>
  </si>
  <si>
    <t>Isaiah Rider</t>
  </si>
  <si>
    <t>Calbert Cheaney</t>
  </si>
  <si>
    <t>Indiana</t>
  </si>
  <si>
    <t>Bobby Hurley</t>
  </si>
  <si>
    <t>Vin Baker</t>
  </si>
  <si>
    <t>University of Hartford</t>
  </si>
  <si>
    <t>Rodney Rogers</t>
  </si>
  <si>
    <t>Lindsey Hunter</t>
  </si>
  <si>
    <t>Jackson State University</t>
  </si>
  <si>
    <t>Allan Houston</t>
  </si>
  <si>
    <t>Tennessee</t>
  </si>
  <si>
    <t>George Lynch</t>
  </si>
  <si>
    <t>Terry Dehere</t>
  </si>
  <si>
    <t>Scott Haskin</t>
  </si>
  <si>
    <t>Doug Edwards</t>
  </si>
  <si>
    <t>Florida State</t>
  </si>
  <si>
    <t>Rex Walters</t>
  </si>
  <si>
    <t>Greg Graham</t>
  </si>
  <si>
    <t>Luther Wright</t>
  </si>
  <si>
    <t>Acie Earl</t>
  </si>
  <si>
    <t>Scott Burrell</t>
  </si>
  <si>
    <t>James Robinson</t>
  </si>
  <si>
    <t>Chris Mills</t>
  </si>
  <si>
    <t>Ervin Johnson</t>
  </si>
  <si>
    <t>New Orleans</t>
  </si>
  <si>
    <t>Sam Cassell</t>
  </si>
  <si>
    <t>Corie Blount</t>
  </si>
  <si>
    <t>Cincinnati</t>
  </si>
  <si>
    <t>Geert Hammink</t>
  </si>
  <si>
    <t>Malcolm Mackey</t>
  </si>
  <si>
    <t>Lucious Harris</t>
  </si>
  <si>
    <t>Cal State Long Beach</t>
  </si>
  <si>
    <t>Gheorghe Mureșan</t>
  </si>
  <si>
    <t>Evers Burns</t>
  </si>
  <si>
    <t>Alphonso Ford</t>
  </si>
  <si>
    <t>Mississippi Valley State University</t>
  </si>
  <si>
    <t>Eric Riley</t>
  </si>
  <si>
    <t>Darnell Mee</t>
  </si>
  <si>
    <t>Western Kentucky</t>
  </si>
  <si>
    <t>Ed Stokes</t>
  </si>
  <si>
    <t>Nick Van Exel</t>
  </si>
  <si>
    <t>Rich Manning</t>
  </si>
  <si>
    <t>Washington</t>
  </si>
  <si>
    <t>Adonis Jordan</t>
  </si>
  <si>
    <t>Josh Grant</t>
  </si>
  <si>
    <t>Utah</t>
  </si>
  <si>
    <t>Bryon Russell</t>
  </si>
  <si>
    <t>Richard Petruška</t>
  </si>
  <si>
    <t>Chris Whitney</t>
  </si>
  <si>
    <t>Kevin Thompson</t>
  </si>
  <si>
    <t>Mike Peplowski</t>
  </si>
  <si>
    <t>Glenn Robinson</t>
  </si>
  <si>
    <t>Jason Kidd</t>
  </si>
  <si>
    <t>California</t>
  </si>
  <si>
    <t>Grant Hill</t>
  </si>
  <si>
    <t>Donyell Marshall</t>
  </si>
  <si>
    <t>Juwan Howard</t>
  </si>
  <si>
    <t>Sharone Wright</t>
  </si>
  <si>
    <t>Lamond Murray</t>
  </si>
  <si>
    <t>Brian Grant</t>
  </si>
  <si>
    <t>Eric Montross</t>
  </si>
  <si>
    <t>Eddie Jones</t>
  </si>
  <si>
    <t>Carlos Rogers</t>
  </si>
  <si>
    <t>Tennessee State</t>
  </si>
  <si>
    <t>Khalid Reeves</t>
  </si>
  <si>
    <t>Jalen Rose</t>
  </si>
  <si>
    <t>Yinka Dare</t>
  </si>
  <si>
    <t>George Washington</t>
  </si>
  <si>
    <t>Eric Piatkowski</t>
  </si>
  <si>
    <t>Clifford Rozier</t>
  </si>
  <si>
    <t>Aaron McKie</t>
  </si>
  <si>
    <t>Eric Mobley</t>
  </si>
  <si>
    <t>Tony Dumas</t>
  </si>
  <si>
    <t>Missouri-Kansas City</t>
  </si>
  <si>
    <t>B.J. Tyler</t>
  </si>
  <si>
    <t>Dickey Simpkins</t>
  </si>
  <si>
    <t>Bill Curley</t>
  </si>
  <si>
    <t>Boston College</t>
  </si>
  <si>
    <t>Wesley Person</t>
  </si>
  <si>
    <t>Auburn</t>
  </si>
  <si>
    <t>Monty Williams</t>
  </si>
  <si>
    <t>Greg Minor</t>
  </si>
  <si>
    <t>Charlie Ward</t>
  </si>
  <si>
    <t>Brooks Thompson</t>
  </si>
  <si>
    <t>Antonio Lang</t>
  </si>
  <si>
    <t>Howard Eisley</t>
  </si>
  <si>
    <t>Jim McIlvaine</t>
  </si>
  <si>
    <t>Derrick Alston</t>
  </si>
  <si>
    <t>Duquesne</t>
  </si>
  <si>
    <t>Gaylon Nickerson</t>
  </si>
  <si>
    <t>Northwestern Oklahoma State University</t>
  </si>
  <si>
    <t>Michael Smith</t>
  </si>
  <si>
    <t>Dontonio Wingfield</t>
  </si>
  <si>
    <t>Darrin Hancock</t>
  </si>
  <si>
    <t>Anthony Miller</t>
  </si>
  <si>
    <t>Jeff Webster</t>
  </si>
  <si>
    <t>Shawnelle Scott</t>
  </si>
  <si>
    <t>Dwayne Morton</t>
  </si>
  <si>
    <t>Voshon Lenard</t>
  </si>
  <si>
    <t>Jamie Watson</t>
  </si>
  <si>
    <t>South Carolina</t>
  </si>
  <si>
    <t>Charles Claxton</t>
  </si>
  <si>
    <t>Lawrence Funderburke</t>
  </si>
  <si>
    <t>Anthony Goldwire</t>
  </si>
  <si>
    <t>Željko Rebrača</t>
  </si>
  <si>
    <t>Joe Smith</t>
  </si>
  <si>
    <t>Antonio McDyess</t>
  </si>
  <si>
    <t>Jerry Stackhouse</t>
  </si>
  <si>
    <t>Rasheed Wallace</t>
  </si>
  <si>
    <t>Kevin Garnett</t>
  </si>
  <si>
    <t>MEM</t>
  </si>
  <si>
    <t>Bryant Reeves</t>
  </si>
  <si>
    <t>TOR</t>
  </si>
  <si>
    <t>Damon Stoudamire</t>
  </si>
  <si>
    <t>Shawn Respert</t>
  </si>
  <si>
    <t>Ed O'Bannon</t>
  </si>
  <si>
    <t>Kurt Thomas</t>
  </si>
  <si>
    <t>Gary Trent</t>
  </si>
  <si>
    <t>Cherokee Parks</t>
  </si>
  <si>
    <t>Corliss Williamson</t>
  </si>
  <si>
    <t>Eric Williams</t>
  </si>
  <si>
    <t>Brent Barry</t>
  </si>
  <si>
    <t>Alan Henderson</t>
  </si>
  <si>
    <t>Bob Sura</t>
  </si>
  <si>
    <t>Theo Ratliff</t>
  </si>
  <si>
    <t>Wyoming</t>
  </si>
  <si>
    <t>Randolph Childress</t>
  </si>
  <si>
    <t>Jason Caffey</t>
  </si>
  <si>
    <t>Michael Finley</t>
  </si>
  <si>
    <t>Wisconsin</t>
  </si>
  <si>
    <t>George Zídek</t>
  </si>
  <si>
    <t>Travis Best</t>
  </si>
  <si>
    <t>Loren Meyer</t>
  </si>
  <si>
    <t>David Vaughn</t>
  </si>
  <si>
    <t>Sherell Ford</t>
  </si>
  <si>
    <t>University of Illinois at Chicago</t>
  </si>
  <si>
    <t>Mario Bennett</t>
  </si>
  <si>
    <t>Greg Ostertag</t>
  </si>
  <si>
    <t>Cory Alexander</t>
  </si>
  <si>
    <t>Lou Roe</t>
  </si>
  <si>
    <t>UMass</t>
  </si>
  <si>
    <t>Dragan Tarlać</t>
  </si>
  <si>
    <t>Terrence Rencher</t>
  </si>
  <si>
    <t>Junior Burrough</t>
  </si>
  <si>
    <t>Andrew DeClercq</t>
  </si>
  <si>
    <t>Jimmy King</t>
  </si>
  <si>
    <t>Lawrence Moten</t>
  </si>
  <si>
    <t>Frankie King</t>
  </si>
  <si>
    <t>Western Carolina University</t>
  </si>
  <si>
    <t>Donny Marshall</t>
  </si>
  <si>
    <t>Dwayne Whitfield</t>
  </si>
  <si>
    <t>Donnie Boyce</t>
  </si>
  <si>
    <t>Colorado</t>
  </si>
  <si>
    <t>Eric Snow</t>
  </si>
  <si>
    <t>Tyus Edney</t>
  </si>
  <si>
    <t>Mark Davis</t>
  </si>
  <si>
    <t>Texas Tech</t>
  </si>
  <si>
    <t>Jerome Allen</t>
  </si>
  <si>
    <t>Penn</t>
  </si>
  <si>
    <t>Martin Lewis</t>
  </si>
  <si>
    <t>Seward County Community College</t>
  </si>
  <si>
    <t>Fred Hoiberg</t>
  </si>
  <si>
    <t>Michael McDonald</t>
  </si>
  <si>
    <t>Chris Carr</t>
  </si>
  <si>
    <t>Southern Illinois</t>
  </si>
  <si>
    <t>Cuonzo Martin</t>
  </si>
  <si>
    <t>Don Reid</t>
  </si>
  <si>
    <t>Allen Iverson</t>
  </si>
  <si>
    <t>Marcus Camby</t>
  </si>
  <si>
    <t>Shareef Abdur-Rahim</t>
  </si>
  <si>
    <t>Stephon Marbury</t>
  </si>
  <si>
    <t>Ray Allen</t>
  </si>
  <si>
    <t>Antoine Walker</t>
  </si>
  <si>
    <t>Lorenzen Wright</t>
  </si>
  <si>
    <t>Kerry Kittles</t>
  </si>
  <si>
    <t>Villanova</t>
  </si>
  <si>
    <t>Samaki Walker</t>
  </si>
  <si>
    <t>Erick Dampier</t>
  </si>
  <si>
    <t>Mississippi State</t>
  </si>
  <si>
    <t>Todd Fuller</t>
  </si>
  <si>
    <t>Vitaly Potapenko</t>
  </si>
  <si>
    <t>Wright State University</t>
  </si>
  <si>
    <t>Kobe Bryant</t>
  </si>
  <si>
    <t>Peja Stojaković</t>
  </si>
  <si>
    <t>Steve Nash</t>
  </si>
  <si>
    <t>Santa Clara</t>
  </si>
  <si>
    <t>Tony Delk</t>
  </si>
  <si>
    <t>Jermaine O'Neal</t>
  </si>
  <si>
    <t>John Wallace</t>
  </si>
  <si>
    <t>Walter McCarty</t>
  </si>
  <si>
    <t>Zydrunas Ilgauskas</t>
  </si>
  <si>
    <t>Dontae' Jones</t>
  </si>
  <si>
    <t>Roy Rogers</t>
  </si>
  <si>
    <t>Efthimios Rentzias</t>
  </si>
  <si>
    <t>Derek Fisher</t>
  </si>
  <si>
    <t>Little Rock</t>
  </si>
  <si>
    <t>Martin Müürsepp</t>
  </si>
  <si>
    <t>Jerome Williams</t>
  </si>
  <si>
    <t>Brian Evans</t>
  </si>
  <si>
    <t>Priest Lauderdale</t>
  </si>
  <si>
    <t>Central State University</t>
  </si>
  <si>
    <t>Travis Knight</t>
  </si>
  <si>
    <t>Othella Harrington</t>
  </si>
  <si>
    <t>Mark Hendrickson</t>
  </si>
  <si>
    <t>Washington State</t>
  </si>
  <si>
    <t>Moochie Norris</t>
  </si>
  <si>
    <t>University of West Florida</t>
  </si>
  <si>
    <t>Jeff McInnis</t>
  </si>
  <si>
    <t>Steve Hamer</t>
  </si>
  <si>
    <t>Jason Sasser</t>
  </si>
  <si>
    <t>Randy Livingston</t>
  </si>
  <si>
    <t>Ben Davis</t>
  </si>
  <si>
    <t>Malik Rose</t>
  </si>
  <si>
    <t>Drexel</t>
  </si>
  <si>
    <t>Marcus Brown</t>
  </si>
  <si>
    <t>Jamie Feick</t>
  </si>
  <si>
    <t>Amal McCaskill</t>
  </si>
  <si>
    <t>Chris Robinson</t>
  </si>
  <si>
    <t>Mark Pope</t>
  </si>
  <si>
    <t>Jeff Nordgaard</t>
  </si>
  <si>
    <t>Shandon Anderson</t>
  </si>
  <si>
    <t>Reggie Geary</t>
  </si>
  <si>
    <t>Drew Barry</t>
  </si>
  <si>
    <t>Tim Duncan</t>
  </si>
  <si>
    <t>Keith Van Horn</t>
  </si>
  <si>
    <t>Chauncey Billups</t>
  </si>
  <si>
    <t>Antonio Daniels</t>
  </si>
  <si>
    <t>Bowling Green</t>
  </si>
  <si>
    <t>Tony Battie</t>
  </si>
  <si>
    <t>Ron Mercer</t>
  </si>
  <si>
    <t>Tim Thomas</t>
  </si>
  <si>
    <t>Adonal Foyle</t>
  </si>
  <si>
    <t>Colgate</t>
  </si>
  <si>
    <t>Tracy McGrady</t>
  </si>
  <si>
    <t>Danny Fortson</t>
  </si>
  <si>
    <t>Tariq Abdul-Wahad</t>
  </si>
  <si>
    <t>San Jose State</t>
  </si>
  <si>
    <t>Austin Croshere</t>
  </si>
  <si>
    <t>Derek Anderson</t>
  </si>
  <si>
    <t>Maurice Taylor</t>
  </si>
  <si>
    <t>Kelvin Cato</t>
  </si>
  <si>
    <t>Brevin Knight</t>
  </si>
  <si>
    <t>Johnny Taylor</t>
  </si>
  <si>
    <t>Chattanooga</t>
  </si>
  <si>
    <t>Chris Anstey</t>
  </si>
  <si>
    <t>Scot Pollard</t>
  </si>
  <si>
    <t>Paul Grant</t>
  </si>
  <si>
    <t>Anthony Parker</t>
  </si>
  <si>
    <t>Bradley</t>
  </si>
  <si>
    <t>Ed Gray</t>
  </si>
  <si>
    <t>Bobby Jackson</t>
  </si>
  <si>
    <t>Rodrick Rhodes</t>
  </si>
  <si>
    <t>John Thomas</t>
  </si>
  <si>
    <t>Charles Smith</t>
  </si>
  <si>
    <t>Jacque Vaughn</t>
  </si>
  <si>
    <t>Keith Booth</t>
  </si>
  <si>
    <t>Charles O'Bannon</t>
  </si>
  <si>
    <t>James Cotton</t>
  </si>
  <si>
    <t>Marko Milič</t>
  </si>
  <si>
    <t>Bubba Wells</t>
  </si>
  <si>
    <t>Austin Peay State University</t>
  </si>
  <si>
    <t>Kebu Stewart</t>
  </si>
  <si>
    <t>Cal State-Bakersfield</t>
  </si>
  <si>
    <t>James Collins</t>
  </si>
  <si>
    <t>Marc Jackson</t>
  </si>
  <si>
    <t>Jerald Honeycutt</t>
  </si>
  <si>
    <t>Tulane</t>
  </si>
  <si>
    <t>Anthony Johnson</t>
  </si>
  <si>
    <t>College of Charleston</t>
  </si>
  <si>
    <t>Jason Lawson</t>
  </si>
  <si>
    <t>Stephen Jackson</t>
  </si>
  <si>
    <t>Butler County Community College</t>
  </si>
  <si>
    <t>Cedric Henderson</t>
  </si>
  <si>
    <t>God Shammgod</t>
  </si>
  <si>
    <t>Eric Washington</t>
  </si>
  <si>
    <t>Alvin Williams</t>
  </si>
  <si>
    <t>Predrag Drobnjak</t>
  </si>
  <si>
    <t>Chris Crawford</t>
  </si>
  <si>
    <t>DeJuan Wheat</t>
  </si>
  <si>
    <t>Mark Blount</t>
  </si>
  <si>
    <t>Michael Olowokandi</t>
  </si>
  <si>
    <t>University of the Pacific</t>
  </si>
  <si>
    <t>Mike Bibby</t>
  </si>
  <si>
    <t>Raef LaFrentz</t>
  </si>
  <si>
    <t>Antawn Jamison</t>
  </si>
  <si>
    <t>Vince Carter</t>
  </si>
  <si>
    <t>Robert Traylor</t>
  </si>
  <si>
    <t>Jason Williams</t>
  </si>
  <si>
    <t>Larry Hughes</t>
  </si>
  <si>
    <t>Dirk Nowitzki</t>
  </si>
  <si>
    <t>Paul Pierce</t>
  </si>
  <si>
    <t>Bonzi Wells</t>
  </si>
  <si>
    <t>Ball State University</t>
  </si>
  <si>
    <t>Michael Doleac</t>
  </si>
  <si>
    <t>Keon Clark</t>
  </si>
  <si>
    <t>Michael Dickerson</t>
  </si>
  <si>
    <t>Matt Harpring</t>
  </si>
  <si>
    <t>Bryce Drew</t>
  </si>
  <si>
    <t>Valparaiso</t>
  </si>
  <si>
    <t>Rasho Nesterović</t>
  </si>
  <si>
    <t>Mirsad Türkcan</t>
  </si>
  <si>
    <t>Pat Garrity</t>
  </si>
  <si>
    <t>Roshown McLeod</t>
  </si>
  <si>
    <t>Ricky Davis</t>
  </si>
  <si>
    <t>Brian Skinner</t>
  </si>
  <si>
    <t>Baylor</t>
  </si>
  <si>
    <t>Tyronn Lue</t>
  </si>
  <si>
    <t>Felipe López</t>
  </si>
  <si>
    <t>Al Harrington</t>
  </si>
  <si>
    <t>Sam Jacobson</t>
  </si>
  <si>
    <t>Vladimir Stepania</t>
  </si>
  <si>
    <t>Corey Benjamin</t>
  </si>
  <si>
    <t>Nazr Mohammed</t>
  </si>
  <si>
    <t>Ansu Sesay</t>
  </si>
  <si>
    <t>Ruben Patterson</t>
  </si>
  <si>
    <t>Rashard Lewis</t>
  </si>
  <si>
    <t>Jelani McCoy</t>
  </si>
  <si>
    <t>Shammond Williams</t>
  </si>
  <si>
    <t>Bruno Šundov</t>
  </si>
  <si>
    <t>Jerome James</t>
  </si>
  <si>
    <t>Florida A&amp;M</t>
  </si>
  <si>
    <t>Casey Shaw</t>
  </si>
  <si>
    <t>Toledo</t>
  </si>
  <si>
    <t>DeMarco Johnson</t>
  </si>
  <si>
    <t>UNC Charlotte</t>
  </si>
  <si>
    <t>Rafer Alston</t>
  </si>
  <si>
    <t>Fresno State</t>
  </si>
  <si>
    <t>Korleone Young</t>
  </si>
  <si>
    <t>Cuttino Mobley</t>
  </si>
  <si>
    <t>Rhode Island</t>
  </si>
  <si>
    <t>Miles Simon</t>
  </si>
  <si>
    <t>Jahidi White</t>
  </si>
  <si>
    <t>Sean Marks</t>
  </si>
  <si>
    <t>Toby Bailey</t>
  </si>
  <si>
    <t>Andrae Patterson</t>
  </si>
  <si>
    <t>Tyson Wheeler</t>
  </si>
  <si>
    <t>Ryan Stack</t>
  </si>
  <si>
    <t>Cory Carr</t>
  </si>
  <si>
    <t>Derrick Dial</t>
  </si>
  <si>
    <t>Eastern Michigan</t>
  </si>
  <si>
    <t>Greg Buckner</t>
  </si>
  <si>
    <t>Tremaine Fowlkes</t>
  </si>
  <si>
    <t>Ryan Bowen</t>
  </si>
  <si>
    <t>J.R. Henderson</t>
  </si>
  <si>
    <t>Torraye Braggs</t>
  </si>
  <si>
    <t>Maceo Baston</t>
  </si>
  <si>
    <t>Elton Brand</t>
  </si>
  <si>
    <t>Steve Francis</t>
  </si>
  <si>
    <t>Baron Davis</t>
  </si>
  <si>
    <t>Lamar Odom</t>
  </si>
  <si>
    <t>Jonathan Bender</t>
  </si>
  <si>
    <t>Wally Szczerbiak</t>
  </si>
  <si>
    <t>Miami University</t>
  </si>
  <si>
    <t>Richard Hamilton</t>
  </si>
  <si>
    <t>Andre Miller</t>
  </si>
  <si>
    <t>Shawn Marion</t>
  </si>
  <si>
    <t>Jason Terry</t>
  </si>
  <si>
    <t>Trajan Langdon</t>
  </si>
  <si>
    <t>Aleksandar Radojević</t>
  </si>
  <si>
    <t>Barton County Community College</t>
  </si>
  <si>
    <t>Corey Maggette</t>
  </si>
  <si>
    <t>William Avery</t>
  </si>
  <si>
    <t>Metta World Peace</t>
  </si>
  <si>
    <t>Cal Bowdler</t>
  </si>
  <si>
    <t>James Posey</t>
  </si>
  <si>
    <t>Quincy Lewis</t>
  </si>
  <si>
    <t>Dion Glover</t>
  </si>
  <si>
    <t>Jeff Foster</t>
  </si>
  <si>
    <t>Texas State University</t>
  </si>
  <si>
    <t>Kenny Thomas</t>
  </si>
  <si>
    <t>Devean George</t>
  </si>
  <si>
    <t>Augsburg College</t>
  </si>
  <si>
    <t>Andrei Kirilenko</t>
  </si>
  <si>
    <t>Tim James</t>
  </si>
  <si>
    <t>Miami (FL)</t>
  </si>
  <si>
    <t>Vonteego Cummings</t>
  </si>
  <si>
    <t>Jumaine Jones</t>
  </si>
  <si>
    <t>Scott Padgett</t>
  </si>
  <si>
    <t>Leon Smith</t>
  </si>
  <si>
    <t>John Celestand</t>
  </si>
  <si>
    <t>Michael Ruffin</t>
  </si>
  <si>
    <t>Tulsa</t>
  </si>
  <si>
    <t>Chris Herren</t>
  </si>
  <si>
    <t>Evan Eschmeyer</t>
  </si>
  <si>
    <t>Northwestern</t>
  </si>
  <si>
    <t>Calvin Booth</t>
  </si>
  <si>
    <t>Penn State</t>
  </si>
  <si>
    <t>Wang Zhizhi</t>
  </si>
  <si>
    <t>Obinna Ekezie</t>
  </si>
  <si>
    <t>Laron Profit</t>
  </si>
  <si>
    <t>A.J. Bramlett</t>
  </si>
  <si>
    <t>Gordan Giriček</t>
  </si>
  <si>
    <t>Francisco Elson</t>
  </si>
  <si>
    <t>Lee Nailon</t>
  </si>
  <si>
    <t>Ryan Robertson</t>
  </si>
  <si>
    <t>Todd MacCulloch</t>
  </si>
  <si>
    <t>Lari Ketner</t>
  </si>
  <si>
    <t>Rodney Buford</t>
  </si>
  <si>
    <t>Tim Young</t>
  </si>
  <si>
    <t>Manu Ginóbili</t>
  </si>
  <si>
    <t>Kenyon Martin</t>
  </si>
  <si>
    <t>Stromile Swift</t>
  </si>
  <si>
    <t>Darius Miles</t>
  </si>
  <si>
    <t>Marcus Fizer</t>
  </si>
  <si>
    <t>Mike Miller</t>
  </si>
  <si>
    <t>DerMarr Johnson</t>
  </si>
  <si>
    <t>Chris Mihm</t>
  </si>
  <si>
    <t>Jamal Crawford</t>
  </si>
  <si>
    <t>Joel Przybilla</t>
  </si>
  <si>
    <t>Keyon Dooling</t>
  </si>
  <si>
    <t>Jérôme Moïso</t>
  </si>
  <si>
    <t>Etan Thomas</t>
  </si>
  <si>
    <t>Courtney Alexander</t>
  </si>
  <si>
    <t>Mateen Cleaves</t>
  </si>
  <si>
    <t>Jason Collier</t>
  </si>
  <si>
    <t>Hedo Türkoğlu</t>
  </si>
  <si>
    <t>Desmond Mason</t>
  </si>
  <si>
    <t>Quentin Richardson</t>
  </si>
  <si>
    <t>DePaul</t>
  </si>
  <si>
    <t>Jamaal Magloire</t>
  </si>
  <si>
    <t>Speedy Claxton</t>
  </si>
  <si>
    <t>Hofstra</t>
  </si>
  <si>
    <t>Morris Peterson</t>
  </si>
  <si>
    <t>Donnell Harvey</t>
  </si>
  <si>
    <t>DeShawn Stevenson</t>
  </si>
  <si>
    <t>Dalibor Bagarić</t>
  </si>
  <si>
    <t>Jake Tsakalidis</t>
  </si>
  <si>
    <t>Mamadou N'Diaye</t>
  </si>
  <si>
    <t>Primož Brezec</t>
  </si>
  <si>
    <t>Erick Barkley</t>
  </si>
  <si>
    <t>Mark Madsen</t>
  </si>
  <si>
    <t>Marko Jarić</t>
  </si>
  <si>
    <t>Dan Langhi</t>
  </si>
  <si>
    <t>Vanderbilt</t>
  </si>
  <si>
    <t>A.J. Guyton</t>
  </si>
  <si>
    <t>Jake Voskuhl</t>
  </si>
  <si>
    <t>Khalid El-Amin</t>
  </si>
  <si>
    <t>Mike Smith</t>
  </si>
  <si>
    <t>Louisiana-Monroe</t>
  </si>
  <si>
    <t>Soumaila Samake</t>
  </si>
  <si>
    <t>Eddie House</t>
  </si>
  <si>
    <t>Eduardo Nájera</t>
  </si>
  <si>
    <t>Lavor Postell</t>
  </si>
  <si>
    <t>Hanno Möttölä</t>
  </si>
  <si>
    <t>Olumide Oyedeji</t>
  </si>
  <si>
    <t>Michael Redd</t>
  </si>
  <si>
    <t>Brian Cardinal</t>
  </si>
  <si>
    <t>Jabari Smith</t>
  </si>
  <si>
    <t>Jason Hart</t>
  </si>
  <si>
    <t>Kaniel Dickens</t>
  </si>
  <si>
    <t>Idaho</t>
  </si>
  <si>
    <t>Igor Rakočević</t>
  </si>
  <si>
    <t>Ernest Brown</t>
  </si>
  <si>
    <t>Indian Hills Community College</t>
  </si>
  <si>
    <t>Dan McClintock</t>
  </si>
  <si>
    <t>Northern Arizona University</t>
  </si>
  <si>
    <t>Chris Porter</t>
  </si>
  <si>
    <t>Kwame Brown</t>
  </si>
  <si>
    <t>Tyson Chandler</t>
  </si>
  <si>
    <t>Pau Gasol</t>
  </si>
  <si>
    <t>Eddy Curry</t>
  </si>
  <si>
    <t>Jason Richardson</t>
  </si>
  <si>
    <t>Shane Battier</t>
  </si>
  <si>
    <t>Eddie Griffin</t>
  </si>
  <si>
    <t>DeSagana Diop</t>
  </si>
  <si>
    <t>Rodney White</t>
  </si>
  <si>
    <t>Joe Johnson</t>
  </si>
  <si>
    <t>Kedrick Brown</t>
  </si>
  <si>
    <t>Okaloosa-Walton Community College</t>
  </si>
  <si>
    <t>Vladimir Radmanović</t>
  </si>
  <si>
    <t>Richard Jefferson</t>
  </si>
  <si>
    <t>Troy Murphy</t>
  </si>
  <si>
    <t>Steven Hunter</t>
  </si>
  <si>
    <t>Kirk Haston</t>
  </si>
  <si>
    <t>Michael Bradley</t>
  </si>
  <si>
    <t>Jason Collins</t>
  </si>
  <si>
    <t>Zach Randolph</t>
  </si>
  <si>
    <t>Brendan Haywood</t>
  </si>
  <si>
    <t>Joseph Forte</t>
  </si>
  <si>
    <t>Jeryl Sasser</t>
  </si>
  <si>
    <t>SMU</t>
  </si>
  <si>
    <t>Brandon Armstrong</t>
  </si>
  <si>
    <t>Raül López</t>
  </si>
  <si>
    <t>Gerald Wallace</t>
  </si>
  <si>
    <t>Samuel Dalembert</t>
  </si>
  <si>
    <t>Jamaal Tinsley</t>
  </si>
  <si>
    <t>Tony Parker</t>
  </si>
  <si>
    <t>Trenton Hassell</t>
  </si>
  <si>
    <t>Gilbert Arenas</t>
  </si>
  <si>
    <t>Omar Cook</t>
  </si>
  <si>
    <t>Will Solomon</t>
  </si>
  <si>
    <t>Terence Morris</t>
  </si>
  <si>
    <t>Brian Scalabrine</t>
  </si>
  <si>
    <t>Jeff Trepagnier</t>
  </si>
  <si>
    <t>Damone Brown</t>
  </si>
  <si>
    <t>Mehmet Okur</t>
  </si>
  <si>
    <t>Earl Watson</t>
  </si>
  <si>
    <t>Jamison Brewer</t>
  </si>
  <si>
    <t>Bobby Simmons</t>
  </si>
  <si>
    <t>Sean Lampley</t>
  </si>
  <si>
    <t>Loren Woods</t>
  </si>
  <si>
    <t>Antonis Fotsis</t>
  </si>
  <si>
    <t>Ken Johnson</t>
  </si>
  <si>
    <t>Ruben Boumtje-Boumtje</t>
  </si>
  <si>
    <t>Alton Ford</t>
  </si>
  <si>
    <t>Jarron Collins</t>
  </si>
  <si>
    <t>Kenny Satterfield</t>
  </si>
  <si>
    <t>Alvin Jones</t>
  </si>
  <si>
    <t>Yao Ming</t>
  </si>
  <si>
    <t>Jay Williams</t>
  </si>
  <si>
    <t>Mike Dunleavy</t>
  </si>
  <si>
    <t>Drew Gooden</t>
  </si>
  <si>
    <t>Nikoloz Tskitishvili</t>
  </si>
  <si>
    <t>Dajuan Wagner</t>
  </si>
  <si>
    <t>Nenê</t>
  </si>
  <si>
    <t>Chris Wilcox</t>
  </si>
  <si>
    <t>Amar'e Stoudemire</t>
  </si>
  <si>
    <t>Caron Butler</t>
  </si>
  <si>
    <t>Jared Jeffries</t>
  </si>
  <si>
    <t>Melvin Ely</t>
  </si>
  <si>
    <t>Marcus Haislip</t>
  </si>
  <si>
    <t>Fred Jones</t>
  </si>
  <si>
    <t>Boštjan Nachbar</t>
  </si>
  <si>
    <t>Jiří Welsch</t>
  </si>
  <si>
    <t>Juan Dixon</t>
  </si>
  <si>
    <t>Curtis Borchardt</t>
  </si>
  <si>
    <t>Ryan Humphrey</t>
  </si>
  <si>
    <t>Kareem Rush</t>
  </si>
  <si>
    <t>Qyntel Woods</t>
  </si>
  <si>
    <t>Northeast Mississippi Community College</t>
  </si>
  <si>
    <t>Casey Jacobsen</t>
  </si>
  <si>
    <t>Tayshaun Prince</t>
  </si>
  <si>
    <t>Nenad Krstić</t>
  </si>
  <si>
    <t>Frank Williams</t>
  </si>
  <si>
    <t>John Salmons</t>
  </si>
  <si>
    <t>Chris Jefferies</t>
  </si>
  <si>
    <t>Dan Dickau</t>
  </si>
  <si>
    <t>Gonzaga</t>
  </si>
  <si>
    <t>Roger Mason</t>
  </si>
  <si>
    <t>Robert Archibald</t>
  </si>
  <si>
    <t>Vincent Yarbrough</t>
  </si>
  <si>
    <t>Dan Gadzuric</t>
  </si>
  <si>
    <t>Carlos Boozer</t>
  </si>
  <si>
    <t>David Andersen</t>
  </si>
  <si>
    <t>Tito Maddox</t>
  </si>
  <si>
    <t>Juan Carlos Navarro</t>
  </si>
  <si>
    <t>Mario Kasun</t>
  </si>
  <si>
    <t>Ronald Murray</t>
  </si>
  <si>
    <t>Shaw</t>
  </si>
  <si>
    <t>Lonny Baxter</t>
  </si>
  <si>
    <t>Matt Barnes</t>
  </si>
  <si>
    <t>Jamal Sampson</t>
  </si>
  <si>
    <t>Chris Owens</t>
  </si>
  <si>
    <t>Darius Songaila</t>
  </si>
  <si>
    <t>Rasual Butler</t>
  </si>
  <si>
    <t>Tamar Slay</t>
  </si>
  <si>
    <t>Marshall</t>
  </si>
  <si>
    <t>Luis Scola</t>
  </si>
  <si>
    <t>Randy Holcomb</t>
  </si>
  <si>
    <t>San Diego State</t>
  </si>
  <si>
    <t>Corsley Edwards</t>
  </si>
  <si>
    <t>Central Connecticut State University</t>
  </si>
  <si>
    <t>LeBron James</t>
  </si>
  <si>
    <t>Darko Miličić</t>
  </si>
  <si>
    <t>Carmelo Anthony</t>
  </si>
  <si>
    <t>Chris Bosh</t>
  </si>
  <si>
    <t>Dwyane Wade</t>
  </si>
  <si>
    <t>Chris Kaman</t>
  </si>
  <si>
    <t>Central Michigan University</t>
  </si>
  <si>
    <t>Kirk Hinrich</t>
  </si>
  <si>
    <t>T.J. Ford</t>
  </si>
  <si>
    <t>Mike Sweetney</t>
  </si>
  <si>
    <t>Jarvis Hayes</t>
  </si>
  <si>
    <t>Mickaël Piétrus</t>
  </si>
  <si>
    <t>Nick Collison</t>
  </si>
  <si>
    <t>Marcus Banks</t>
  </si>
  <si>
    <t>Luke Ridnour</t>
  </si>
  <si>
    <t>Reece Gaines</t>
  </si>
  <si>
    <t>Troy Bell</t>
  </si>
  <si>
    <t>Žarko Čabarkapa</t>
  </si>
  <si>
    <t>NOP</t>
  </si>
  <si>
    <t>David West</t>
  </si>
  <si>
    <t>Sasha Pavlović</t>
  </si>
  <si>
    <t>Dahntay Jones</t>
  </si>
  <si>
    <t>Boris Diaw</t>
  </si>
  <si>
    <t>Zoran Planinić</t>
  </si>
  <si>
    <t>Travis Outlaw</t>
  </si>
  <si>
    <t>Brian Cook</t>
  </si>
  <si>
    <t>Carlos Delfino</t>
  </si>
  <si>
    <t>Ndudi Ebi</t>
  </si>
  <si>
    <t>Kendrick Perkins</t>
  </si>
  <si>
    <t>Leandro Barbosa</t>
  </si>
  <si>
    <t>Josh Howard</t>
  </si>
  <si>
    <t>Maciej Lampe</t>
  </si>
  <si>
    <t>Jason Kapono</t>
  </si>
  <si>
    <t>Luke Walton</t>
  </si>
  <si>
    <t>Jerome Beasley</t>
  </si>
  <si>
    <t>University of North Dakota</t>
  </si>
  <si>
    <t>Travis Hansen</t>
  </si>
  <si>
    <t>Steve Blake</t>
  </si>
  <si>
    <t>Slavko Vraneš</t>
  </si>
  <si>
    <t>Derrick Zimmerman</t>
  </si>
  <si>
    <t>Willie Green</t>
  </si>
  <si>
    <t>Detroit Mercy</t>
  </si>
  <si>
    <t>Zaza Pachulia</t>
  </si>
  <si>
    <t>Keith Bogans</t>
  </si>
  <si>
    <t>Matt Bonner</t>
  </si>
  <si>
    <t>Mo Williams</t>
  </si>
  <si>
    <t>James Lang</t>
  </si>
  <si>
    <t>James Jones</t>
  </si>
  <si>
    <t>Kyle Korver</t>
  </si>
  <si>
    <t>Brandon Hunter</t>
  </si>
  <si>
    <t>Andreas Glyniadakis</t>
  </si>
  <si>
    <t>Dwight Howard</t>
  </si>
  <si>
    <t>Emeka Okafor</t>
  </si>
  <si>
    <t>Ben Gordon</t>
  </si>
  <si>
    <t>Shaun Livingston</t>
  </si>
  <si>
    <t>Devin Harris</t>
  </si>
  <si>
    <t>Josh Childress</t>
  </si>
  <si>
    <t>Luol Deng</t>
  </si>
  <si>
    <t>Rafael Araújo</t>
  </si>
  <si>
    <t>Andre Iguodala</t>
  </si>
  <si>
    <t>Luke Jackson</t>
  </si>
  <si>
    <t>Andris Biedriņš</t>
  </si>
  <si>
    <t>Robert Swift</t>
  </si>
  <si>
    <t>Sebastian Telfair</t>
  </si>
  <si>
    <t>Kris Humphries</t>
  </si>
  <si>
    <t>Al Jefferson</t>
  </si>
  <si>
    <t>Kirk Snyder</t>
  </si>
  <si>
    <t>Nevada</t>
  </si>
  <si>
    <t>Josh Smith</t>
  </si>
  <si>
    <t>J.R. Smith</t>
  </si>
  <si>
    <t>Dorell Wright</t>
  </si>
  <si>
    <t>Jameer Nelson</t>
  </si>
  <si>
    <t>Saint Joseph's</t>
  </si>
  <si>
    <t>Pavel Podkolzin</t>
  </si>
  <si>
    <t>Viktor Khryapa</t>
  </si>
  <si>
    <t>Sergei Monia</t>
  </si>
  <si>
    <t>Delonte West</t>
  </si>
  <si>
    <t>Tony Allen</t>
  </si>
  <si>
    <t>Kevin Martin</t>
  </si>
  <si>
    <t>Sasha Vujačić</t>
  </si>
  <si>
    <t>Beno Udrih</t>
  </si>
  <si>
    <t>David Harrison</t>
  </si>
  <si>
    <t>Anderson Varejão</t>
  </si>
  <si>
    <t>Jackson Vroman</t>
  </si>
  <si>
    <t>Peter John Ramos</t>
  </si>
  <si>
    <t>Lionel Chalmers</t>
  </si>
  <si>
    <t>Donta Smith</t>
  </si>
  <si>
    <t>Southeastern Illinois College</t>
  </si>
  <si>
    <t>Andre Emmett</t>
  </si>
  <si>
    <t>Antonio Burks</t>
  </si>
  <si>
    <t>Royal Ivey</t>
  </si>
  <si>
    <t>Chris Duhon</t>
  </si>
  <si>
    <t>Justin Reed</t>
  </si>
  <si>
    <t>Trevor Ariza</t>
  </si>
  <si>
    <t>Bernard Robinson</t>
  </si>
  <si>
    <t>Ha Seung-Jin</t>
  </si>
  <si>
    <t>Pape Sow</t>
  </si>
  <si>
    <t>Vassilis Spanoulis</t>
  </si>
  <si>
    <t>Matt Freije</t>
  </si>
  <si>
    <t>Luis Flores</t>
  </si>
  <si>
    <t>Manhattan College</t>
  </si>
  <si>
    <t>Andrew Bogut</t>
  </si>
  <si>
    <t>Marvin Williams</t>
  </si>
  <si>
    <t>Deron Williams</t>
  </si>
  <si>
    <t>Chris Paul</t>
  </si>
  <si>
    <t>Raymond Felton</t>
  </si>
  <si>
    <t>Martell Webster</t>
  </si>
  <si>
    <t>Charlie Villanueva</t>
  </si>
  <si>
    <t>Channing Frye</t>
  </si>
  <si>
    <t>Ike Diogu</t>
  </si>
  <si>
    <t>Andrew Bynum</t>
  </si>
  <si>
    <t>Yaroslav Korolev</t>
  </si>
  <si>
    <t>Sean May</t>
  </si>
  <si>
    <t>Rashad McCants</t>
  </si>
  <si>
    <t>Antoine Wright</t>
  </si>
  <si>
    <t>Texas A&amp;M</t>
  </si>
  <si>
    <t>Joey Graham</t>
  </si>
  <si>
    <t>Danny Granger</t>
  </si>
  <si>
    <t>Gerald Green</t>
  </si>
  <si>
    <t>Hakim Warrick</t>
  </si>
  <si>
    <t>Julius Hodge</t>
  </si>
  <si>
    <t>Nate Robinson</t>
  </si>
  <si>
    <t>Jarrett Jack</t>
  </si>
  <si>
    <t>Francisco García</t>
  </si>
  <si>
    <t>Luther Head</t>
  </si>
  <si>
    <t>Johan Petro</t>
  </si>
  <si>
    <t>Jason Maxiell</t>
  </si>
  <si>
    <t>Linas Kleiza</t>
  </si>
  <si>
    <t>Ian Mahinmi</t>
  </si>
  <si>
    <t>Wayne Simien</t>
  </si>
  <si>
    <t>David Lee</t>
  </si>
  <si>
    <t>Salim Stoudamire</t>
  </si>
  <si>
    <t>Daniel Ewing</t>
  </si>
  <si>
    <t>Brandon Bass</t>
  </si>
  <si>
    <t>C.J. Miles</t>
  </si>
  <si>
    <t>Ersan İlyasova</t>
  </si>
  <si>
    <t>Ronny Turiaf</t>
  </si>
  <si>
    <t>Travis Diener</t>
  </si>
  <si>
    <t>Von Wafer</t>
  </si>
  <si>
    <t>Monta Ellis</t>
  </si>
  <si>
    <t>Roko Ukić</t>
  </si>
  <si>
    <t>Chris Taft</t>
  </si>
  <si>
    <t>Mile Ilić</t>
  </si>
  <si>
    <t>Martynas Andriuškevičius</t>
  </si>
  <si>
    <t>Lou Williams</t>
  </si>
  <si>
    <t>Bracey Wright</t>
  </si>
  <si>
    <t>Mickaël Gelabale</t>
  </si>
  <si>
    <t>Andray Blatche</t>
  </si>
  <si>
    <t>Ryan Gomes</t>
  </si>
  <si>
    <t>Robert Whaley</t>
  </si>
  <si>
    <t>Walsh University</t>
  </si>
  <si>
    <t>Orien Greene</t>
  </si>
  <si>
    <t>Dijon Thompson</t>
  </si>
  <si>
    <t>Lawrence Roberts</t>
  </si>
  <si>
    <t>Amir Johnson</t>
  </si>
  <si>
    <t>Marcin Gortat</t>
  </si>
  <si>
    <t>Uroš Slokar</t>
  </si>
  <si>
    <t>Alex Acker</t>
  </si>
  <si>
    <t>Andrea Bargnani</t>
  </si>
  <si>
    <t>LaMarcus Aldridge</t>
  </si>
  <si>
    <t>Adam Morrison</t>
  </si>
  <si>
    <t>Tyrus Thomas</t>
  </si>
  <si>
    <t>Shelden Williams</t>
  </si>
  <si>
    <t>Brandon Roy</t>
  </si>
  <si>
    <t>Randy Foye</t>
  </si>
  <si>
    <t>Rudy Gay</t>
  </si>
  <si>
    <t>Patrick O'Bryant</t>
  </si>
  <si>
    <t>Mouhamed Sene</t>
  </si>
  <si>
    <t>J.J. Redick</t>
  </si>
  <si>
    <t>Hilton Armstrong</t>
  </si>
  <si>
    <t>Thabo Sefolosha</t>
  </si>
  <si>
    <t>Ronnie Brewer</t>
  </si>
  <si>
    <t>Cedric Simmons</t>
  </si>
  <si>
    <t>Rodney Carney</t>
  </si>
  <si>
    <t>Shawne Williams</t>
  </si>
  <si>
    <t>Oleksiy Pecherov</t>
  </si>
  <si>
    <t>Quincy Douby</t>
  </si>
  <si>
    <t>Rutgers University</t>
  </si>
  <si>
    <t>Renaldo Balkman</t>
  </si>
  <si>
    <t>Rajon Rondo</t>
  </si>
  <si>
    <t>Marcus Williams</t>
  </si>
  <si>
    <t>Josh Boone</t>
  </si>
  <si>
    <t>Kyle Lowry</t>
  </si>
  <si>
    <t>Shannon Brown</t>
  </si>
  <si>
    <t>Jordan Farmar</t>
  </si>
  <si>
    <t>Sergio Rodríguez</t>
  </si>
  <si>
    <t>Maurice Ager</t>
  </si>
  <si>
    <t>Mardy Collins</t>
  </si>
  <si>
    <t>Joel Freeland</t>
  </si>
  <si>
    <t>James White</t>
  </si>
  <si>
    <t>Steve Novak</t>
  </si>
  <si>
    <t>Solomon Jones</t>
  </si>
  <si>
    <t>South Florida</t>
  </si>
  <si>
    <t>Paul Davis</t>
  </si>
  <si>
    <t>P.J. Tucker</t>
  </si>
  <si>
    <t>Craig Smith</t>
  </si>
  <si>
    <t>Bobby Jones</t>
  </si>
  <si>
    <t>Kosta Perović</t>
  </si>
  <si>
    <t>David Noel</t>
  </si>
  <si>
    <t>James Augustine</t>
  </si>
  <si>
    <t>Daniel Gibson</t>
  </si>
  <si>
    <t>Marcus Vinicius</t>
  </si>
  <si>
    <t>Alexander Johnson</t>
  </si>
  <si>
    <t>Paul Millsap</t>
  </si>
  <si>
    <t>Leon Powe</t>
  </si>
  <si>
    <t>Ryan Hollins</t>
  </si>
  <si>
    <t>Cheikh Samb</t>
  </si>
  <si>
    <t>Guillermo Díaz</t>
  </si>
  <si>
    <t>Hassan Adams</t>
  </si>
  <si>
    <t>Damir Markota</t>
  </si>
  <si>
    <t>Will Blalock</t>
  </si>
  <si>
    <t>Greg Oden</t>
  </si>
  <si>
    <t>Kevin Durant</t>
  </si>
  <si>
    <t>Al Horford</t>
  </si>
  <si>
    <t>Mike Conley</t>
  </si>
  <si>
    <t>Jeff Green</t>
  </si>
  <si>
    <t>Yi Jianlian</t>
  </si>
  <si>
    <t>Corey Brewer</t>
  </si>
  <si>
    <t>Brandan Wright</t>
  </si>
  <si>
    <t>Joakim Noah</t>
  </si>
  <si>
    <t>Spencer Hawes</t>
  </si>
  <si>
    <t>Acie Law</t>
  </si>
  <si>
    <t>Thaddeus Young</t>
  </si>
  <si>
    <t>Julian Wright</t>
  </si>
  <si>
    <t>Al Thornton</t>
  </si>
  <si>
    <t>Rodney Stuckey</t>
  </si>
  <si>
    <t>Eastern Washington</t>
  </si>
  <si>
    <t>Nick Young</t>
  </si>
  <si>
    <t>Sean Williams</t>
  </si>
  <si>
    <t>Marco Belinelli</t>
  </si>
  <si>
    <t>Javaris Crittenton</t>
  </si>
  <si>
    <t>Jason Smith</t>
  </si>
  <si>
    <t>Colorado State</t>
  </si>
  <si>
    <t>Daequan Cook</t>
  </si>
  <si>
    <t>Jared Dudley</t>
  </si>
  <si>
    <t>Wilson Chandler</t>
  </si>
  <si>
    <t>Rudy Fernández</t>
  </si>
  <si>
    <t>Morris Almond</t>
  </si>
  <si>
    <t>Rice University</t>
  </si>
  <si>
    <t>Aaron Brooks</t>
  </si>
  <si>
    <t>Arron Afflalo</t>
  </si>
  <si>
    <t>Tiago Splitter</t>
  </si>
  <si>
    <t>Alando Tucker</t>
  </si>
  <si>
    <t>Carl Landry</t>
  </si>
  <si>
    <t>Gabe Pruitt</t>
  </si>
  <si>
    <t>Nick Fazekas</t>
  </si>
  <si>
    <t>Glen Davis</t>
  </si>
  <si>
    <t>Jermareo Davidson</t>
  </si>
  <si>
    <t>Josh McRoberts</t>
  </si>
  <si>
    <t>Kyrylo Fesenko</t>
  </si>
  <si>
    <t>Sun Yue</t>
  </si>
  <si>
    <t>Chris Richard</t>
  </si>
  <si>
    <t>Derrick Byars</t>
  </si>
  <si>
    <t>Stéphane Lasme</t>
  </si>
  <si>
    <t>Dominic McGuire</t>
  </si>
  <si>
    <t>Marc Gasol</t>
  </si>
  <si>
    <t>Aaron Gray</t>
  </si>
  <si>
    <t>JamesOn Curry</t>
  </si>
  <si>
    <t>Taurean Green</t>
  </si>
  <si>
    <t>Demetris Nichols</t>
  </si>
  <si>
    <t>Ramon Sessions</t>
  </si>
  <si>
    <t>D.J. Strawberry</t>
  </si>
  <si>
    <t>Derrick Rose</t>
  </si>
  <si>
    <t>Michael Beasley</t>
  </si>
  <si>
    <t>O.J. Mayo</t>
  </si>
  <si>
    <t>Russell Westbrook</t>
  </si>
  <si>
    <t>Kevin Love</t>
  </si>
  <si>
    <t>Danilo Gallinari</t>
  </si>
  <si>
    <t>Eric Gordon</t>
  </si>
  <si>
    <t>Joe Alexander</t>
  </si>
  <si>
    <t>West Virginia</t>
  </si>
  <si>
    <t>D.J. Augustin</t>
  </si>
  <si>
    <t>Brook Lopez</t>
  </si>
  <si>
    <t>Jerryd Bayless</t>
  </si>
  <si>
    <t>Jason Thompson</t>
  </si>
  <si>
    <t>Rider University</t>
  </si>
  <si>
    <t>Brandon Rush</t>
  </si>
  <si>
    <t>Anthony Randolph</t>
  </si>
  <si>
    <t>Robin Lopez</t>
  </si>
  <si>
    <t>Marreese Speights</t>
  </si>
  <si>
    <t>Roy Hibbert</t>
  </si>
  <si>
    <t>JaVale McGee</t>
  </si>
  <si>
    <t>J.J. Hickson</t>
  </si>
  <si>
    <t>Alexis Ajinça</t>
  </si>
  <si>
    <t>Ryan Anderson</t>
  </si>
  <si>
    <t>Courtney Lee</t>
  </si>
  <si>
    <t>Kosta Koufos</t>
  </si>
  <si>
    <t>Serge Ibaka</t>
  </si>
  <si>
    <t>Nicolas Batum</t>
  </si>
  <si>
    <t>George Hill</t>
  </si>
  <si>
    <t>IUPUI</t>
  </si>
  <si>
    <t>Darrell Arthur</t>
  </si>
  <si>
    <t>Donté Greene</t>
  </si>
  <si>
    <t>D.J. White</t>
  </si>
  <si>
    <t>J.R. Giddens</t>
  </si>
  <si>
    <t>Nikola Peković</t>
  </si>
  <si>
    <t>Walter Sharpe</t>
  </si>
  <si>
    <t>UAB</t>
  </si>
  <si>
    <t>Joey Dorsey</t>
  </si>
  <si>
    <t>Mario Chalmers</t>
  </si>
  <si>
    <t>DeAndre Jordan</t>
  </si>
  <si>
    <t>Ömer Aşık</t>
  </si>
  <si>
    <t>Luc Mbah a Moute</t>
  </si>
  <si>
    <t>Kyle Weaver</t>
  </si>
  <si>
    <t>Sonny Weems</t>
  </si>
  <si>
    <t>Chris Douglas-Roberts</t>
  </si>
  <si>
    <t>Nathan Jawai</t>
  </si>
  <si>
    <t>Sean Singletary</t>
  </si>
  <si>
    <t>Patrick Ewing</t>
  </si>
  <si>
    <t>Goran Dragić</t>
  </si>
  <si>
    <t>Henry Walker</t>
  </si>
  <si>
    <t>Malik Hairston</t>
  </si>
  <si>
    <t>Darnell Jackson</t>
  </si>
  <si>
    <t>Mike Taylor</t>
  </si>
  <si>
    <t>Sasha Kaun</t>
  </si>
  <si>
    <t>Joe Crawford</t>
  </si>
  <si>
    <t>Semih Erden</t>
  </si>
  <si>
    <t>Blake Griffin</t>
  </si>
  <si>
    <t>Hasheem Thabeet</t>
  </si>
  <si>
    <t>James Harden</t>
  </si>
  <si>
    <t>Tyreke Evans</t>
  </si>
  <si>
    <t>Ricky Rubio</t>
  </si>
  <si>
    <t>Jonny Flynn</t>
  </si>
  <si>
    <t>Stephen Curry</t>
  </si>
  <si>
    <t>Davidson</t>
  </si>
  <si>
    <t>Jordan Hill</t>
  </si>
  <si>
    <t>DeMar DeRozan</t>
  </si>
  <si>
    <t>Brandon Jennings</t>
  </si>
  <si>
    <t>Terrence Williams</t>
  </si>
  <si>
    <t>Gerald Henderson</t>
  </si>
  <si>
    <t>Tyler Hansbrough</t>
  </si>
  <si>
    <t>Earl Clark</t>
  </si>
  <si>
    <t>Austin Daye</t>
  </si>
  <si>
    <t>James Johnson</t>
  </si>
  <si>
    <t>Jrue Holiday</t>
  </si>
  <si>
    <t>Ty Lawson</t>
  </si>
  <si>
    <t>Jeff Teague</t>
  </si>
  <si>
    <t>Eric Maynor</t>
  </si>
  <si>
    <t>VCU</t>
  </si>
  <si>
    <t>Darren Collison</t>
  </si>
  <si>
    <t>Victor Claver</t>
  </si>
  <si>
    <t>Omri Casspi</t>
  </si>
  <si>
    <t>Byron Mullens</t>
  </si>
  <si>
    <t>Rodrigue Beaubois</t>
  </si>
  <si>
    <t>Taj Gibson</t>
  </si>
  <si>
    <t>DeMarre Carroll</t>
  </si>
  <si>
    <t>Wayne Ellington</t>
  </si>
  <si>
    <t>Toney Douglas</t>
  </si>
  <si>
    <t>Christian Eyenga</t>
  </si>
  <si>
    <t>Jeff Ayres</t>
  </si>
  <si>
    <t>Jermaine Taylor</t>
  </si>
  <si>
    <t>Central Florida</t>
  </si>
  <si>
    <t>Dante Cunningham</t>
  </si>
  <si>
    <t>DaJuan Summers</t>
  </si>
  <si>
    <t>Sam Young</t>
  </si>
  <si>
    <t>DeJuan Blair</t>
  </si>
  <si>
    <t>Jon Brockman</t>
  </si>
  <si>
    <t>Jonas Jerebko</t>
  </si>
  <si>
    <t>Derrick Brown</t>
  </si>
  <si>
    <t>Jodie Meeks</t>
  </si>
  <si>
    <t>Patrick Beverley</t>
  </si>
  <si>
    <t>Marcus Thornton</t>
  </si>
  <si>
    <t>Chase Budinger</t>
  </si>
  <si>
    <t>Nick Calathes</t>
  </si>
  <si>
    <t>Danny Green</t>
  </si>
  <si>
    <t>Taylor Griffin</t>
  </si>
  <si>
    <t>A.J. Price</t>
  </si>
  <si>
    <t>Nando De Colo</t>
  </si>
  <si>
    <t>Patty Mills</t>
  </si>
  <si>
    <t>Saint Mary's</t>
  </si>
  <si>
    <t>Lester Hudson</t>
  </si>
  <si>
    <t>University of Tennessee at Martin</t>
  </si>
  <si>
    <t>John Wall</t>
  </si>
  <si>
    <t>Evan Turner</t>
  </si>
  <si>
    <t>Derrick Favors</t>
  </si>
  <si>
    <t>Wesley Johnson</t>
  </si>
  <si>
    <t>DeMarcus Cousins</t>
  </si>
  <si>
    <t>Ekpe Udoh</t>
  </si>
  <si>
    <t>Greg Monroe</t>
  </si>
  <si>
    <t>Al-Farouq Aminu</t>
  </si>
  <si>
    <t>Gordon Hayward</t>
  </si>
  <si>
    <t>Butler</t>
  </si>
  <si>
    <t>Paul George</t>
  </si>
  <si>
    <t>Cole Aldrich</t>
  </si>
  <si>
    <t>Xavier Henry</t>
  </si>
  <si>
    <t>Ed Davis</t>
  </si>
  <si>
    <t>Patrick Patterson</t>
  </si>
  <si>
    <t>Larry Sanders</t>
  </si>
  <si>
    <t>Luke Babbitt</t>
  </si>
  <si>
    <t>Kevin Séraphin</t>
  </si>
  <si>
    <t>Eric Bledsoe</t>
  </si>
  <si>
    <t>Avery Bradley</t>
  </si>
  <si>
    <t>James Anderson</t>
  </si>
  <si>
    <t>Craig Brackins</t>
  </si>
  <si>
    <t>Elliot Williams</t>
  </si>
  <si>
    <t>Trevor Booker</t>
  </si>
  <si>
    <t>Damion James</t>
  </si>
  <si>
    <t>Dominique Jones</t>
  </si>
  <si>
    <t>Quincy Pondexter</t>
  </si>
  <si>
    <t>Jordan Crawford</t>
  </si>
  <si>
    <t>Greivis Vásquez</t>
  </si>
  <si>
    <t>Daniel Orton</t>
  </si>
  <si>
    <t>Lazar Hayward</t>
  </si>
  <si>
    <t>Tibor Pleiß</t>
  </si>
  <si>
    <t>Dexter Pittman</t>
  </si>
  <si>
    <t>Hassan Whiteside</t>
  </si>
  <si>
    <t>Armon Johnson</t>
  </si>
  <si>
    <t>Nemanja Bjelica</t>
  </si>
  <si>
    <t>Darington Hobson</t>
  </si>
  <si>
    <t>Andy Rautins</t>
  </si>
  <si>
    <t>Landry Fields</t>
  </si>
  <si>
    <t>Lance Stephenson</t>
  </si>
  <si>
    <t>Jarvis Varnado</t>
  </si>
  <si>
    <t>Devin Ebanks</t>
  </si>
  <si>
    <t>Jerome Jordan</t>
  </si>
  <si>
    <t>Gani Lawal</t>
  </si>
  <si>
    <t>Solomon Alabi</t>
  </si>
  <si>
    <t>Luke Harangody</t>
  </si>
  <si>
    <t>Pape Sy</t>
  </si>
  <si>
    <t>Willie Warren</t>
  </si>
  <si>
    <t>Jeremy Evans</t>
  </si>
  <si>
    <t>Hamady N'Diaye</t>
  </si>
  <si>
    <t>Ryan Reid</t>
  </si>
  <si>
    <t>Derrick Caracter</t>
  </si>
  <si>
    <t>Kyrie Irving</t>
  </si>
  <si>
    <t>Derrick Williams</t>
  </si>
  <si>
    <t>Enes Freedom</t>
  </si>
  <si>
    <t>Tristan Thompson</t>
  </si>
  <si>
    <t>Jonas Valančiūnas</t>
  </si>
  <si>
    <t>Jan Veselý</t>
  </si>
  <si>
    <t>Bismack Biyombo</t>
  </si>
  <si>
    <t>Brandon Knight</t>
  </si>
  <si>
    <t>Kemba Walker</t>
  </si>
  <si>
    <t>Jimmer Fredette</t>
  </si>
  <si>
    <t>Klay Thompson</t>
  </si>
  <si>
    <t>Alec Burks</t>
  </si>
  <si>
    <t>Markieff Morris</t>
  </si>
  <si>
    <t>Marcus Morris</t>
  </si>
  <si>
    <t>Kawhi Leonard</t>
  </si>
  <si>
    <t>Nikola Vučević</t>
  </si>
  <si>
    <t>Iman Shumpert</t>
  </si>
  <si>
    <t>Chris Singleton</t>
  </si>
  <si>
    <t>Tobias Harris</t>
  </si>
  <si>
    <t>Donatas Motiejūnas</t>
  </si>
  <si>
    <t>Nolan Smith</t>
  </si>
  <si>
    <t>Kenneth Faried</t>
  </si>
  <si>
    <t>Morehead State University</t>
  </si>
  <si>
    <t>Nikola Mirotić</t>
  </si>
  <si>
    <t>Reggie Jackson</t>
  </si>
  <si>
    <t>MarShon Brooks</t>
  </si>
  <si>
    <t>Jordan Hamilton</t>
  </si>
  <si>
    <t>JaJuan Johnson</t>
  </si>
  <si>
    <t>Norris Cole</t>
  </si>
  <si>
    <t>Cleveland State University</t>
  </si>
  <si>
    <t>Cory Joseph</t>
  </si>
  <si>
    <t>Jimmy Butler</t>
  </si>
  <si>
    <t>Bojan Bogdanović</t>
  </si>
  <si>
    <t>Justin Harper</t>
  </si>
  <si>
    <t>Richmond</t>
  </si>
  <si>
    <t>Kyle Singler</t>
  </si>
  <si>
    <t>Shelvin Mack</t>
  </si>
  <si>
    <t>Tyler Honeycutt</t>
  </si>
  <si>
    <t>Jordan Williams</t>
  </si>
  <si>
    <t>Trey Thompkins</t>
  </si>
  <si>
    <t>Chandler Parsons</t>
  </si>
  <si>
    <t>Jeremy Tyler</t>
  </si>
  <si>
    <t>Jon Leuer</t>
  </si>
  <si>
    <t>Darius Morris</t>
  </si>
  <si>
    <t>Dāvis Bertāns</t>
  </si>
  <si>
    <t>Malcolm Lee</t>
  </si>
  <si>
    <t>Charles Jenkins</t>
  </si>
  <si>
    <t>Josh Harrellson</t>
  </si>
  <si>
    <t>Andrew Goudelock</t>
  </si>
  <si>
    <t>Travis Leslie</t>
  </si>
  <si>
    <t>Keith Benson</t>
  </si>
  <si>
    <t>Oakland</t>
  </si>
  <si>
    <t>Josh Selby</t>
  </si>
  <si>
    <t>Lavoy Allen</t>
  </si>
  <si>
    <t>Vernon Macklin</t>
  </si>
  <si>
    <t>DeAndre Liggins</t>
  </si>
  <si>
    <t>E'Twaun Moore</t>
  </si>
  <si>
    <t>Isaiah Thomas</t>
  </si>
  <si>
    <t>Anthony Davis</t>
  </si>
  <si>
    <t>Michael Kidd-Gilchrist</t>
  </si>
  <si>
    <t>Bradley Beal</t>
  </si>
  <si>
    <t>Dion Waiters</t>
  </si>
  <si>
    <t>Thomas Robinson</t>
  </si>
  <si>
    <t>Damian Lillard</t>
  </si>
  <si>
    <t>Weber State</t>
  </si>
  <si>
    <t>Harrison Barnes</t>
  </si>
  <si>
    <t>Terrence Ross</t>
  </si>
  <si>
    <t>Andre Drummond</t>
  </si>
  <si>
    <t>Austin Rivers</t>
  </si>
  <si>
    <t>Meyers Leonard</t>
  </si>
  <si>
    <t>Jeremy Lamb</t>
  </si>
  <si>
    <t>Kendall Marshall</t>
  </si>
  <si>
    <t>John Henson</t>
  </si>
  <si>
    <t>Maurice Harkless</t>
  </si>
  <si>
    <t>Royce White</t>
  </si>
  <si>
    <t>Tyler Zeller</t>
  </si>
  <si>
    <t>Terrence Jones</t>
  </si>
  <si>
    <t>Andrew Nicholson</t>
  </si>
  <si>
    <t>St. Bonaventure</t>
  </si>
  <si>
    <t>Evan Fournier</t>
  </si>
  <si>
    <t>Jared Sullinger</t>
  </si>
  <si>
    <t>Fab Melo</t>
  </si>
  <si>
    <t>John Jenkins</t>
  </si>
  <si>
    <t>Jared Cunningham</t>
  </si>
  <si>
    <t>Tony Wroten</t>
  </si>
  <si>
    <t>Miles Plumlee</t>
  </si>
  <si>
    <t>Arnett Moultrie</t>
  </si>
  <si>
    <t>Perry Jones</t>
  </si>
  <si>
    <t>Marquis Teague</t>
  </si>
  <si>
    <t>Festus Ezeli</t>
  </si>
  <si>
    <t>Jeff Taylor</t>
  </si>
  <si>
    <t>Tomáš Satoranský</t>
  </si>
  <si>
    <t>Bernard James</t>
  </si>
  <si>
    <t>Jae Crowder</t>
  </si>
  <si>
    <t>Draymond Green</t>
  </si>
  <si>
    <t>Orlando Johnson</t>
  </si>
  <si>
    <t>UC Santa Barbara</t>
  </si>
  <si>
    <t>Quincy Acy</t>
  </si>
  <si>
    <t>Quincy Miller</t>
  </si>
  <si>
    <t>Khris Middleton</t>
  </si>
  <si>
    <t>Will Barton</t>
  </si>
  <si>
    <t>Tyshawn Taylor</t>
  </si>
  <si>
    <t>Doron Lamb</t>
  </si>
  <si>
    <t>Mike Scott</t>
  </si>
  <si>
    <t>Kim English</t>
  </si>
  <si>
    <t>Justin Hamilton</t>
  </si>
  <si>
    <t>Darius Miller</t>
  </si>
  <si>
    <t>Kevin Murphy</t>
  </si>
  <si>
    <t>Kostas Papanikolaou</t>
  </si>
  <si>
    <t>Kyle O'Quinn</t>
  </si>
  <si>
    <t>Norfolk State</t>
  </si>
  <si>
    <t>Kris Joseph</t>
  </si>
  <si>
    <t>Ognjen Kuzmić</t>
  </si>
  <si>
    <t>Furkan Aldemir</t>
  </si>
  <si>
    <t>Tornike Shengelia</t>
  </si>
  <si>
    <t>Darius Johnson-Odom</t>
  </si>
  <si>
    <t>Robbie Hummel</t>
  </si>
  <si>
    <t>Robert Sacre</t>
  </si>
  <si>
    <t>Anthony Bennett</t>
  </si>
  <si>
    <t>Victor Oladipo</t>
  </si>
  <si>
    <t>Otto Porter Jr.</t>
  </si>
  <si>
    <t>Cody Zeller</t>
  </si>
  <si>
    <t>Alex Len</t>
  </si>
  <si>
    <t>Nerlens Noel</t>
  </si>
  <si>
    <t>Ben McLemore</t>
  </si>
  <si>
    <t>Kentavious Caldwell-Pope</t>
  </si>
  <si>
    <t>Trey Burke</t>
  </si>
  <si>
    <t>CJ McCollum</t>
  </si>
  <si>
    <t>Lehigh</t>
  </si>
  <si>
    <t>Michael Carter-Williams</t>
  </si>
  <si>
    <t>Steven Adams</t>
  </si>
  <si>
    <t>Kelly Olynyk</t>
  </si>
  <si>
    <t>Shabazz Muhammad</t>
  </si>
  <si>
    <t>Giannis Antetokounmpo</t>
  </si>
  <si>
    <t>Lucas Nogueira</t>
  </si>
  <si>
    <t>Dennis Schröder</t>
  </si>
  <si>
    <t>Shane Larkin</t>
  </si>
  <si>
    <t>Sergey Karasev</t>
  </si>
  <si>
    <t>Tony Snell</t>
  </si>
  <si>
    <t>Gorgui Dieng</t>
  </si>
  <si>
    <t>Mason Plumlee</t>
  </si>
  <si>
    <t>Solomon Hill</t>
  </si>
  <si>
    <t>Tim Hardaway Jr.</t>
  </si>
  <si>
    <t>Reggie Bullock</t>
  </si>
  <si>
    <t>Andre Roberson</t>
  </si>
  <si>
    <t>Rudy Gobert</t>
  </si>
  <si>
    <t>Archie Goodwin</t>
  </si>
  <si>
    <t>Nemanja Nedović</t>
  </si>
  <si>
    <t>Allen Crabbe</t>
  </si>
  <si>
    <t>Álex Abrines</t>
  </si>
  <si>
    <t>Carrick Felix</t>
  </si>
  <si>
    <t>Isaiah Canaan</t>
  </si>
  <si>
    <t>Glen Rice Jr.</t>
  </si>
  <si>
    <t>Ray McCallum</t>
  </si>
  <si>
    <t>Tony Mitchell</t>
  </si>
  <si>
    <t>University of North Texas</t>
  </si>
  <si>
    <t>Nate Wolters</t>
  </si>
  <si>
    <t>South Dakota State</t>
  </si>
  <si>
    <t>Jeff Withey</t>
  </si>
  <si>
    <t>Grant Jerrett</t>
  </si>
  <si>
    <t>Jamaal Franklin</t>
  </si>
  <si>
    <t>Pierre Jackson</t>
  </si>
  <si>
    <t>Ricky Ledo</t>
  </si>
  <si>
    <t>Mike Muscala</t>
  </si>
  <si>
    <t>Bucknell</t>
  </si>
  <si>
    <t>Erick Green</t>
  </si>
  <si>
    <t>Raul Neto</t>
  </si>
  <si>
    <t>Ryan Kelly</t>
  </si>
  <si>
    <t>Erik Murphy</t>
  </si>
  <si>
    <t>James Ennis III</t>
  </si>
  <si>
    <t>Lorenzo Brown</t>
  </si>
  <si>
    <t>Joffrey Lauvergne</t>
  </si>
  <si>
    <t>Peyton Siva</t>
  </si>
  <si>
    <t>Andrew Wiggins</t>
  </si>
  <si>
    <t>Jabari Parker</t>
  </si>
  <si>
    <t>Joel Embiid</t>
  </si>
  <si>
    <t>Aaron Gordon</t>
  </si>
  <si>
    <t>Dante Exum</t>
  </si>
  <si>
    <t>Marcus Smart</t>
  </si>
  <si>
    <t>Julius Randle</t>
  </si>
  <si>
    <t>Nik Stauskas</t>
  </si>
  <si>
    <t>Noah Vonleh</t>
  </si>
  <si>
    <t>Elfrid Payton</t>
  </si>
  <si>
    <t>Doug McDermott</t>
  </si>
  <si>
    <t>Dario Šarić</t>
  </si>
  <si>
    <t>Zach LaVine</t>
  </si>
  <si>
    <t>T.J. Warren</t>
  </si>
  <si>
    <t>Adreian Payne</t>
  </si>
  <si>
    <t>Jusuf Nurkić</t>
  </si>
  <si>
    <t>James Young</t>
  </si>
  <si>
    <t>Tyler Ennis</t>
  </si>
  <si>
    <t>Gary Harris</t>
  </si>
  <si>
    <t>Bruno Caboclo</t>
  </si>
  <si>
    <t>Mitch McGary</t>
  </si>
  <si>
    <t>Jordan Adams</t>
  </si>
  <si>
    <t>Rodney Hood</t>
  </si>
  <si>
    <t>Shabazz Napier</t>
  </si>
  <si>
    <t>Clint Capela</t>
  </si>
  <si>
    <t>P.J. Hairston</t>
  </si>
  <si>
    <t>Bogdan Bogdanović</t>
  </si>
  <si>
    <t>C.J. Wilcox</t>
  </si>
  <si>
    <t>Josh Huestis</t>
  </si>
  <si>
    <t>Kyle Anderson</t>
  </si>
  <si>
    <t>Damien Inglis</t>
  </si>
  <si>
    <t>K.J. McDaniels</t>
  </si>
  <si>
    <t>Joe Harris</t>
  </si>
  <si>
    <t>Cleanthony Early</t>
  </si>
  <si>
    <t>Wichita State</t>
  </si>
  <si>
    <t>Jarnell Stokes</t>
  </si>
  <si>
    <t>Johnny O'Bryant</t>
  </si>
  <si>
    <t>Spencer Dinwiddie</t>
  </si>
  <si>
    <t>Jerami Grant</t>
  </si>
  <si>
    <t>Glenn Robinson III</t>
  </si>
  <si>
    <t>Nikola Jokić</t>
  </si>
  <si>
    <t>Nick Johnson</t>
  </si>
  <si>
    <t>Edy Tavares</t>
  </si>
  <si>
    <t>Markel Brown</t>
  </si>
  <si>
    <t>Dwight Powell</t>
  </si>
  <si>
    <t>Jordan Clarkson</t>
  </si>
  <si>
    <t>Russ Smith</t>
  </si>
  <si>
    <t>Lamar Patterson</t>
  </si>
  <si>
    <t>Cameron Bairstow</t>
  </si>
  <si>
    <t>Thanasis Antetokounmpo</t>
  </si>
  <si>
    <t>Semaj Christon</t>
  </si>
  <si>
    <t>Devyn Marble</t>
  </si>
  <si>
    <t>Jordan McRae</t>
  </si>
  <si>
    <t>Cory Jefferson</t>
  </si>
  <si>
    <t>Karl-Anthony Towns</t>
  </si>
  <si>
    <t>D'Angelo Russell</t>
  </si>
  <si>
    <t>Jahlil Okafor</t>
  </si>
  <si>
    <t>Kristaps Porziņģis</t>
  </si>
  <si>
    <t>Mario Hezonja</t>
  </si>
  <si>
    <t>Willie Cauley-Stein</t>
  </si>
  <si>
    <t>Emmanuel Mudiay</t>
  </si>
  <si>
    <t>Stanley Johnson</t>
  </si>
  <si>
    <t>Frank Kaminsky</t>
  </si>
  <si>
    <t>Justise Winslow</t>
  </si>
  <si>
    <t>Myles Turner</t>
  </si>
  <si>
    <t>Trey Lyles</t>
  </si>
  <si>
    <t>Devin Booker</t>
  </si>
  <si>
    <t>Cameron Payne</t>
  </si>
  <si>
    <t>Kelly Oubre Jr.</t>
  </si>
  <si>
    <t>Terry Rozier</t>
  </si>
  <si>
    <t>Rashad Vaughn</t>
  </si>
  <si>
    <t>Sam Dekker</t>
  </si>
  <si>
    <t>Jerian Grant</t>
  </si>
  <si>
    <t>Delon Wright</t>
  </si>
  <si>
    <t>Justin Anderson</t>
  </si>
  <si>
    <t>Bobby Portis</t>
  </si>
  <si>
    <t>Rondae Hollis-Jefferson</t>
  </si>
  <si>
    <t>Tyus Jones</t>
  </si>
  <si>
    <t>Jarell Martin</t>
  </si>
  <si>
    <t>Larry Nance Jr.</t>
  </si>
  <si>
    <t>R.J. Hunter</t>
  </si>
  <si>
    <t>Georgia State University</t>
  </si>
  <si>
    <t>Chris McCullough</t>
  </si>
  <si>
    <t>Kevon Looney</t>
  </si>
  <si>
    <t>Cedi Osman</t>
  </si>
  <si>
    <t>Montrezl Harrell</t>
  </si>
  <si>
    <t>Jordan Mickey</t>
  </si>
  <si>
    <t>Anthony Brown</t>
  </si>
  <si>
    <t>Willy Hernangómez</t>
  </si>
  <si>
    <t>Rakeem Christmas</t>
  </si>
  <si>
    <t>Richaun Holmes</t>
  </si>
  <si>
    <t>Darrun Hilliard</t>
  </si>
  <si>
    <t>Josh Richardson</t>
  </si>
  <si>
    <t>Pat Connaughton</t>
  </si>
  <si>
    <t>Joe Young</t>
  </si>
  <si>
    <t>Andrew Harrison</t>
  </si>
  <si>
    <t>Norman Powell</t>
  </si>
  <si>
    <t>Dakari Johnson</t>
  </si>
  <si>
    <t>Branden Dawson</t>
  </si>
  <si>
    <t>Ben Simmons</t>
  </si>
  <si>
    <t>Brandon Ingram</t>
  </si>
  <si>
    <t>Jaylen Brown</t>
  </si>
  <si>
    <t>Dragan Bender</t>
  </si>
  <si>
    <t>Kris Dunn</t>
  </si>
  <si>
    <t>Buddy Hield</t>
  </si>
  <si>
    <t>Jamal Murray</t>
  </si>
  <si>
    <t>Marquese Chriss</t>
  </si>
  <si>
    <t>Jakob Poeltl</t>
  </si>
  <si>
    <t>Thon Maker</t>
  </si>
  <si>
    <t>Domantas Sabonis</t>
  </si>
  <si>
    <t>Taurean Prince</t>
  </si>
  <si>
    <t>Georgios Papagiannis</t>
  </si>
  <si>
    <t>Denzel Valentine</t>
  </si>
  <si>
    <t>Juancho Hernangómez</t>
  </si>
  <si>
    <t>Guerschon Yabusele</t>
  </si>
  <si>
    <t>Wade Baldwin</t>
  </si>
  <si>
    <t>Henry Ellenson</t>
  </si>
  <si>
    <t>Malik Beasley</t>
  </si>
  <si>
    <t>Caris LeVert</t>
  </si>
  <si>
    <t>DeAndre' Bembry</t>
  </si>
  <si>
    <t>Malachi Richardson</t>
  </si>
  <si>
    <t>Ante Žižić</t>
  </si>
  <si>
    <t>Timothé Luwawu-Cabarrot</t>
  </si>
  <si>
    <t>Brice Johnson</t>
  </si>
  <si>
    <t>Furkan Korkmaz</t>
  </si>
  <si>
    <t>Pascal Siakam</t>
  </si>
  <si>
    <t>Skal Labissière</t>
  </si>
  <si>
    <t>Dejounte Murray</t>
  </si>
  <si>
    <t>Damian Jones</t>
  </si>
  <si>
    <t>Deyonta Davis</t>
  </si>
  <si>
    <t>Ivica Zubac</t>
  </si>
  <si>
    <t>Cheick Diallo</t>
  </si>
  <si>
    <t>Tyler Ulis</t>
  </si>
  <si>
    <t>Malcolm Brogdon</t>
  </si>
  <si>
    <t>Chinanu Onuaku</t>
  </si>
  <si>
    <t>Patrick McCaw</t>
  </si>
  <si>
    <t>Diamond Stone</t>
  </si>
  <si>
    <t>Stephen Zimmerman</t>
  </si>
  <si>
    <t>Isaiah Whitehead</t>
  </si>
  <si>
    <t>Zhou Qi</t>
  </si>
  <si>
    <t>Demetrius Jackson</t>
  </si>
  <si>
    <t>A.J. Hammons</t>
  </si>
  <si>
    <t>Jake Layman</t>
  </si>
  <si>
    <t>Paul Zipser</t>
  </si>
  <si>
    <t>Michael Gbinije</t>
  </si>
  <si>
    <t>Georges Niang</t>
  </si>
  <si>
    <t>Ben Bentil</t>
  </si>
  <si>
    <t>Joel Bolomboy</t>
  </si>
  <si>
    <t>Petr Cornelie</t>
  </si>
  <si>
    <t>Kay Felder</t>
  </si>
  <si>
    <t>Marcus Paige</t>
  </si>
  <si>
    <t>Daniel Hamilton</t>
  </si>
  <si>
    <t>Abdel Nader</t>
  </si>
  <si>
    <t>Tyrone Wallace</t>
  </si>
  <si>
    <t>Markelle Fultz</t>
  </si>
  <si>
    <t>Lonzo Ball</t>
  </si>
  <si>
    <t>Jayson Tatum</t>
  </si>
  <si>
    <t>Josh Jackson</t>
  </si>
  <si>
    <t>De'Aaron Fox</t>
  </si>
  <si>
    <t>Jonathan Isaac</t>
  </si>
  <si>
    <t>Lauri Markkanen</t>
  </si>
  <si>
    <t>Frank Ntilikina</t>
  </si>
  <si>
    <t>Dennis Smith Jr.</t>
  </si>
  <si>
    <t>Zach Collins</t>
  </si>
  <si>
    <t>Malik Monk</t>
  </si>
  <si>
    <t>Luke Kennard</t>
  </si>
  <si>
    <t>Donovan Mitchell</t>
  </si>
  <si>
    <t>Bam Adebayo</t>
  </si>
  <si>
    <t>Justin Jackson</t>
  </si>
  <si>
    <t>Justin Patton</t>
  </si>
  <si>
    <t>D.J. Wilson</t>
  </si>
  <si>
    <t>T.J. Leaf</t>
  </si>
  <si>
    <t>John Collins</t>
  </si>
  <si>
    <t>Harry Giles</t>
  </si>
  <si>
    <t>Terrance Ferguson</t>
  </si>
  <si>
    <t>Jarrett Allen</t>
  </si>
  <si>
    <t>OG Anunoby</t>
  </si>
  <si>
    <t>Tyler Lydon</t>
  </si>
  <si>
    <t>Anžejs Pasečņiks</t>
  </si>
  <si>
    <t>Caleb Swanigan</t>
  </si>
  <si>
    <t>Kyle Kuzma</t>
  </si>
  <si>
    <t>Tony Bradley</t>
  </si>
  <si>
    <t>Derrick White</t>
  </si>
  <si>
    <t>Josh Hart</t>
  </si>
  <si>
    <t>Frank Jackson</t>
  </si>
  <si>
    <t>Davon Reed</t>
  </si>
  <si>
    <t>Wes Iwundu</t>
  </si>
  <si>
    <t>Frank Mason III</t>
  </si>
  <si>
    <t>Ivan Rabb</t>
  </si>
  <si>
    <t>Jonah Bolden</t>
  </si>
  <si>
    <t>Semi Ojeleye</t>
  </si>
  <si>
    <t>Jordan Bell</t>
  </si>
  <si>
    <t>Jawun Evans</t>
  </si>
  <si>
    <t>Dwayne Bacon</t>
  </si>
  <si>
    <t>Tyler Dorsey</t>
  </si>
  <si>
    <t>Thomas Bryant</t>
  </si>
  <si>
    <t>Isaiah Hartenstein</t>
  </si>
  <si>
    <t>Damyean Dotson</t>
  </si>
  <si>
    <t>Dillon Brooks</t>
  </si>
  <si>
    <t>Sterling Brown</t>
  </si>
  <si>
    <t>Ike Anigbogu</t>
  </si>
  <si>
    <t>Sindarius Thornwell</t>
  </si>
  <si>
    <t>Vlatko Čančar</t>
  </si>
  <si>
    <t>Monte Morris</t>
  </si>
  <si>
    <t>Edmond Sumner</t>
  </si>
  <si>
    <t>Kadeem Allen</t>
  </si>
  <si>
    <t>Alec Peters</t>
  </si>
  <si>
    <t>Nigel Williams-Goss</t>
  </si>
  <si>
    <t>Jabari Bird</t>
  </si>
  <si>
    <t>Jaron Blossomgame</t>
  </si>
  <si>
    <t>Deandre Ayton</t>
  </si>
  <si>
    <t>Marvin Bagley III</t>
  </si>
  <si>
    <t>Luka Dončić</t>
  </si>
  <si>
    <t>Jaren Jackson Jr.</t>
  </si>
  <si>
    <t>Trae Young</t>
  </si>
  <si>
    <t>Mo Bamba</t>
  </si>
  <si>
    <t>Wendell Carter Jr.</t>
  </si>
  <si>
    <t>Collin Sexton</t>
  </si>
  <si>
    <t>Kevin Knox</t>
  </si>
  <si>
    <t>Mikal Bridges</t>
  </si>
  <si>
    <t>Shai Gilgeous-Alexander</t>
  </si>
  <si>
    <t>Miles Bridges</t>
  </si>
  <si>
    <t>Jerome Robinson</t>
  </si>
  <si>
    <t>Michael Porter Jr.</t>
  </si>
  <si>
    <t>Troy Brown Jr.</t>
  </si>
  <si>
    <t>Zhaire Smith</t>
  </si>
  <si>
    <t>Donte DiVincenzo</t>
  </si>
  <si>
    <t>Lonnie Walker IV</t>
  </si>
  <si>
    <t>Kevin Huerter</t>
  </si>
  <si>
    <t>Josh Okogie</t>
  </si>
  <si>
    <t>Grayson Allen</t>
  </si>
  <si>
    <t>Chandler Hutchison</t>
  </si>
  <si>
    <t>Boise State</t>
  </si>
  <si>
    <t>Aaron Holiday</t>
  </si>
  <si>
    <t>Anfernee Simons</t>
  </si>
  <si>
    <t>Moritz Wagner</t>
  </si>
  <si>
    <t>Landry Shamet</t>
  </si>
  <si>
    <t>Robert Williams</t>
  </si>
  <si>
    <t>Jacob Evans</t>
  </si>
  <si>
    <t>Džanan Musa</t>
  </si>
  <si>
    <t>Omari Spellman</t>
  </si>
  <si>
    <t>Elie Okobo</t>
  </si>
  <si>
    <t>Jevon Carter</t>
  </si>
  <si>
    <t>Jalen Brunson</t>
  </si>
  <si>
    <t>Devonte' Graham</t>
  </si>
  <si>
    <t>Melvin Frazier</t>
  </si>
  <si>
    <t>Mitchell Robinson</t>
  </si>
  <si>
    <t>Gary Trent Jr.</t>
  </si>
  <si>
    <t>Khyri Thomas</t>
  </si>
  <si>
    <t>Isaac Bonga</t>
  </si>
  <si>
    <t>Rodions Kurucs</t>
  </si>
  <si>
    <t>Jarred Vanderbilt</t>
  </si>
  <si>
    <t>Bruce Brown</t>
  </si>
  <si>
    <t>Hamidou Diallo</t>
  </si>
  <si>
    <t>De'Anthony Melton</t>
  </si>
  <si>
    <t>Svi Mykhailiuk</t>
  </si>
  <si>
    <t>Keita Bates-Diop</t>
  </si>
  <si>
    <t>Chimezie Metu</t>
  </si>
  <si>
    <t>Alize Johnson</t>
  </si>
  <si>
    <t>Missouri State</t>
  </si>
  <si>
    <t>Vince Edwards</t>
  </si>
  <si>
    <t>Devon Hall</t>
  </si>
  <si>
    <t>Shake Milton</t>
  </si>
  <si>
    <t>Arnoldas Kulboka</t>
  </si>
  <si>
    <t>Ray Spalding</t>
  </si>
  <si>
    <t>Kevin Hervey</t>
  </si>
  <si>
    <t>UT Arlington</t>
  </si>
  <si>
    <t>Thomas Welsh</t>
  </si>
  <si>
    <t>George King</t>
  </si>
  <si>
    <t>Kostas Antetokounmpo</t>
  </si>
  <si>
    <t>Zion Williamson</t>
  </si>
  <si>
    <t>Ja Morant</t>
  </si>
  <si>
    <t>RJ Barrett</t>
  </si>
  <si>
    <t>De'Andre Hunter</t>
  </si>
  <si>
    <t>Darius Garland</t>
  </si>
  <si>
    <t>Jarrett Culver</t>
  </si>
  <si>
    <t>Coby White</t>
  </si>
  <si>
    <t>Jaxson Hayes</t>
  </si>
  <si>
    <t>Rui Hachimura</t>
  </si>
  <si>
    <t>Cam Reddish</t>
  </si>
  <si>
    <t>Cameron Johnson</t>
  </si>
  <si>
    <t>P.J. Washington</t>
  </si>
  <si>
    <t>Tyler Herro</t>
  </si>
  <si>
    <t>Romeo Langford</t>
  </si>
  <si>
    <t>Sekou Doumbouya</t>
  </si>
  <si>
    <t>Chuma Okeke</t>
  </si>
  <si>
    <t>Nickeil Alexander-Walker</t>
  </si>
  <si>
    <t>Goga Bitadze</t>
  </si>
  <si>
    <t>Luka Šamanić</t>
  </si>
  <si>
    <t>Matisse Thybulle</t>
  </si>
  <si>
    <t>Brandon Clarke</t>
  </si>
  <si>
    <t>Grant Williams</t>
  </si>
  <si>
    <t>Darius Bazley</t>
  </si>
  <si>
    <t>Ty Jerome</t>
  </si>
  <si>
    <t>Nassir Little</t>
  </si>
  <si>
    <t>Dylan Windler</t>
  </si>
  <si>
    <t>Belmont</t>
  </si>
  <si>
    <t>Mfiondu Kabengele</t>
  </si>
  <si>
    <t>Jordan Poole</t>
  </si>
  <si>
    <t>Keldon Johnson</t>
  </si>
  <si>
    <t>Kevin Porter Jr.</t>
  </si>
  <si>
    <t>Nic Claxton</t>
  </si>
  <si>
    <t>KZ Okpala</t>
  </si>
  <si>
    <t>Carsen Edwards</t>
  </si>
  <si>
    <t>Bruno Fernando</t>
  </si>
  <si>
    <t>Didi Louzada</t>
  </si>
  <si>
    <t>Cody Martin</t>
  </si>
  <si>
    <t>Deividas Sirvydis</t>
  </si>
  <si>
    <t>Daniel Gafford</t>
  </si>
  <si>
    <t>Alen Smailagić</t>
  </si>
  <si>
    <t>Justin James</t>
  </si>
  <si>
    <t>Eric Paschall</t>
  </si>
  <si>
    <t>Admiral Schofield</t>
  </si>
  <si>
    <t>Jaylen Nowell</t>
  </si>
  <si>
    <t>Bol Bol</t>
  </si>
  <si>
    <t>Isaiah Roby</t>
  </si>
  <si>
    <t>Talen Horton-Tucker</t>
  </si>
  <si>
    <t>Ignas Brazdeikis</t>
  </si>
  <si>
    <t>Terance Mann</t>
  </si>
  <si>
    <t>Quinndary Weatherspoon</t>
  </si>
  <si>
    <t>Jarrell Brantley</t>
  </si>
  <si>
    <t>Tremont Waters</t>
  </si>
  <si>
    <t>Jalen McDaniels</t>
  </si>
  <si>
    <t>Justin Wright-Foreman</t>
  </si>
  <si>
    <t>Marial Shayok</t>
  </si>
  <si>
    <t>Kyle Guy</t>
  </si>
  <si>
    <t>Jordan Bone</t>
  </si>
  <si>
    <t>Miye Oni</t>
  </si>
  <si>
    <t>Yale</t>
  </si>
  <si>
    <t>Dewan Hernandez</t>
  </si>
  <si>
    <t>Anthony Edwards</t>
  </si>
  <si>
    <t>James Wiseman</t>
  </si>
  <si>
    <t>LaMelo Ball</t>
  </si>
  <si>
    <t>Patrick Williams</t>
  </si>
  <si>
    <t>Isaac Okoro</t>
  </si>
  <si>
    <t>Onyeka Okongwu</t>
  </si>
  <si>
    <t>Killian Hayes</t>
  </si>
  <si>
    <t>Obi Toppin</t>
  </si>
  <si>
    <t>Deni Avdija</t>
  </si>
  <si>
    <t>Jalen Smith</t>
  </si>
  <si>
    <t>Devin Vassell</t>
  </si>
  <si>
    <t>Tyrese Haliburton</t>
  </si>
  <si>
    <t>Kira Lewis Jr.</t>
  </si>
  <si>
    <t>Aaron Nesmith</t>
  </si>
  <si>
    <t>Cole Anthony</t>
  </si>
  <si>
    <t>Isaiah Stewart</t>
  </si>
  <si>
    <t>Aleksej Pokusevski</t>
  </si>
  <si>
    <t>Josh Green</t>
  </si>
  <si>
    <t>Saddiq Bey</t>
  </si>
  <si>
    <t>Precious Achiuwa</t>
  </si>
  <si>
    <t>Tyrese Maxey</t>
  </si>
  <si>
    <t>Zeke Nnaji</t>
  </si>
  <si>
    <t>Leandro Bolmaro</t>
  </si>
  <si>
    <t>R.J. Hampton</t>
  </si>
  <si>
    <t>Immanuel Quickley</t>
  </si>
  <si>
    <t>Payton Pritchard</t>
  </si>
  <si>
    <t>Udoka Azubuike</t>
  </si>
  <si>
    <t>Jaden McDaniels</t>
  </si>
  <si>
    <t>Malachi Flynn</t>
  </si>
  <si>
    <t>Desmond Bane</t>
  </si>
  <si>
    <t>Tyrell Terry</t>
  </si>
  <si>
    <t>Vernon Carey Jr.</t>
  </si>
  <si>
    <t>Daniel Oturu</t>
  </si>
  <si>
    <t>Théo Maledon</t>
  </si>
  <si>
    <t>Xavier Tillman Sr.</t>
  </si>
  <si>
    <t>Tyler Bey</t>
  </si>
  <si>
    <t>Vit Krejci</t>
  </si>
  <si>
    <t>Saben Lee</t>
  </si>
  <si>
    <t>Elijah Hughes</t>
  </si>
  <si>
    <t>Robert Woodard II</t>
  </si>
  <si>
    <t>Tre Jones</t>
  </si>
  <si>
    <t>Nick Richards</t>
  </si>
  <si>
    <t>Jahmi'us Ramsey</t>
  </si>
  <si>
    <t>Marko Simonovic</t>
  </si>
  <si>
    <t>Jordan Nwora</t>
  </si>
  <si>
    <t>CJ Elleby</t>
  </si>
  <si>
    <t>Nico Mannion</t>
  </si>
  <si>
    <t>Isaiah Joe</t>
  </si>
  <si>
    <t>Skylar Mays</t>
  </si>
  <si>
    <t>Kenyon Martin Jr.</t>
  </si>
  <si>
    <t>Cassius Winston</t>
  </si>
  <si>
    <t>Cassius Stanley</t>
  </si>
  <si>
    <t>Jay Scrubb</t>
  </si>
  <si>
    <t>John A. Logan College</t>
  </si>
  <si>
    <t>Grant Riller</t>
  </si>
  <si>
    <t>Reggie Perry</t>
  </si>
  <si>
    <t>Paul Reed</t>
  </si>
  <si>
    <t>Jalen Harris</t>
  </si>
  <si>
    <t>Sam Merrill</t>
  </si>
  <si>
    <t>Utah State University</t>
  </si>
  <si>
    <t>Cade Cunningham</t>
  </si>
  <si>
    <t>Jalen Green</t>
  </si>
  <si>
    <t>Evan Mobley</t>
  </si>
  <si>
    <t>Scottie Barnes</t>
  </si>
  <si>
    <t>Jalen Suggs</t>
  </si>
  <si>
    <t>Josh Giddey</t>
  </si>
  <si>
    <t>Jonathan Kuminga</t>
  </si>
  <si>
    <t>Franz Wagner</t>
  </si>
  <si>
    <t>Davion Mitchell</t>
  </si>
  <si>
    <t>Ziaire Williams</t>
  </si>
  <si>
    <t>James Bouknight</t>
  </si>
  <si>
    <t>Joshua Primo</t>
  </si>
  <si>
    <t>Chris Duarte</t>
  </si>
  <si>
    <t>Moses Moody</t>
  </si>
  <si>
    <t>Corey Kispert</t>
  </si>
  <si>
    <t>Alperen Şengün</t>
  </si>
  <si>
    <t>Trey Murphy III</t>
  </si>
  <si>
    <t>Tre Mann</t>
  </si>
  <si>
    <t>Kai Jones</t>
  </si>
  <si>
    <t>Jalen Johnson</t>
  </si>
  <si>
    <t>Keon Johnson</t>
  </si>
  <si>
    <t>Isaiah Jackson</t>
  </si>
  <si>
    <t>Usman Garuba</t>
  </si>
  <si>
    <t>Josh Christopher</t>
  </si>
  <si>
    <t>Quentin Grimes</t>
  </si>
  <si>
    <t>Bones Hyland</t>
  </si>
  <si>
    <t>Cam Thomas</t>
  </si>
  <si>
    <t>Jaden Springer</t>
  </si>
  <si>
    <t>Day'Ron Sharpe</t>
  </si>
  <si>
    <t>Santi Aldama</t>
  </si>
  <si>
    <t>Loyola (MD)</t>
  </si>
  <si>
    <t>Isaiah Todd</t>
  </si>
  <si>
    <t>Jeremiah Robinson-Earl</t>
  </si>
  <si>
    <t>Herbert Jones</t>
  </si>
  <si>
    <t>Miles McBride</t>
  </si>
  <si>
    <t>JT Thor</t>
  </si>
  <si>
    <t>Ayo Dosunmu</t>
  </si>
  <si>
    <t>Neemias Queta</t>
  </si>
  <si>
    <t>Jared Butler</t>
  </si>
  <si>
    <t>Joe Wieskamp</t>
  </si>
  <si>
    <t>Isaiah Livers</t>
  </si>
  <si>
    <t>Greg Brown III</t>
  </si>
  <si>
    <t>Kessler Edwards</t>
  </si>
  <si>
    <t>Dalano Banton</t>
  </si>
  <si>
    <t>David Johnson</t>
  </si>
  <si>
    <t>Sharife Cooper</t>
  </si>
  <si>
    <t>Brandon Boston Jr.</t>
  </si>
  <si>
    <t>Luka Garza</t>
  </si>
  <si>
    <t>Charles Bassey</t>
  </si>
  <si>
    <t>Sandro Mamukelashvili</t>
  </si>
  <si>
    <t>Aaron Wiggins</t>
  </si>
  <si>
    <t>Scottie Lewis</t>
  </si>
  <si>
    <t>Jericho Sims</t>
  </si>
  <si>
    <t>Georgios Kalaitzakis</t>
  </si>
  <si>
    <t>Column1</t>
  </si>
  <si>
    <t>Description</t>
  </si>
  <si>
    <t>Overall pick position in the NBA Draft</t>
  </si>
  <si>
    <t>Team that drafted the player</t>
  </si>
  <si>
    <t>Name of the player drafted</t>
  </si>
  <si>
    <t>College attended before entering the draft</t>
  </si>
  <si>
    <t>Total years played in the NBA</t>
  </si>
  <si>
    <t>Total games played across career</t>
  </si>
  <si>
    <t>Total minutes played in career</t>
  </si>
  <si>
    <t>Total points scored</t>
  </si>
  <si>
    <t>Total rebounds recorded</t>
  </si>
  <si>
    <t>Total assists made</t>
  </si>
  <si>
    <t>Field goal shooting percentage</t>
  </si>
  <si>
    <t>3-point shooting percentage</t>
  </si>
  <si>
    <t>Free throw shooting percentage</t>
  </si>
  <si>
    <t>Total win shares (team contribution to wins)</t>
  </si>
  <si>
    <t>Win shares per 48 minutes</t>
  </si>
  <si>
    <t>Year the player was drafted</t>
  </si>
  <si>
    <t>Average minutes played per game</t>
  </si>
  <si>
    <t>Average points per game</t>
  </si>
  <si>
    <t>Average rebounds per game</t>
  </si>
  <si>
    <t>Average assists per game</t>
  </si>
  <si>
    <t>Draft round in which player was picked</t>
  </si>
  <si>
    <t>Pick number within the draft round</t>
  </si>
  <si>
    <t>Grand Total</t>
  </si>
  <si>
    <t>Average of years_played</t>
  </si>
  <si>
    <t>Draft Round</t>
  </si>
  <si>
    <t>Long_Career</t>
  </si>
  <si>
    <t>Sum of Long_Career</t>
  </si>
  <si>
    <t>Column2</t>
  </si>
  <si>
    <t>Column</t>
  </si>
  <si>
    <t>Team</t>
  </si>
  <si>
    <t>Sum of total_pts</t>
  </si>
  <si>
    <t>Players Name</t>
  </si>
  <si>
    <t>Relationship</t>
  </si>
  <si>
    <t>Values</t>
  </si>
  <si>
    <t>Pick Position vs. Total Points</t>
  </si>
  <si>
    <t>Pick Position vs. Win Shares</t>
  </si>
  <si>
    <t>FG% vs. Total Assists</t>
  </si>
  <si>
    <t>3PT% vs. Total Assists</t>
  </si>
  <si>
    <t>FT% vs. Total Assists</t>
  </si>
  <si>
    <t>FG% vs. Total Rebound</t>
  </si>
  <si>
    <t>3PT% vs. Total Rebound</t>
  </si>
  <si>
    <t>FT% vs. Total Rebound</t>
  </si>
  <si>
    <t>Average of pts_per_game</t>
  </si>
  <si>
    <t>Sum of win_shares</t>
  </si>
  <si>
    <t>Draft Position</t>
  </si>
  <si>
    <t>Key Performance Indicators</t>
  </si>
  <si>
    <t>Indicator</t>
  </si>
  <si>
    <t>Average of years_played in Draft Round 1</t>
  </si>
  <si>
    <t>Average of years_played in Draft Round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</si>
</sst>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NumberFormat="1"/>
    <xf numFmtId="0" fontId="0" fillId="0" borderId="0" xfId="0" pivotButton="1"/>
    <xf numFmtId="0" fontId="0" fillId="0" borderId="0" xfId="0" applyAlignment="1">
      <alignment horizontal="left"/>
    </xf>
    <xf numFmtId="0" fontId="0" fillId="2" borderId="0" xfId="0" applyNumberFormat="1" applyFill="1"/>
    <xf numFmtId="0" fontId="0" fillId="0" borderId="0" xfId="0" applyAlignment="1">
      <alignment horizontal="center"/>
    </xf>
    <xf numFmtId="0" fontId="0" fillId="0" borderId="0" xfId="0" applyFill="1"/>
  </cellXfs>
  <cellStyles count="1">
    <cellStyle name="Normal" xfId="0" builtinId="0"/>
  </cellStyles>
  <dxfs count="14">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s>
  <tableStyles count="0" defaultTableStyle="TableStyleMedium2" defaultPivotStyle="PivotStyleLight16"/>
  <colors>
    <mruColors>
      <color rgb="FF7A7674"/>
      <color rgb="FF700000"/>
      <color rgb="FF0D01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ANALYSIS.xlsx]Analysis!PivotTable3</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TOP 10 PLAYERS WITH THE HIGHEST POINTS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Analysis!$K$2</c:f>
              <c:strCache>
                <c:ptCount val="1"/>
                <c:pt idx="0">
                  <c:v>Total</c:v>
                </c:pt>
              </c:strCache>
            </c:strRef>
          </c:tx>
          <c:spPr>
            <a:solidFill>
              <a:srgbClr val="700000"/>
            </a:solidFill>
            <a:ln>
              <a:noFill/>
            </a:ln>
            <a:effectLst/>
          </c:spPr>
          <c:invertIfNegative val="0"/>
          <c:cat>
            <c:strRef>
              <c:f>Analysis!$J$3:$J$13</c:f>
              <c:strCache>
                <c:ptCount val="10"/>
                <c:pt idx="0">
                  <c:v>LeBron James</c:v>
                </c:pt>
                <c:pt idx="1">
                  <c:v>Kobe Bryant</c:v>
                </c:pt>
                <c:pt idx="2">
                  <c:v>Dirk Nowitzki</c:v>
                </c:pt>
                <c:pt idx="3">
                  <c:v>Shaquille O'Neal</c:v>
                </c:pt>
                <c:pt idx="4">
                  <c:v>Carmelo Anthony</c:v>
                </c:pt>
                <c:pt idx="5">
                  <c:v>Tim Duncan</c:v>
                </c:pt>
                <c:pt idx="6">
                  <c:v>Paul Pierce</c:v>
                </c:pt>
                <c:pt idx="7">
                  <c:v>Kevin Garnett</c:v>
                </c:pt>
                <c:pt idx="8">
                  <c:v>Vince Carter</c:v>
                </c:pt>
                <c:pt idx="9">
                  <c:v>Kevin Durant</c:v>
                </c:pt>
              </c:strCache>
            </c:strRef>
          </c:cat>
          <c:val>
            <c:numRef>
              <c:f>Analysis!$K$3:$K$13</c:f>
              <c:numCache>
                <c:formatCode>General</c:formatCode>
                <c:ptCount val="10"/>
                <c:pt idx="0">
                  <c:v>36559</c:v>
                </c:pt>
                <c:pt idx="1">
                  <c:v>33643</c:v>
                </c:pt>
                <c:pt idx="2">
                  <c:v>31560</c:v>
                </c:pt>
                <c:pt idx="3">
                  <c:v>28596</c:v>
                </c:pt>
                <c:pt idx="4">
                  <c:v>28042</c:v>
                </c:pt>
                <c:pt idx="5">
                  <c:v>26496</c:v>
                </c:pt>
                <c:pt idx="6">
                  <c:v>26397</c:v>
                </c:pt>
                <c:pt idx="7">
                  <c:v>26071</c:v>
                </c:pt>
                <c:pt idx="8">
                  <c:v>25728</c:v>
                </c:pt>
                <c:pt idx="9">
                  <c:v>24936</c:v>
                </c:pt>
              </c:numCache>
            </c:numRef>
          </c:val>
          <c:extLst>
            <c:ext xmlns:c16="http://schemas.microsoft.com/office/drawing/2014/chart" uri="{C3380CC4-5D6E-409C-BE32-E72D297353CC}">
              <c16:uniqueId val="{00000000-827F-41E5-A0C7-A53A0205BA63}"/>
            </c:ext>
          </c:extLst>
        </c:ser>
        <c:dLbls>
          <c:showLegendKey val="0"/>
          <c:showVal val="0"/>
          <c:showCatName val="0"/>
          <c:showSerName val="0"/>
          <c:showPercent val="0"/>
          <c:showBubbleSize val="0"/>
        </c:dLbls>
        <c:gapWidth val="219"/>
        <c:overlap val="-27"/>
        <c:axId val="919009887"/>
        <c:axId val="919025727"/>
      </c:barChart>
      <c:catAx>
        <c:axId val="91900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25727"/>
        <c:crosses val="autoZero"/>
        <c:auto val="1"/>
        <c:lblAlgn val="ctr"/>
        <c:lblOffset val="100"/>
        <c:noMultiLvlLbl val="0"/>
      </c:catAx>
      <c:valAx>
        <c:axId val="91902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0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a:t>
            </a:r>
            <a:r>
              <a:rPr lang="en-US" b="1" baseline="0">
                <a:solidFill>
                  <a:schemeClr val="tx1"/>
                </a:solidFill>
              </a:rPr>
              <a:t> OF YEARS PLAYED BY DRAFT ROUND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w="19050">
            <a:solidFill>
              <a:schemeClr val="lt1"/>
            </a:solidFill>
          </a:ln>
          <a:effectLst/>
        </c:spPr>
      </c:pivotFmt>
      <c:pivotFmt>
        <c:idx val="6"/>
        <c:spPr>
          <a:solidFill>
            <a:srgbClr val="700000"/>
          </a:solidFill>
          <a:ln w="19050">
            <a:solidFill>
              <a:schemeClr val="lt1"/>
            </a:solidFill>
          </a:ln>
          <a:effectLst/>
        </c:spPr>
      </c:pivotFmt>
    </c:pivotFmts>
    <c:plotArea>
      <c:layout/>
      <c:doughnutChart>
        <c:varyColors val="1"/>
        <c:ser>
          <c:idx val="0"/>
          <c:order val="0"/>
          <c:tx>
            <c:strRef>
              <c:f>Analysis!$E$2</c:f>
              <c:strCache>
                <c:ptCount val="1"/>
                <c:pt idx="0">
                  <c:v>Total</c:v>
                </c:pt>
              </c:strCache>
            </c:strRef>
          </c:tx>
          <c:dPt>
            <c:idx val="0"/>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1-DB5F-4EFE-B69A-D7E24277387A}"/>
              </c:ext>
            </c:extLst>
          </c:dPt>
          <c:dPt>
            <c:idx val="1"/>
            <c:bubble3D val="0"/>
            <c:spPr>
              <a:solidFill>
                <a:srgbClr val="700000"/>
              </a:solidFill>
              <a:ln w="19050">
                <a:solidFill>
                  <a:schemeClr val="lt1"/>
                </a:solidFill>
              </a:ln>
              <a:effectLst/>
            </c:spPr>
            <c:extLst>
              <c:ext xmlns:c16="http://schemas.microsoft.com/office/drawing/2014/chart" uri="{C3380CC4-5D6E-409C-BE32-E72D297353CC}">
                <c16:uniqueId val="{00000003-DB5F-4EFE-B69A-D7E24277387A}"/>
              </c:ext>
            </c:extLst>
          </c:dPt>
          <c:cat>
            <c:strRef>
              <c:f>Analysis!$D$3:$D$5</c:f>
              <c:strCache>
                <c:ptCount val="2"/>
                <c:pt idx="0">
                  <c:v>1</c:v>
                </c:pt>
                <c:pt idx="1">
                  <c:v>2</c:v>
                </c:pt>
              </c:strCache>
            </c:strRef>
          </c:cat>
          <c:val>
            <c:numRef>
              <c:f>Analysis!$E$3:$E$5</c:f>
              <c:numCache>
                <c:formatCode>General</c:formatCode>
                <c:ptCount val="2"/>
                <c:pt idx="0">
                  <c:v>7.7462203023758098</c:v>
                </c:pt>
                <c:pt idx="1">
                  <c:v>4.3924963924963922</c:v>
                </c:pt>
              </c:numCache>
            </c:numRef>
          </c:val>
          <c:extLst>
            <c:ext xmlns:c16="http://schemas.microsoft.com/office/drawing/2014/chart" uri="{C3380CC4-5D6E-409C-BE32-E72D297353CC}">
              <c16:uniqueId val="{00000004-DB5F-4EFE-B69A-D7E24277387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ANALYSIS.xlsx]Analysis!PivotTable2</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TEAMS OF PLAYERS WITH HE LONGEST CAREER</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c:f>
              <c:strCache>
                <c:ptCount val="1"/>
                <c:pt idx="0">
                  <c:v>Total</c:v>
                </c:pt>
              </c:strCache>
            </c:strRef>
          </c:tx>
          <c:spPr>
            <a:solidFill>
              <a:srgbClr val="700000"/>
            </a:solidFill>
            <a:ln>
              <a:noFill/>
            </a:ln>
            <a:effectLst/>
          </c:spPr>
          <c:invertIfNegative val="0"/>
          <c:cat>
            <c:strRef>
              <c:f>Analysis!$G$3:$G$33</c:f>
              <c:strCache>
                <c:ptCount val="30"/>
                <c:pt idx="0">
                  <c:v>MIL</c:v>
                </c:pt>
                <c:pt idx="1">
                  <c:v>SAC</c:v>
                </c:pt>
                <c:pt idx="2">
                  <c:v>CHI</c:v>
                </c:pt>
                <c:pt idx="3">
                  <c:v>DET</c:v>
                </c:pt>
                <c:pt idx="4">
                  <c:v>OKC</c:v>
                </c:pt>
                <c:pt idx="5">
                  <c:v>MIN</c:v>
                </c:pt>
                <c:pt idx="6">
                  <c:v>CHA</c:v>
                </c:pt>
                <c:pt idx="7">
                  <c:v>WAS</c:v>
                </c:pt>
                <c:pt idx="8">
                  <c:v>PHI</c:v>
                </c:pt>
                <c:pt idx="9">
                  <c:v>GSW</c:v>
                </c:pt>
                <c:pt idx="10">
                  <c:v>UTA</c:v>
                </c:pt>
                <c:pt idx="11">
                  <c:v>HOU</c:v>
                </c:pt>
                <c:pt idx="12">
                  <c:v>ATL</c:v>
                </c:pt>
                <c:pt idx="13">
                  <c:v>IND</c:v>
                </c:pt>
                <c:pt idx="14">
                  <c:v>CLE</c:v>
                </c:pt>
                <c:pt idx="15">
                  <c:v>DEN</c:v>
                </c:pt>
                <c:pt idx="16">
                  <c:v>LAL</c:v>
                </c:pt>
                <c:pt idx="17">
                  <c:v>BOS</c:v>
                </c:pt>
                <c:pt idx="18">
                  <c:v>PHO</c:v>
                </c:pt>
                <c:pt idx="19">
                  <c:v>LAC</c:v>
                </c:pt>
                <c:pt idx="20">
                  <c:v>TOR</c:v>
                </c:pt>
                <c:pt idx="21">
                  <c:v>ORL</c:v>
                </c:pt>
                <c:pt idx="22">
                  <c:v>SAS</c:v>
                </c:pt>
                <c:pt idx="23">
                  <c:v>POR</c:v>
                </c:pt>
                <c:pt idx="24">
                  <c:v>BRK</c:v>
                </c:pt>
                <c:pt idx="25">
                  <c:v>DAL</c:v>
                </c:pt>
                <c:pt idx="26">
                  <c:v>NYK</c:v>
                </c:pt>
                <c:pt idx="27">
                  <c:v>MEM</c:v>
                </c:pt>
                <c:pt idx="28">
                  <c:v>MIA</c:v>
                </c:pt>
                <c:pt idx="29">
                  <c:v>NOP</c:v>
                </c:pt>
              </c:strCache>
            </c:strRef>
          </c:cat>
          <c:val>
            <c:numRef>
              <c:f>Analysis!$H$3:$H$33</c:f>
              <c:numCache>
                <c:formatCode>General</c:formatCode>
                <c:ptCount val="30"/>
                <c:pt idx="0">
                  <c:v>36</c:v>
                </c:pt>
                <c:pt idx="1">
                  <c:v>35</c:v>
                </c:pt>
                <c:pt idx="2">
                  <c:v>32</c:v>
                </c:pt>
                <c:pt idx="3">
                  <c:v>32</c:v>
                </c:pt>
                <c:pt idx="4">
                  <c:v>30</c:v>
                </c:pt>
                <c:pt idx="5">
                  <c:v>30</c:v>
                </c:pt>
                <c:pt idx="6">
                  <c:v>29</c:v>
                </c:pt>
                <c:pt idx="7">
                  <c:v>28</c:v>
                </c:pt>
                <c:pt idx="8">
                  <c:v>28</c:v>
                </c:pt>
                <c:pt idx="9">
                  <c:v>28</c:v>
                </c:pt>
                <c:pt idx="10">
                  <c:v>28</c:v>
                </c:pt>
                <c:pt idx="11">
                  <c:v>28</c:v>
                </c:pt>
                <c:pt idx="12">
                  <c:v>27</c:v>
                </c:pt>
                <c:pt idx="13">
                  <c:v>27</c:v>
                </c:pt>
                <c:pt idx="14">
                  <c:v>26</c:v>
                </c:pt>
                <c:pt idx="15">
                  <c:v>26</c:v>
                </c:pt>
                <c:pt idx="16">
                  <c:v>25</c:v>
                </c:pt>
                <c:pt idx="17">
                  <c:v>24</c:v>
                </c:pt>
                <c:pt idx="18">
                  <c:v>24</c:v>
                </c:pt>
                <c:pt idx="19">
                  <c:v>23</c:v>
                </c:pt>
                <c:pt idx="20">
                  <c:v>22</c:v>
                </c:pt>
                <c:pt idx="21">
                  <c:v>21</c:v>
                </c:pt>
                <c:pt idx="22">
                  <c:v>20</c:v>
                </c:pt>
                <c:pt idx="23">
                  <c:v>20</c:v>
                </c:pt>
                <c:pt idx="24">
                  <c:v>19</c:v>
                </c:pt>
                <c:pt idx="25">
                  <c:v>18</c:v>
                </c:pt>
                <c:pt idx="26">
                  <c:v>18</c:v>
                </c:pt>
                <c:pt idx="27">
                  <c:v>18</c:v>
                </c:pt>
                <c:pt idx="28">
                  <c:v>17</c:v>
                </c:pt>
                <c:pt idx="29">
                  <c:v>12</c:v>
                </c:pt>
              </c:numCache>
            </c:numRef>
          </c:val>
          <c:extLst>
            <c:ext xmlns:c16="http://schemas.microsoft.com/office/drawing/2014/chart" uri="{C3380CC4-5D6E-409C-BE32-E72D297353CC}">
              <c16:uniqueId val="{00000000-3EEC-4875-994B-914CA52AD991}"/>
            </c:ext>
          </c:extLst>
        </c:ser>
        <c:dLbls>
          <c:showLegendKey val="0"/>
          <c:showVal val="0"/>
          <c:showCatName val="0"/>
          <c:showSerName val="0"/>
          <c:showPercent val="0"/>
          <c:showBubbleSize val="0"/>
        </c:dLbls>
        <c:gapWidth val="219"/>
        <c:overlap val="-27"/>
        <c:axId val="919036287"/>
        <c:axId val="919019967"/>
      </c:barChart>
      <c:catAx>
        <c:axId val="91903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19967"/>
        <c:crosses val="autoZero"/>
        <c:auto val="1"/>
        <c:lblAlgn val="ctr"/>
        <c:lblOffset val="100"/>
        <c:noMultiLvlLbl val="0"/>
      </c:catAx>
      <c:valAx>
        <c:axId val="91901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3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[NBA ANALYSIS.xlsx]Analysis!PivotTable4</c:name>
    <c:fmtId val="6"/>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AVERAGE POINTS PER GAME BY TOTAL ROUNDS PICKED</a:t>
            </a:r>
          </a:p>
        </c:rich>
      </c:tx>
      <c:layout>
        <c:manualLayout>
          <c:xMode val="edge"/>
          <c:yMode val="edge"/>
          <c:x val="0.13723805176051648"/>
          <c:y val="0.1277745604761558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43373791682147"/>
          <c:y val="0.34018383166498439"/>
          <c:w val="0.57956453240990624"/>
          <c:h val="0.55311354515371158"/>
        </c:manualLayout>
      </c:layout>
      <c:barChart>
        <c:barDir val="bar"/>
        <c:grouping val="clustered"/>
        <c:varyColors val="0"/>
        <c:ser>
          <c:idx val="0"/>
          <c:order val="0"/>
          <c:tx>
            <c:strRef>
              <c:f>Analysis!$AA$2</c:f>
              <c:strCache>
                <c:ptCount val="1"/>
                <c:pt idx="0">
                  <c:v>Total</c:v>
                </c:pt>
              </c:strCache>
            </c:strRef>
          </c:tx>
          <c:spPr>
            <a:solidFill>
              <a:srgbClr val="700000"/>
            </a:solidFill>
            <a:ln>
              <a:noFill/>
            </a:ln>
            <a:effectLst/>
          </c:spPr>
          <c:invertIfNegative val="0"/>
          <c:cat>
            <c:strRef>
              <c:f>Analysis!$Z$3:$Z$5</c:f>
              <c:strCache>
                <c:ptCount val="2"/>
                <c:pt idx="0">
                  <c:v>1</c:v>
                </c:pt>
                <c:pt idx="1">
                  <c:v>2</c:v>
                </c:pt>
              </c:strCache>
            </c:strRef>
          </c:cat>
          <c:val>
            <c:numRef>
              <c:f>Analysis!$AA$3:$AA$5</c:f>
              <c:numCache>
                <c:formatCode>General</c:formatCode>
                <c:ptCount val="2"/>
                <c:pt idx="0">
                  <c:v>9.0788336933045262</c:v>
                </c:pt>
                <c:pt idx="1">
                  <c:v>4.7493506493506512</c:v>
                </c:pt>
              </c:numCache>
            </c:numRef>
          </c:val>
          <c:extLst>
            <c:ext xmlns:c16="http://schemas.microsoft.com/office/drawing/2014/chart" uri="{C3380CC4-5D6E-409C-BE32-E72D297353CC}">
              <c16:uniqueId val="{00000000-4188-4865-A80C-A7029FA8471D}"/>
            </c:ext>
          </c:extLst>
        </c:ser>
        <c:dLbls>
          <c:showLegendKey val="0"/>
          <c:showVal val="0"/>
          <c:showCatName val="0"/>
          <c:showSerName val="0"/>
          <c:showPercent val="0"/>
          <c:showBubbleSize val="0"/>
        </c:dLbls>
        <c:gapWidth val="182"/>
        <c:axId val="21182559"/>
        <c:axId val="21203199"/>
      </c:barChart>
      <c:catAx>
        <c:axId val="21182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199"/>
        <c:crosses val="autoZero"/>
        <c:auto val="1"/>
        <c:lblAlgn val="ctr"/>
        <c:lblOffset val="100"/>
        <c:noMultiLvlLbl val="0"/>
      </c:catAx>
      <c:valAx>
        <c:axId val="2120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DRAFT POSITIONS BY SUM OF WIN_SHARES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tx>
            <c:strRef>
              <c:f>Analysis!$AD$2</c:f>
              <c:strCache>
                <c:ptCount val="1"/>
                <c:pt idx="0">
                  <c:v>Sum of win_shares</c:v>
                </c:pt>
              </c:strCache>
            </c:strRef>
          </c:tx>
          <c:spPr>
            <a:ln w="19050" cap="rnd">
              <a:solidFill>
                <a:srgbClr val="700000"/>
              </a:solidFill>
              <a:round/>
            </a:ln>
            <a:effectLst/>
          </c:spPr>
          <c:marker>
            <c:symbol val="none"/>
          </c:marker>
          <c:xVal>
            <c:numRef>
              <c:f>Analysis!$AC$3:$AC$62</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xVal>
          <c:yVal>
            <c:numRef>
              <c:f>Analysis!$AD$3:$AD$62</c:f>
              <c:numCache>
                <c:formatCode>General</c:formatCode>
                <c:ptCount val="60"/>
                <c:pt idx="0">
                  <c:v>2003.3999999999999</c:v>
                </c:pt>
                <c:pt idx="1">
                  <c:v>1481.9999999999998</c:v>
                </c:pt>
                <c:pt idx="2">
                  <c:v>1663.9999999999998</c:v>
                </c:pt>
                <c:pt idx="3">
                  <c:v>1488.9</c:v>
                </c:pt>
                <c:pt idx="4">
                  <c:v>1462.8</c:v>
                </c:pt>
                <c:pt idx="5">
                  <c:v>700.40000000000009</c:v>
                </c:pt>
                <c:pt idx="6">
                  <c:v>974.09999999999991</c:v>
                </c:pt>
                <c:pt idx="7">
                  <c:v>711.49999999999989</c:v>
                </c:pt>
                <c:pt idx="8">
                  <c:v>1283.7000000000003</c:v>
                </c:pt>
                <c:pt idx="9">
                  <c:v>1091.8999999999996</c:v>
                </c:pt>
                <c:pt idx="10">
                  <c:v>669.00000000000023</c:v>
                </c:pt>
                <c:pt idx="11">
                  <c:v>539.30000000000007</c:v>
                </c:pt>
                <c:pt idx="12">
                  <c:v>904.00000000000011</c:v>
                </c:pt>
                <c:pt idx="13">
                  <c:v>497.8</c:v>
                </c:pt>
                <c:pt idx="14">
                  <c:v>746</c:v>
                </c:pt>
                <c:pt idx="15">
                  <c:v>506.80000000000013</c:v>
                </c:pt>
                <c:pt idx="16">
                  <c:v>545.00000000000011</c:v>
                </c:pt>
                <c:pt idx="17">
                  <c:v>552.5</c:v>
                </c:pt>
                <c:pt idx="18">
                  <c:v>500.00000000000006</c:v>
                </c:pt>
                <c:pt idx="19">
                  <c:v>391.40000000000003</c:v>
                </c:pt>
                <c:pt idx="20">
                  <c:v>644.29999999999984</c:v>
                </c:pt>
                <c:pt idx="21">
                  <c:v>395.09999999999997</c:v>
                </c:pt>
                <c:pt idx="22">
                  <c:v>521.9</c:v>
                </c:pt>
                <c:pt idx="23">
                  <c:v>699.40000000000032</c:v>
                </c:pt>
                <c:pt idx="24">
                  <c:v>380.10000000000008</c:v>
                </c:pt>
                <c:pt idx="25">
                  <c:v>465.09999999999997</c:v>
                </c:pt>
                <c:pt idx="26">
                  <c:v>475.69999999999993</c:v>
                </c:pt>
                <c:pt idx="27">
                  <c:v>371.7</c:v>
                </c:pt>
                <c:pt idx="28">
                  <c:v>330.40000000000009</c:v>
                </c:pt>
                <c:pt idx="29">
                  <c:v>413.40000000000003</c:v>
                </c:pt>
                <c:pt idx="30">
                  <c:v>256.20000000000005</c:v>
                </c:pt>
                <c:pt idx="31">
                  <c:v>240.60000000000002</c:v>
                </c:pt>
                <c:pt idx="32">
                  <c:v>220.6</c:v>
                </c:pt>
                <c:pt idx="33">
                  <c:v>180.50000000000003</c:v>
                </c:pt>
                <c:pt idx="34">
                  <c:v>376.59999999999997</c:v>
                </c:pt>
                <c:pt idx="35">
                  <c:v>155.70000000000002</c:v>
                </c:pt>
                <c:pt idx="36">
                  <c:v>268.39999999999992</c:v>
                </c:pt>
                <c:pt idx="37">
                  <c:v>237.50000000000006</c:v>
                </c:pt>
                <c:pt idx="38">
                  <c:v>190.1</c:v>
                </c:pt>
                <c:pt idx="39">
                  <c:v>201.50000000000006</c:v>
                </c:pt>
                <c:pt idx="40">
                  <c:v>231.79999999999998</c:v>
                </c:pt>
                <c:pt idx="41">
                  <c:v>241.20000000000002</c:v>
                </c:pt>
                <c:pt idx="42">
                  <c:v>270.19999999999993</c:v>
                </c:pt>
                <c:pt idx="43">
                  <c:v>95.300000000000011</c:v>
                </c:pt>
                <c:pt idx="44">
                  <c:v>358.70000000000005</c:v>
                </c:pt>
                <c:pt idx="45">
                  <c:v>200.6</c:v>
                </c:pt>
                <c:pt idx="46">
                  <c:v>244.29999999999998</c:v>
                </c:pt>
                <c:pt idx="47">
                  <c:v>171.7</c:v>
                </c:pt>
                <c:pt idx="48">
                  <c:v>91.9</c:v>
                </c:pt>
                <c:pt idx="49">
                  <c:v>93.3</c:v>
                </c:pt>
                <c:pt idx="50">
                  <c:v>114.60000000000001</c:v>
                </c:pt>
                <c:pt idx="51">
                  <c:v>53.599999999999994</c:v>
                </c:pt>
                <c:pt idx="52">
                  <c:v>65.999999999999986</c:v>
                </c:pt>
                <c:pt idx="53">
                  <c:v>59.300000000000011</c:v>
                </c:pt>
                <c:pt idx="54">
                  <c:v>79.400000000000006</c:v>
                </c:pt>
                <c:pt idx="55">
                  <c:v>135.09999999999997</c:v>
                </c:pt>
                <c:pt idx="56">
                  <c:v>169</c:v>
                </c:pt>
                <c:pt idx="57">
                  <c:v>25.6</c:v>
                </c:pt>
                <c:pt idx="58">
                  <c:v>9.999999999999995E-2</c:v>
                </c:pt>
                <c:pt idx="59">
                  <c:v>50.3</c:v>
                </c:pt>
              </c:numCache>
            </c:numRef>
          </c:yVal>
          <c:smooth val="1"/>
          <c:extLst>
            <c:ext xmlns:c16="http://schemas.microsoft.com/office/drawing/2014/chart" uri="{C3380CC4-5D6E-409C-BE32-E72D297353CC}">
              <c16:uniqueId val="{00000000-87E7-4DBF-813E-12257ABAEEA8}"/>
            </c:ext>
          </c:extLst>
        </c:ser>
        <c:dLbls>
          <c:showLegendKey val="0"/>
          <c:showVal val="0"/>
          <c:showCatName val="0"/>
          <c:showSerName val="0"/>
          <c:showPercent val="0"/>
          <c:showBubbleSize val="0"/>
        </c:dLbls>
        <c:axId val="955808527"/>
        <c:axId val="955809007"/>
      </c:scatterChart>
      <c:valAx>
        <c:axId val="955808527"/>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09007"/>
        <c:crosses val="autoZero"/>
        <c:crossBetween val="midCat"/>
      </c:valAx>
      <c:valAx>
        <c:axId val="95580900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085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hyperlink" Target="#'Executive Summary'!A1"/><Relationship Id="rId1" Type="http://schemas.openxmlformats.org/officeDocument/2006/relationships/image" Target="../media/image2.png"/><Relationship Id="rId6" Type="http://schemas.openxmlformats.org/officeDocument/2006/relationships/hyperlink" Target="#NBA_Draft!A1"/><Relationship Id="rId5" Type="http://schemas.openxmlformats.org/officeDocument/2006/relationships/image" Target="../media/image4.png"/><Relationship Id="rId4"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hyperlink" Target="#'Executive Summary'!A1"/><Relationship Id="rId12" Type="http://schemas.openxmlformats.org/officeDocument/2006/relationships/image" Target="../media/image5.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11" Type="http://schemas.openxmlformats.org/officeDocument/2006/relationships/hyperlink" Target="#NBA_Draft!A1"/><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16</xdr:col>
      <xdr:colOff>131070</xdr:colOff>
      <xdr:row>34</xdr:row>
      <xdr:rowOff>23609</xdr:rowOff>
    </xdr:from>
    <xdr:to>
      <xdr:col>19</xdr:col>
      <xdr:colOff>473536</xdr:colOff>
      <xdr:row>45</xdr:row>
      <xdr:rowOff>164449</xdr:rowOff>
    </xdr:to>
    <xdr:pic>
      <xdr:nvPicPr>
        <xdr:cNvPr id="2" name="Picture 1">
          <a:extLst>
            <a:ext uri="{FF2B5EF4-FFF2-40B4-BE49-F238E27FC236}">
              <a16:creationId xmlns:a16="http://schemas.microsoft.com/office/drawing/2014/main" id="{6F115791-EE43-4F67-9715-26EC366DAD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00301" y="6251494"/>
          <a:ext cx="2174197" cy="2155743"/>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131072</xdr:colOff>
      <xdr:row>1</xdr:row>
      <xdr:rowOff>37720</xdr:rowOff>
    </xdr:from>
    <xdr:to>
      <xdr:col>7</xdr:col>
      <xdr:colOff>238998</xdr:colOff>
      <xdr:row>18</xdr:row>
      <xdr:rowOff>60978</xdr:rowOff>
    </xdr:to>
    <xdr:pic>
      <xdr:nvPicPr>
        <xdr:cNvPr id="3" name="Picture 2">
          <a:extLst>
            <a:ext uri="{FF2B5EF4-FFF2-40B4-BE49-F238E27FC236}">
              <a16:creationId xmlns:a16="http://schemas.microsoft.com/office/drawing/2014/main" id="{A98C1940-A852-4393-B61F-A144677BC4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52226" y="220893"/>
          <a:ext cx="3160810" cy="3137200"/>
        </a:xfrm>
        <a:prstGeom prst="rect">
          <a:avLst/>
        </a:prstGeom>
        <a:effectLst>
          <a:outerShdw blurRad="50800" dist="38100" dir="2700000" algn="tl" rotWithShape="0">
            <a:prstClr val="black">
              <a:alpha val="40000"/>
            </a:prstClr>
          </a:outerShdw>
        </a:effectLst>
      </xdr:spPr>
    </xdr:pic>
    <xdr:clientData/>
  </xdr:twoCellAnchor>
  <xdr:twoCellAnchor editAs="oneCell">
    <xdr:from>
      <xdr:col>30</xdr:col>
      <xdr:colOff>356849</xdr:colOff>
      <xdr:row>9</xdr:row>
      <xdr:rowOff>37720</xdr:rowOff>
    </xdr:from>
    <xdr:to>
      <xdr:col>42</xdr:col>
      <xdr:colOff>553240</xdr:colOff>
      <xdr:row>49</xdr:row>
      <xdr:rowOff>173596</xdr:rowOff>
    </xdr:to>
    <xdr:pic>
      <xdr:nvPicPr>
        <xdr:cNvPr id="4" name="Picture 3">
          <a:extLst>
            <a:ext uri="{FF2B5EF4-FFF2-40B4-BE49-F238E27FC236}">
              <a16:creationId xmlns:a16="http://schemas.microsoft.com/office/drawing/2014/main" id="{EB20D93B-0EF9-4887-9831-21026CBA0C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74157" y="1686278"/>
          <a:ext cx="7523314" cy="7462799"/>
        </a:xfrm>
        <a:prstGeom prst="rect">
          <a:avLst/>
        </a:prstGeom>
        <a:effectLst>
          <a:outerShdw blurRad="50800" dist="38100" dir="2700000" algn="tl" rotWithShape="0">
            <a:prstClr val="black">
              <a:alpha val="40000"/>
            </a:prstClr>
          </a:outerShdw>
        </a:effectLst>
      </xdr:spPr>
    </xdr:pic>
    <xdr:clientData/>
  </xdr:twoCellAnchor>
  <xdr:twoCellAnchor>
    <xdr:from>
      <xdr:col>6</xdr:col>
      <xdr:colOff>47884</xdr:colOff>
      <xdr:row>8</xdr:row>
      <xdr:rowOff>58657</xdr:rowOff>
    </xdr:from>
    <xdr:to>
      <xdr:col>34</xdr:col>
      <xdr:colOff>70216</xdr:colOff>
      <xdr:row>40</xdr:row>
      <xdr:rowOff>58006</xdr:rowOff>
    </xdr:to>
    <xdr:sp macro="" textlink="">
      <xdr:nvSpPr>
        <xdr:cNvPr id="5" name="Rectangle: Top Corners Rounded 4">
          <a:extLst>
            <a:ext uri="{FF2B5EF4-FFF2-40B4-BE49-F238E27FC236}">
              <a16:creationId xmlns:a16="http://schemas.microsoft.com/office/drawing/2014/main" id="{FB3A57D6-FAA7-4CD5-B6A6-B045DFF8EFEE}"/>
            </a:ext>
          </a:extLst>
        </xdr:cNvPr>
        <xdr:cNvSpPr/>
      </xdr:nvSpPr>
      <xdr:spPr>
        <a:xfrm>
          <a:off x="3711346" y="1524042"/>
          <a:ext cx="17118485" cy="5860887"/>
        </a:xfrm>
        <a:prstGeom prst="round2SameRect">
          <a:avLst>
            <a:gd name="adj1" fmla="val 0"/>
            <a:gd name="adj2" fmla="val 6101"/>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tx1"/>
              </a:solidFill>
              <a:latin typeface="Bahnschrift" panose="020B0502040204020203" pitchFamily="34" charset="0"/>
            </a:rPr>
            <a:t>This NBA dashboard breaks down how draft picks relate to player success and career length. One clear takeaway is that players picked earlier in the draft usually play more years and score more points. The top 10 scorers stand out with impressive totals, showing that talent can shine regardless of draft position.</a:t>
          </a:r>
        </a:p>
        <a:p>
          <a:pPr algn="l"/>
          <a:r>
            <a:rPr lang="en-US" sz="2800" b="1">
              <a:solidFill>
                <a:schemeClr val="tx1"/>
              </a:solidFill>
              <a:latin typeface="Bahnschrift" panose="020B0502040204020203" pitchFamily="34" charset="0"/>
            </a:rPr>
            <a:t>There’s also a decent link between where a player is picked and how well they perform—especially in win shares and rebounds. That means teams often get good value from early picks, but great players can come from anywhere. Shooting ability (3-point percentage) also connects well with scoring and assists, proving how important long-range shooting has become in today’s game.</a:t>
          </a:r>
        </a:p>
        <a:p>
          <a:pPr algn="l"/>
          <a:r>
            <a:rPr lang="en-US" sz="2800" b="1">
              <a:solidFill>
                <a:schemeClr val="tx1"/>
              </a:solidFill>
              <a:latin typeface="Bahnschrift" panose="020B0502040204020203" pitchFamily="34" charset="0"/>
            </a:rPr>
            <a:t>Some teams are known for having players with long careers, which might reflect strong support systems or smart management. And when looking at average points per game, earlier draft rounds tend to produce higher scorers. Overall, this analysis helps teams and fans understand how draft choices can shape a player’s journey—and why scouting beyond the obvious picks really matters.</a:t>
          </a:r>
        </a:p>
        <a:p>
          <a:pPr algn="l"/>
          <a:endParaRPr lang="en-NG" sz="2800" b="1">
            <a:solidFill>
              <a:schemeClr val="tx1"/>
            </a:solidFill>
            <a:latin typeface="Bahnschrift" panose="020B0502040204020203" pitchFamily="34" charset="0"/>
          </a:endParaRPr>
        </a:p>
      </xdr:txBody>
    </xdr:sp>
    <xdr:clientData/>
  </xdr:twoCellAnchor>
  <xdr:twoCellAnchor>
    <xdr:from>
      <xdr:col>6</xdr:col>
      <xdr:colOff>45203</xdr:colOff>
      <xdr:row>4</xdr:row>
      <xdr:rowOff>136236</xdr:rowOff>
    </xdr:from>
    <xdr:to>
      <xdr:col>35</xdr:col>
      <xdr:colOff>202508</xdr:colOff>
      <xdr:row>7</xdr:row>
      <xdr:rowOff>161804</xdr:rowOff>
    </xdr:to>
    <xdr:sp macro="" textlink="">
      <xdr:nvSpPr>
        <xdr:cNvPr id="35" name="Rectangle: Top Corners Rounded 34">
          <a:extLst>
            <a:ext uri="{FF2B5EF4-FFF2-40B4-BE49-F238E27FC236}">
              <a16:creationId xmlns:a16="http://schemas.microsoft.com/office/drawing/2014/main" id="{A652C06C-943E-41FB-A09D-9D4FAA1005F8}"/>
            </a:ext>
          </a:extLst>
        </xdr:cNvPr>
        <xdr:cNvSpPr/>
      </xdr:nvSpPr>
      <xdr:spPr>
        <a:xfrm>
          <a:off x="3708665" y="868928"/>
          <a:ext cx="17864035" cy="575088"/>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effectLst>
                <a:outerShdw blurRad="50800" dist="38100" dir="2700000" algn="tl" rotWithShape="0">
                  <a:prstClr val="black">
                    <a:alpha val="40000"/>
                  </a:prstClr>
                </a:outerShdw>
              </a:effectLst>
            </a:rPr>
            <a:t>EXECUTIVE</a:t>
          </a:r>
          <a:r>
            <a:rPr lang="en-US" sz="2800" b="1" baseline="0">
              <a:solidFill>
                <a:schemeClr val="tx1"/>
              </a:solidFill>
              <a:effectLst>
                <a:outerShdw blurRad="50800" dist="38100" dir="2700000" algn="tl" rotWithShape="0">
                  <a:prstClr val="black">
                    <a:alpha val="40000"/>
                  </a:prstClr>
                </a:outerShdw>
              </a:effectLst>
            </a:rPr>
            <a:t> SUMMARY</a:t>
          </a:r>
          <a:endParaRPr lang="en-NG" sz="28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34</xdr:col>
      <xdr:colOff>123130</xdr:colOff>
      <xdr:row>8</xdr:row>
      <xdr:rowOff>71235</xdr:rowOff>
    </xdr:from>
    <xdr:to>
      <xdr:col>35</xdr:col>
      <xdr:colOff>202507</xdr:colOff>
      <xdr:row>40</xdr:row>
      <xdr:rowOff>31546</xdr:rowOff>
    </xdr:to>
    <xdr:sp macro="" textlink="">
      <xdr:nvSpPr>
        <xdr:cNvPr id="36" name="Rectangle: Top Corners Rounded 35">
          <a:extLst>
            <a:ext uri="{FF2B5EF4-FFF2-40B4-BE49-F238E27FC236}">
              <a16:creationId xmlns:a16="http://schemas.microsoft.com/office/drawing/2014/main" id="{BA9E2B8B-30F1-4C22-8AF7-3578DC6DA014}"/>
            </a:ext>
          </a:extLst>
        </xdr:cNvPr>
        <xdr:cNvSpPr/>
      </xdr:nvSpPr>
      <xdr:spPr>
        <a:xfrm rot="10800000">
          <a:off x="20882745" y="1536620"/>
          <a:ext cx="689954" cy="5821849"/>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0</xdr:row>
      <xdr:rowOff>0</xdr:rowOff>
    </xdr:from>
    <xdr:to>
      <xdr:col>0</xdr:col>
      <xdr:colOff>381000</xdr:colOff>
      <xdr:row>1</xdr:row>
      <xdr:rowOff>82550</xdr:rowOff>
    </xdr:to>
    <xdr:sp macro="" textlink="">
      <xdr:nvSpPr>
        <xdr:cNvPr id="5121" name="Text Box 1">
          <a:extLst>
            <a:ext uri="{FF2B5EF4-FFF2-40B4-BE49-F238E27FC236}">
              <a16:creationId xmlns:a16="http://schemas.microsoft.com/office/drawing/2014/main" id="{ABE9C97C-2B0B-2173-262A-2E3A489570F3}"/>
            </a:ext>
          </a:extLst>
        </xdr:cNvPr>
        <xdr:cNvSpPr txBox="1">
          <a:spLocks noChangeArrowheads="1"/>
        </xdr:cNvSpPr>
      </xdr:nvSpPr>
      <xdr:spPr bwMode="auto">
        <a:xfrm>
          <a:off x="0" y="0"/>
          <a:ext cx="381000" cy="2667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NG" sz="1100" b="0" i="0" u="none" strike="noStrike" baseline="0">
              <a:solidFill>
                <a:srgbClr val="000000"/>
              </a:solidFill>
              <a:latin typeface="Calibri"/>
              <a:ea typeface="Calibri"/>
              <a:cs typeface="Calibri"/>
            </a:rPr>
            <a:t>This NBA dashboard breaks down how draft picks relate to player success and career length. One clear takeaway is that players picked earlier in the draft usually play more years and score more points. The top 10 scorers stand out with impressive totals, showing that talent can shine regardless of draft position.</a:t>
          </a:r>
        </a:p>
        <a:p>
          <a:pPr algn="l" rtl="0">
            <a:defRPr sz="1000"/>
          </a:pPr>
          <a:r>
            <a:rPr lang="en-NG" sz="1100" b="0" i="0" u="none" strike="noStrike" baseline="0">
              <a:solidFill>
                <a:srgbClr val="000000"/>
              </a:solidFill>
              <a:latin typeface="Calibri"/>
              <a:ea typeface="Calibri"/>
              <a:cs typeface="Calibri"/>
            </a:rPr>
            <a:t>There’s also a decent link between where a player is picked and how well they perform—especially in win shares and rebounds. That means teams often get good value from early picks, but great players can come from anywhere. Shooting ability (3-point percentage) also connects well with scoring and assists, proving how important long-range shooting has become in today’s game.</a:t>
          </a:r>
        </a:p>
        <a:p>
          <a:pPr algn="l" rtl="0">
            <a:defRPr sz="1000"/>
          </a:pPr>
          <a:r>
            <a:rPr lang="en-NG" sz="1100" b="0" i="0" u="none" strike="noStrike" baseline="0">
              <a:solidFill>
                <a:srgbClr val="000000"/>
              </a:solidFill>
              <a:latin typeface="Calibri"/>
              <a:ea typeface="Calibri"/>
              <a:cs typeface="Calibri"/>
            </a:rPr>
            <a:t>Some teams are known for having players with long careers, which might reflect strong support systems or smart management. And when looking at average points per game, earlier draft rounds tend to produce higher scorers. Overall, this analysis helps teams and fans understand how draft choices can shape a player’s journey—and why scouting beyond the obvious picks really matters.</a:t>
          </a:r>
        </a:p>
        <a:p>
          <a:pPr algn="l" rtl="0">
            <a:defRPr sz="1000"/>
          </a:pPr>
          <a:endParaRPr lang="en-NG" sz="1100" b="0" i="0" u="none" strike="noStrike" baseline="0">
            <a:solidFill>
              <a:srgbClr val="000000"/>
            </a:solidFill>
            <a:latin typeface="Calibri"/>
            <a:ea typeface="Calibri"/>
            <a:cs typeface="Calibri"/>
          </a:endParaRPr>
        </a:p>
      </xdr:txBody>
    </xdr:sp>
    <xdr:clientData/>
  </xdr:twoCellAnchor>
  <xdr:twoCellAnchor>
    <xdr:from>
      <xdr:col>0</xdr:col>
      <xdr:colOff>0</xdr:colOff>
      <xdr:row>0</xdr:row>
      <xdr:rowOff>0</xdr:rowOff>
    </xdr:from>
    <xdr:to>
      <xdr:col>0</xdr:col>
      <xdr:colOff>381000</xdr:colOff>
      <xdr:row>1</xdr:row>
      <xdr:rowOff>82550</xdr:rowOff>
    </xdr:to>
    <xdr:sp macro="" textlink="">
      <xdr:nvSpPr>
        <xdr:cNvPr id="5122" name="Text Box 2">
          <a:extLst>
            <a:ext uri="{FF2B5EF4-FFF2-40B4-BE49-F238E27FC236}">
              <a16:creationId xmlns:a16="http://schemas.microsoft.com/office/drawing/2014/main" id="{E7428724-4009-54DD-3BE7-DE7D024D46EC}"/>
            </a:ext>
          </a:extLst>
        </xdr:cNvPr>
        <xdr:cNvSpPr txBox="1">
          <a:spLocks noChangeArrowheads="1"/>
        </xdr:cNvSpPr>
      </xdr:nvSpPr>
      <xdr:spPr bwMode="auto">
        <a:xfrm>
          <a:off x="0" y="0"/>
          <a:ext cx="381000" cy="2667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NG" sz="1100" b="0" i="0" u="none" strike="noStrike" baseline="0">
              <a:solidFill>
                <a:srgbClr val="000000"/>
              </a:solidFill>
              <a:latin typeface="Calibri"/>
              <a:ea typeface="Calibri"/>
              <a:cs typeface="Calibri"/>
            </a:rPr>
            <a:t>This NBA dashboard breaks down how draft picks relate to player success and career length. One clear takeaway is that players picked earlier in the draft usually play more years and score more points. The top 10 scorers stand out with impressive totals, showing that talent can shine regardless of draft position.</a:t>
          </a:r>
        </a:p>
        <a:p>
          <a:pPr algn="l" rtl="0">
            <a:defRPr sz="1000"/>
          </a:pPr>
          <a:r>
            <a:rPr lang="en-NG" sz="1100" b="0" i="0" u="none" strike="noStrike" baseline="0">
              <a:solidFill>
                <a:srgbClr val="000000"/>
              </a:solidFill>
              <a:latin typeface="Calibri"/>
              <a:ea typeface="Calibri"/>
              <a:cs typeface="Calibri"/>
            </a:rPr>
            <a:t>There’s also a decent link between where a player is picked and how well they perform—especially in win shares and rebounds. That means teams often get good value from early picks, but great players can come from anywhere. Shooting ability (3-point percentage) also connects well with scoring and assists, proving how important long-range shooting has become in today’s game.</a:t>
          </a:r>
        </a:p>
        <a:p>
          <a:pPr algn="l" rtl="0">
            <a:defRPr sz="1000"/>
          </a:pPr>
          <a:r>
            <a:rPr lang="en-NG" sz="1100" b="0" i="0" u="none" strike="noStrike" baseline="0">
              <a:solidFill>
                <a:srgbClr val="000000"/>
              </a:solidFill>
              <a:latin typeface="Calibri"/>
              <a:ea typeface="Calibri"/>
              <a:cs typeface="Calibri"/>
            </a:rPr>
            <a:t>Some teams are known for having players with long careers, which might reflect strong support systems or smart management. And when looking at average points per game, earlier draft rounds tend to produce higher scorers. Overall, this analysis helps teams and fans understand how draft choices can shape a player’s journey—and why scouting beyond the obvious picks really matters.</a:t>
          </a:r>
        </a:p>
        <a:p>
          <a:pPr algn="l" rtl="0">
            <a:defRPr sz="1000"/>
          </a:pPr>
          <a:endParaRPr lang="en-NG" sz="1100" b="0" i="0" u="none" strike="noStrike" baseline="0">
            <a:solidFill>
              <a:srgbClr val="000000"/>
            </a:solidFill>
            <a:latin typeface="Calibri"/>
            <a:ea typeface="Calibri"/>
            <a:cs typeface="Calibri"/>
          </a:endParaRPr>
        </a:p>
      </xdr:txBody>
    </xdr:sp>
    <xdr:clientData/>
  </xdr:twoCellAnchor>
  <xdr:twoCellAnchor>
    <xdr:from>
      <xdr:col>0</xdr:col>
      <xdr:colOff>0</xdr:colOff>
      <xdr:row>0</xdr:row>
      <xdr:rowOff>0</xdr:rowOff>
    </xdr:from>
    <xdr:to>
      <xdr:col>0</xdr:col>
      <xdr:colOff>381000</xdr:colOff>
      <xdr:row>1</xdr:row>
      <xdr:rowOff>82550</xdr:rowOff>
    </xdr:to>
    <xdr:sp macro="" textlink="">
      <xdr:nvSpPr>
        <xdr:cNvPr id="5123" name="Text Box 3">
          <a:extLst>
            <a:ext uri="{FF2B5EF4-FFF2-40B4-BE49-F238E27FC236}">
              <a16:creationId xmlns:a16="http://schemas.microsoft.com/office/drawing/2014/main" id="{2CCCF7A3-77F4-E4BA-80F2-40B22E3784B5}"/>
            </a:ext>
          </a:extLst>
        </xdr:cNvPr>
        <xdr:cNvSpPr txBox="1">
          <a:spLocks noChangeArrowheads="1"/>
        </xdr:cNvSpPr>
      </xdr:nvSpPr>
      <xdr:spPr bwMode="auto">
        <a:xfrm>
          <a:off x="0" y="0"/>
          <a:ext cx="381000" cy="2667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NG" sz="1100" b="0" i="0" u="none" strike="noStrike" baseline="0">
            <a:solidFill>
              <a:schemeClr val="tx1"/>
            </a:solidFill>
            <a:latin typeface="Calibri"/>
            <a:ea typeface="Calibri"/>
            <a:cs typeface="Calibri"/>
          </a:endParaRPr>
        </a:p>
      </xdr:txBody>
    </xdr:sp>
    <xdr:clientData/>
  </xdr:twoCellAnchor>
  <xdr:twoCellAnchor editAs="oneCell">
    <xdr:from>
      <xdr:col>34</xdr:col>
      <xdr:colOff>206146</xdr:colOff>
      <xdr:row>10</xdr:row>
      <xdr:rowOff>139742</xdr:rowOff>
    </xdr:from>
    <xdr:to>
      <xdr:col>35</xdr:col>
      <xdr:colOff>214264</xdr:colOff>
      <xdr:row>15</xdr:row>
      <xdr:rowOff>38141</xdr:rowOff>
    </xdr:to>
    <xdr:pic>
      <xdr:nvPicPr>
        <xdr:cNvPr id="37" name="Picture 36">
          <a:hlinkClick xmlns:r="http://schemas.openxmlformats.org/officeDocument/2006/relationships" r:id="rId2"/>
          <a:extLst>
            <a:ext uri="{FF2B5EF4-FFF2-40B4-BE49-F238E27FC236}">
              <a16:creationId xmlns:a16="http://schemas.microsoft.com/office/drawing/2014/main" id="{E9E98014-775F-4A33-AF59-CD64F81150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932546" y="2044742"/>
          <a:ext cx="617718" cy="850899"/>
        </a:xfrm>
        <a:prstGeom prst="rect">
          <a:avLst/>
        </a:prstGeom>
      </xdr:spPr>
    </xdr:pic>
    <xdr:clientData/>
  </xdr:twoCellAnchor>
  <xdr:twoCellAnchor editAs="oneCell">
    <xdr:from>
      <xdr:col>34</xdr:col>
      <xdr:colOff>165100</xdr:colOff>
      <xdr:row>32</xdr:row>
      <xdr:rowOff>139700</xdr:rowOff>
    </xdr:from>
    <xdr:to>
      <xdr:col>35</xdr:col>
      <xdr:colOff>165099</xdr:colOff>
      <xdr:row>36</xdr:row>
      <xdr:rowOff>101601</xdr:rowOff>
    </xdr:to>
    <xdr:pic>
      <xdr:nvPicPr>
        <xdr:cNvPr id="38" name="Picture 37">
          <a:hlinkClick xmlns:r="http://schemas.openxmlformats.org/officeDocument/2006/relationships" r:id="rId4"/>
          <a:extLst>
            <a:ext uri="{FF2B5EF4-FFF2-40B4-BE49-F238E27FC236}">
              <a16:creationId xmlns:a16="http://schemas.microsoft.com/office/drawing/2014/main" id="{1A7BA9DC-E4B0-4412-872E-346913BABF3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891500" y="6235700"/>
          <a:ext cx="609599" cy="723901"/>
        </a:xfrm>
        <a:prstGeom prst="rect">
          <a:avLst/>
        </a:prstGeom>
      </xdr:spPr>
    </xdr:pic>
    <xdr:clientData/>
  </xdr:twoCellAnchor>
  <xdr:twoCellAnchor editAs="oneCell">
    <xdr:from>
      <xdr:col>34</xdr:col>
      <xdr:colOff>155346</xdr:colOff>
      <xdr:row>21</xdr:row>
      <xdr:rowOff>139742</xdr:rowOff>
    </xdr:from>
    <xdr:to>
      <xdr:col>35</xdr:col>
      <xdr:colOff>180746</xdr:colOff>
      <xdr:row>26</xdr:row>
      <xdr:rowOff>26123</xdr:rowOff>
    </xdr:to>
    <xdr:pic>
      <xdr:nvPicPr>
        <xdr:cNvPr id="39" name="Picture 38">
          <a:hlinkClick xmlns:r="http://schemas.openxmlformats.org/officeDocument/2006/relationships" r:id="rId6"/>
          <a:extLst>
            <a:ext uri="{FF2B5EF4-FFF2-40B4-BE49-F238E27FC236}">
              <a16:creationId xmlns:a16="http://schemas.microsoft.com/office/drawing/2014/main" id="{68871064-43BA-45A9-B99A-AB1FD51E38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881746" y="4140242"/>
          <a:ext cx="635000" cy="838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181297</xdr:colOff>
      <xdr:row>33</xdr:row>
      <xdr:rowOff>134362</xdr:rowOff>
    </xdr:from>
    <xdr:to>
      <xdr:col>19</xdr:col>
      <xdr:colOff>520577</xdr:colOff>
      <xdr:row>45</xdr:row>
      <xdr:rowOff>92029</xdr:rowOff>
    </xdr:to>
    <xdr:pic>
      <xdr:nvPicPr>
        <xdr:cNvPr id="46" name="Picture 45">
          <a:extLst>
            <a:ext uri="{FF2B5EF4-FFF2-40B4-BE49-F238E27FC236}">
              <a16:creationId xmlns:a16="http://schemas.microsoft.com/office/drawing/2014/main" id="{9F316E8F-0A15-4967-A2B1-F54AA230C7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34897" y="6420862"/>
          <a:ext cx="2168080" cy="2243667"/>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181298</xdr:colOff>
      <xdr:row>0</xdr:row>
      <xdr:rowOff>148473</xdr:rowOff>
    </xdr:from>
    <xdr:to>
      <xdr:col>7</xdr:col>
      <xdr:colOff>289224</xdr:colOff>
      <xdr:row>17</xdr:row>
      <xdr:rowOff>171731</xdr:rowOff>
    </xdr:to>
    <xdr:pic>
      <xdr:nvPicPr>
        <xdr:cNvPr id="45" name="Picture 44">
          <a:extLst>
            <a:ext uri="{FF2B5EF4-FFF2-40B4-BE49-F238E27FC236}">
              <a16:creationId xmlns:a16="http://schemas.microsoft.com/office/drawing/2014/main" id="{12F821A1-6000-4AE1-914C-85E15A6AA1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0498" y="148473"/>
          <a:ext cx="3155926" cy="3261758"/>
        </a:xfrm>
        <a:prstGeom prst="rect">
          <a:avLst/>
        </a:prstGeom>
        <a:effectLst>
          <a:outerShdw blurRad="50800" dist="38100" dir="2700000" algn="tl" rotWithShape="0">
            <a:prstClr val="black">
              <a:alpha val="40000"/>
            </a:prstClr>
          </a:outerShdw>
        </a:effectLst>
      </xdr:spPr>
    </xdr:pic>
    <xdr:clientData/>
  </xdr:twoCellAnchor>
  <xdr:twoCellAnchor editAs="oneCell">
    <xdr:from>
      <xdr:col>30</xdr:col>
      <xdr:colOff>407076</xdr:colOff>
      <xdr:row>8</xdr:row>
      <xdr:rowOff>148473</xdr:rowOff>
    </xdr:from>
    <xdr:to>
      <xdr:col>42</xdr:col>
      <xdr:colOff>600281</xdr:colOff>
      <xdr:row>49</xdr:row>
      <xdr:rowOff>101176</xdr:rowOff>
    </xdr:to>
    <xdr:pic>
      <xdr:nvPicPr>
        <xdr:cNvPr id="44" name="Picture 43">
          <a:extLst>
            <a:ext uri="{FF2B5EF4-FFF2-40B4-BE49-F238E27FC236}">
              <a16:creationId xmlns:a16="http://schemas.microsoft.com/office/drawing/2014/main" id="{DB0B407F-9F15-48A0-C5B1-2F8C25766B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95076" y="1672473"/>
          <a:ext cx="7508405" cy="7763203"/>
        </a:xfrm>
        <a:prstGeom prst="rect">
          <a:avLst/>
        </a:prstGeom>
        <a:effectLst>
          <a:outerShdw blurRad="50800" dist="38100" dir="2700000" algn="tl" rotWithShape="0">
            <a:prstClr val="black">
              <a:alpha val="40000"/>
            </a:prstClr>
          </a:outerShdw>
        </a:effectLst>
      </xdr:spPr>
    </xdr:pic>
    <xdr:clientData/>
  </xdr:twoCellAnchor>
  <xdr:twoCellAnchor>
    <xdr:from>
      <xdr:col>6</xdr:col>
      <xdr:colOff>98111</xdr:colOff>
      <xdr:row>7</xdr:row>
      <xdr:rowOff>169410</xdr:rowOff>
    </xdr:from>
    <xdr:to>
      <xdr:col>34</xdr:col>
      <xdr:colOff>120443</xdr:colOff>
      <xdr:row>39</xdr:row>
      <xdr:rowOff>168759</xdr:rowOff>
    </xdr:to>
    <xdr:sp macro="" textlink="">
      <xdr:nvSpPr>
        <xdr:cNvPr id="33" name="Rectangle: Top Corners Rounded 32">
          <a:extLst>
            <a:ext uri="{FF2B5EF4-FFF2-40B4-BE49-F238E27FC236}">
              <a16:creationId xmlns:a16="http://schemas.microsoft.com/office/drawing/2014/main" id="{EFE88ECD-296E-4FBD-F430-5BA7EFB41B3F}"/>
            </a:ext>
          </a:extLst>
        </xdr:cNvPr>
        <xdr:cNvSpPr/>
      </xdr:nvSpPr>
      <xdr:spPr>
        <a:xfrm>
          <a:off x="3755711" y="1502910"/>
          <a:ext cx="17091132" cy="6095349"/>
        </a:xfrm>
        <a:prstGeom prst="round2SameRect">
          <a:avLst>
            <a:gd name="adj1" fmla="val 0"/>
            <a:gd name="adj2" fmla="val 6101"/>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52781</xdr:colOff>
      <xdr:row>8</xdr:row>
      <xdr:rowOff>97128</xdr:rowOff>
    </xdr:from>
    <xdr:to>
      <xdr:col>21</xdr:col>
      <xdr:colOff>357177</xdr:colOff>
      <xdr:row>23</xdr:row>
      <xdr:rowOff>85018</xdr:rowOff>
    </xdr:to>
    <xdr:graphicFrame macro="">
      <xdr:nvGraphicFramePr>
        <xdr:cNvPr id="2" name="Chart 1">
          <a:extLst>
            <a:ext uri="{FF2B5EF4-FFF2-40B4-BE49-F238E27FC236}">
              <a16:creationId xmlns:a16="http://schemas.microsoft.com/office/drawing/2014/main" id="{C3A5759A-F102-4458-A634-6DAD03328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306376</xdr:colOff>
      <xdr:row>8</xdr:row>
      <xdr:rowOff>97128</xdr:rowOff>
    </xdr:from>
    <xdr:to>
      <xdr:col>14</xdr:col>
      <xdr:colOff>1981</xdr:colOff>
      <xdr:row>23</xdr:row>
      <xdr:rowOff>85018</xdr:rowOff>
    </xdr:to>
    <xdr:graphicFrame macro="">
      <xdr:nvGraphicFramePr>
        <xdr:cNvPr id="3" name="Chart 2">
          <a:extLst>
            <a:ext uri="{FF2B5EF4-FFF2-40B4-BE49-F238E27FC236}">
              <a16:creationId xmlns:a16="http://schemas.microsoft.com/office/drawing/2014/main" id="{CA996ACD-C613-41B2-BD89-0ED90A44C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291609</xdr:colOff>
      <xdr:row>23</xdr:row>
      <xdr:rowOff>131094</xdr:rowOff>
    </xdr:from>
    <xdr:to>
      <xdr:col>13</xdr:col>
      <xdr:colOff>596814</xdr:colOff>
      <xdr:row>38</xdr:row>
      <xdr:rowOff>112044</xdr:rowOff>
    </xdr:to>
    <xdr:graphicFrame macro="">
      <xdr:nvGraphicFramePr>
        <xdr:cNvPr id="4" name="Chart 3">
          <a:extLst>
            <a:ext uri="{FF2B5EF4-FFF2-40B4-BE49-F238E27FC236}">
              <a16:creationId xmlns:a16="http://schemas.microsoft.com/office/drawing/2014/main" id="{B7E8013E-EFAC-456F-AD2C-6E5B050FA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29596</xdr:colOff>
      <xdr:row>23</xdr:row>
      <xdr:rowOff>145860</xdr:rowOff>
    </xdr:from>
    <xdr:to>
      <xdr:col>21</xdr:col>
      <xdr:colOff>345090</xdr:colOff>
      <xdr:row>38</xdr:row>
      <xdr:rowOff>111593</xdr:rowOff>
    </xdr:to>
    <xdr:graphicFrame macro="">
      <xdr:nvGraphicFramePr>
        <xdr:cNvPr id="5" name="Chart 4">
          <a:extLst>
            <a:ext uri="{FF2B5EF4-FFF2-40B4-BE49-F238E27FC236}">
              <a16:creationId xmlns:a16="http://schemas.microsoft.com/office/drawing/2014/main" id="{24FAEF82-6719-4621-B1F1-28FD2D60B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415381</xdr:colOff>
      <xdr:row>23</xdr:row>
      <xdr:rowOff>148329</xdr:rowOff>
    </xdr:from>
    <xdr:to>
      <xdr:col>33</xdr:col>
      <xdr:colOff>482433</xdr:colOff>
      <xdr:row>38</xdr:row>
      <xdr:rowOff>116784</xdr:rowOff>
    </xdr:to>
    <xdr:graphicFrame macro="">
      <xdr:nvGraphicFramePr>
        <xdr:cNvPr id="6" name="Chart 5">
          <a:extLst>
            <a:ext uri="{FF2B5EF4-FFF2-40B4-BE49-F238E27FC236}">
              <a16:creationId xmlns:a16="http://schemas.microsoft.com/office/drawing/2014/main" id="{425F362C-A38D-46C5-B46E-3DBDD0E0E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463827</xdr:colOff>
      <xdr:row>9</xdr:row>
      <xdr:rowOff>100291</xdr:rowOff>
    </xdr:from>
    <xdr:to>
      <xdr:col>25</xdr:col>
      <xdr:colOff>333537</xdr:colOff>
      <xdr:row>13</xdr:row>
      <xdr:rowOff>88953</xdr:rowOff>
    </xdr:to>
    <xdr:grpSp>
      <xdr:nvGrpSpPr>
        <xdr:cNvPr id="10" name="Group 9">
          <a:extLst>
            <a:ext uri="{FF2B5EF4-FFF2-40B4-BE49-F238E27FC236}">
              <a16:creationId xmlns:a16="http://schemas.microsoft.com/office/drawing/2014/main" id="{C0DD7FCE-B266-620D-3388-546E5BB72B27}"/>
            </a:ext>
          </a:extLst>
        </xdr:cNvPr>
        <xdr:cNvGrpSpPr/>
      </xdr:nvGrpSpPr>
      <xdr:grpSpPr>
        <a:xfrm>
          <a:off x="13265427" y="1814791"/>
          <a:ext cx="2308110" cy="750662"/>
          <a:chOff x="9309554" y="136071"/>
          <a:chExt cx="2381250" cy="714375"/>
        </a:xfrm>
        <a:solidFill>
          <a:srgbClr val="700000"/>
        </a:solidFill>
        <a:effectLst>
          <a:outerShdw blurRad="50800" dist="38100" dir="2700000" algn="tl" rotWithShape="0">
            <a:prstClr val="black">
              <a:alpha val="40000"/>
            </a:prstClr>
          </a:outerShdw>
        </a:effectLst>
      </xdr:grpSpPr>
      <xdr:sp macro="" textlink="Analysis!O3">
        <xdr:nvSpPr>
          <xdr:cNvPr id="7" name="Rectangle: Rounded Corners 6">
            <a:extLst>
              <a:ext uri="{FF2B5EF4-FFF2-40B4-BE49-F238E27FC236}">
                <a16:creationId xmlns:a16="http://schemas.microsoft.com/office/drawing/2014/main" id="{DC9E8C93-4276-FC79-B59A-136AC8096151}"/>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1D8D9CB-C1CE-413C-8AE4-2AD9ADAC47AA}" type="TxLink">
              <a:rPr lang="en-US" sz="1400" b="1" i="0" u="none" strike="noStrike">
                <a:solidFill>
                  <a:schemeClr val="bg1"/>
                </a:solidFill>
                <a:latin typeface="Calibri"/>
                <a:ea typeface="Calibri"/>
                <a:cs typeface="Calibri"/>
              </a:rPr>
              <a:pPr algn="ctr"/>
              <a:t>Pick Position vs. Total Points</a:t>
            </a:fld>
            <a:endParaRPr lang="en-NG" sz="1400" b="1">
              <a:solidFill>
                <a:schemeClr val="bg1"/>
              </a:solidFill>
            </a:endParaRPr>
          </a:p>
        </xdr:txBody>
      </xdr:sp>
      <xdr:sp macro="" textlink="Analysis!P3">
        <xdr:nvSpPr>
          <xdr:cNvPr id="9" name="Rectangle: Rounded Corners 8">
            <a:extLst>
              <a:ext uri="{FF2B5EF4-FFF2-40B4-BE49-F238E27FC236}">
                <a16:creationId xmlns:a16="http://schemas.microsoft.com/office/drawing/2014/main" id="{CCD3F194-F334-49E0-AEEF-377089E3256F}"/>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C31DB5-5D78-4627-B018-727A05DB13A4}" type="TxLink">
              <a:rPr lang="en-US" sz="1400" b="1" i="0" u="none" strike="noStrike">
                <a:solidFill>
                  <a:schemeClr val="bg1"/>
                </a:solidFill>
                <a:latin typeface="Calibri"/>
                <a:ea typeface="Calibri"/>
                <a:cs typeface="Calibri"/>
              </a:rPr>
              <a:pPr algn="ctr"/>
              <a:t>-0.259315605</a:t>
            </a:fld>
            <a:endParaRPr lang="en-NG" sz="1400" b="1">
              <a:solidFill>
                <a:schemeClr val="bg1"/>
              </a:solidFill>
            </a:endParaRPr>
          </a:p>
        </xdr:txBody>
      </xdr:sp>
    </xdr:grpSp>
    <xdr:clientData/>
  </xdr:twoCellAnchor>
  <xdr:twoCellAnchor>
    <xdr:from>
      <xdr:col>21</xdr:col>
      <xdr:colOff>417397</xdr:colOff>
      <xdr:row>14</xdr:row>
      <xdr:rowOff>21893</xdr:rowOff>
    </xdr:from>
    <xdr:to>
      <xdr:col>25</xdr:col>
      <xdr:colOff>349359</xdr:colOff>
      <xdr:row>18</xdr:row>
      <xdr:rowOff>10553</xdr:rowOff>
    </xdr:to>
    <xdr:grpSp>
      <xdr:nvGrpSpPr>
        <xdr:cNvPr id="11" name="Group 10">
          <a:extLst>
            <a:ext uri="{FF2B5EF4-FFF2-40B4-BE49-F238E27FC236}">
              <a16:creationId xmlns:a16="http://schemas.microsoft.com/office/drawing/2014/main" id="{5188559A-791B-4D7A-AAE0-2F3E658E7EC4}"/>
            </a:ext>
          </a:extLst>
        </xdr:cNvPr>
        <xdr:cNvGrpSpPr/>
      </xdr:nvGrpSpPr>
      <xdr:grpSpPr>
        <a:xfrm>
          <a:off x="13218997" y="2688893"/>
          <a:ext cx="2370362" cy="75066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O4">
        <xdr:nvSpPr>
          <xdr:cNvPr id="12" name="Rectangle: Rounded Corners 11">
            <a:extLst>
              <a:ext uri="{FF2B5EF4-FFF2-40B4-BE49-F238E27FC236}">
                <a16:creationId xmlns:a16="http://schemas.microsoft.com/office/drawing/2014/main" id="{6EAB7B5B-B430-289F-6BEA-0F379FB53E6C}"/>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4CBE18F-5AAE-4518-8A10-68A275A5666B}" type="TxLink">
              <a:rPr lang="en-US" sz="1400" b="1" i="0" u="none" strike="noStrike">
                <a:solidFill>
                  <a:schemeClr val="bg1"/>
                </a:solidFill>
                <a:latin typeface="Calibri"/>
                <a:ea typeface="Calibri"/>
                <a:cs typeface="Calibri"/>
              </a:rPr>
              <a:pPr algn="ctr"/>
              <a:t>Pick Position vs. Win Shares</a:t>
            </a:fld>
            <a:endParaRPr lang="en-NG" sz="1400" b="1">
              <a:solidFill>
                <a:schemeClr val="bg1"/>
              </a:solidFill>
            </a:endParaRPr>
          </a:p>
        </xdr:txBody>
      </xdr:sp>
      <xdr:sp macro="" textlink="Analysis!P4">
        <xdr:nvSpPr>
          <xdr:cNvPr id="13" name="Rectangle: Rounded Corners 12">
            <a:extLst>
              <a:ext uri="{FF2B5EF4-FFF2-40B4-BE49-F238E27FC236}">
                <a16:creationId xmlns:a16="http://schemas.microsoft.com/office/drawing/2014/main" id="{3D2D28F4-5388-EE3F-E657-3164C8EA8892}"/>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C92C462-E78A-497C-BA0C-5C38F2DC7171}" type="TxLink">
              <a:rPr lang="en-US" sz="1400" b="1" i="0" u="none" strike="noStrike">
                <a:solidFill>
                  <a:schemeClr val="bg1"/>
                </a:solidFill>
                <a:latin typeface="Calibri"/>
                <a:ea typeface="Calibri"/>
                <a:cs typeface="Calibri"/>
              </a:rPr>
              <a:pPr algn="ctr"/>
              <a:t>-0.23034596</a:t>
            </a:fld>
            <a:endParaRPr lang="en-NG" sz="1400" b="1">
              <a:solidFill>
                <a:schemeClr val="bg1"/>
              </a:solidFill>
            </a:endParaRPr>
          </a:p>
        </xdr:txBody>
      </xdr:sp>
    </xdr:grpSp>
    <xdr:clientData/>
  </xdr:twoCellAnchor>
  <xdr:twoCellAnchor>
    <xdr:from>
      <xdr:col>25</xdr:col>
      <xdr:colOff>456064</xdr:colOff>
      <xdr:row>9</xdr:row>
      <xdr:rowOff>85523</xdr:rowOff>
    </xdr:from>
    <xdr:to>
      <xdr:col>29</xdr:col>
      <xdr:colOff>389179</xdr:colOff>
      <xdr:row>13</xdr:row>
      <xdr:rowOff>74185</xdr:rowOff>
    </xdr:to>
    <xdr:grpSp>
      <xdr:nvGrpSpPr>
        <xdr:cNvPr id="14" name="Group 13">
          <a:extLst>
            <a:ext uri="{FF2B5EF4-FFF2-40B4-BE49-F238E27FC236}">
              <a16:creationId xmlns:a16="http://schemas.microsoft.com/office/drawing/2014/main" id="{33FC3509-9E14-4EB4-9958-301E8CD39984}"/>
            </a:ext>
          </a:extLst>
        </xdr:cNvPr>
        <xdr:cNvGrpSpPr/>
      </xdr:nvGrpSpPr>
      <xdr:grpSpPr>
        <a:xfrm>
          <a:off x="15696064" y="1800023"/>
          <a:ext cx="2371515" cy="750662"/>
          <a:chOff x="9309554" y="136071"/>
          <a:chExt cx="2381250" cy="714375"/>
        </a:xfrm>
        <a:solidFill>
          <a:srgbClr val="700000"/>
        </a:solidFill>
        <a:effectLst>
          <a:outerShdw blurRad="50800" dist="38100" dir="2700000" algn="tl" rotWithShape="0">
            <a:prstClr val="black">
              <a:alpha val="40000"/>
            </a:prstClr>
          </a:outerShdw>
        </a:effectLst>
      </xdr:grpSpPr>
      <xdr:sp macro="" textlink="Analysis!R3">
        <xdr:nvSpPr>
          <xdr:cNvPr id="15" name="Rectangle: Rounded Corners 14">
            <a:extLst>
              <a:ext uri="{FF2B5EF4-FFF2-40B4-BE49-F238E27FC236}">
                <a16:creationId xmlns:a16="http://schemas.microsoft.com/office/drawing/2014/main" id="{23ABAC1F-53FD-A80C-52F8-E306554DACBC}"/>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58E0F4B-0E11-4CD2-8539-ECD506B6A273}" type="TxLink">
              <a:rPr lang="en-US" sz="1400" b="1" i="0" u="none" strike="noStrike">
                <a:solidFill>
                  <a:schemeClr val="bg1"/>
                </a:solidFill>
                <a:latin typeface="Calibri"/>
                <a:ea typeface="Calibri"/>
                <a:cs typeface="Calibri"/>
              </a:rPr>
              <a:pPr algn="ctr"/>
              <a:t>FG% vs. Total Assists</a:t>
            </a:fld>
            <a:endParaRPr lang="en-NG" sz="1400" b="1">
              <a:solidFill>
                <a:schemeClr val="bg1"/>
              </a:solidFill>
            </a:endParaRPr>
          </a:p>
        </xdr:txBody>
      </xdr:sp>
      <xdr:sp macro="" textlink="Analysis!S3">
        <xdr:nvSpPr>
          <xdr:cNvPr id="16" name="Rectangle: Rounded Corners 15">
            <a:extLst>
              <a:ext uri="{FF2B5EF4-FFF2-40B4-BE49-F238E27FC236}">
                <a16:creationId xmlns:a16="http://schemas.microsoft.com/office/drawing/2014/main" id="{602ADA54-4C1B-23D2-89EE-271DF0D8146A}"/>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8F29383-2F6B-4398-88CA-482155CB4FF1}" type="TxLink">
              <a:rPr lang="en-US" sz="1400" b="1" i="0" u="none" strike="noStrike">
                <a:solidFill>
                  <a:schemeClr val="bg1"/>
                </a:solidFill>
                <a:latin typeface="Calibri"/>
                <a:ea typeface="Calibri"/>
                <a:cs typeface="Calibri"/>
              </a:rPr>
              <a:pPr algn="ctr"/>
              <a:t>0.09467981</a:t>
            </a:fld>
            <a:endParaRPr lang="en-NG" sz="1400" b="1">
              <a:solidFill>
                <a:schemeClr val="bg1"/>
              </a:solidFill>
            </a:endParaRPr>
          </a:p>
        </xdr:txBody>
      </xdr:sp>
    </xdr:grpSp>
    <xdr:clientData/>
  </xdr:twoCellAnchor>
  <xdr:twoCellAnchor>
    <xdr:from>
      <xdr:col>25</xdr:col>
      <xdr:colOff>460547</xdr:colOff>
      <xdr:row>14</xdr:row>
      <xdr:rowOff>17411</xdr:rowOff>
    </xdr:from>
    <xdr:to>
      <xdr:col>29</xdr:col>
      <xdr:colOff>393662</xdr:colOff>
      <xdr:row>18</xdr:row>
      <xdr:rowOff>6071</xdr:rowOff>
    </xdr:to>
    <xdr:grpSp>
      <xdr:nvGrpSpPr>
        <xdr:cNvPr id="17" name="Group 16">
          <a:extLst>
            <a:ext uri="{FF2B5EF4-FFF2-40B4-BE49-F238E27FC236}">
              <a16:creationId xmlns:a16="http://schemas.microsoft.com/office/drawing/2014/main" id="{FA305F26-8CDB-4915-8CC6-F3949D388CA3}"/>
            </a:ext>
          </a:extLst>
        </xdr:cNvPr>
        <xdr:cNvGrpSpPr/>
      </xdr:nvGrpSpPr>
      <xdr:grpSpPr>
        <a:xfrm>
          <a:off x="15700547" y="2684411"/>
          <a:ext cx="2371515" cy="75066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R4">
        <xdr:nvSpPr>
          <xdr:cNvPr id="18" name="Rectangle: Rounded Corners 17">
            <a:extLst>
              <a:ext uri="{FF2B5EF4-FFF2-40B4-BE49-F238E27FC236}">
                <a16:creationId xmlns:a16="http://schemas.microsoft.com/office/drawing/2014/main" id="{9DF2B616-53DD-B757-DBBE-30023D392BB2}"/>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54478B-E239-4204-80F1-E74C57EA6B74}" type="TxLink">
              <a:rPr lang="en-US" sz="1400" b="1" i="0" u="none" strike="noStrike">
                <a:solidFill>
                  <a:schemeClr val="bg1"/>
                </a:solidFill>
                <a:latin typeface="Calibri"/>
                <a:ea typeface="Calibri"/>
                <a:cs typeface="Calibri"/>
              </a:rPr>
              <a:pPr algn="ctr"/>
              <a:t>3PT% vs. Total Assists</a:t>
            </a:fld>
            <a:endParaRPr lang="en-NG" sz="1400" b="1">
              <a:solidFill>
                <a:schemeClr val="bg1"/>
              </a:solidFill>
            </a:endParaRPr>
          </a:p>
        </xdr:txBody>
      </xdr:sp>
      <xdr:sp macro="" textlink="Analysis!S4">
        <xdr:nvSpPr>
          <xdr:cNvPr id="19" name="Rectangle: Rounded Corners 18">
            <a:extLst>
              <a:ext uri="{FF2B5EF4-FFF2-40B4-BE49-F238E27FC236}">
                <a16:creationId xmlns:a16="http://schemas.microsoft.com/office/drawing/2014/main" id="{F9876CDA-A48E-B628-F769-CC3C2A4E3A91}"/>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4FF22D3-8866-408D-B574-8E8DBCC41400}" type="TxLink">
              <a:rPr lang="en-US" sz="1400" b="1" i="0" u="none" strike="noStrike">
                <a:solidFill>
                  <a:schemeClr val="bg1"/>
                </a:solidFill>
                <a:latin typeface="Calibri"/>
                <a:ea typeface="Calibri"/>
                <a:cs typeface="Calibri"/>
              </a:rPr>
              <a:pPr algn="ctr"/>
              <a:t>0.275010838</a:t>
            </a:fld>
            <a:endParaRPr lang="en-NG" sz="1400" b="1">
              <a:solidFill>
                <a:schemeClr val="bg1"/>
              </a:solidFill>
            </a:endParaRPr>
          </a:p>
        </xdr:txBody>
      </xdr:sp>
    </xdr:grpSp>
    <xdr:clientData/>
  </xdr:twoCellAnchor>
  <xdr:twoCellAnchor>
    <xdr:from>
      <xdr:col>21</xdr:col>
      <xdr:colOff>419769</xdr:colOff>
      <xdr:row>18</xdr:row>
      <xdr:rowOff>179431</xdr:rowOff>
    </xdr:from>
    <xdr:to>
      <xdr:col>27</xdr:col>
      <xdr:colOff>349624</xdr:colOff>
      <xdr:row>22</xdr:row>
      <xdr:rowOff>178467</xdr:rowOff>
    </xdr:to>
    <xdr:grpSp>
      <xdr:nvGrpSpPr>
        <xdr:cNvPr id="20" name="Group 19">
          <a:extLst>
            <a:ext uri="{FF2B5EF4-FFF2-40B4-BE49-F238E27FC236}">
              <a16:creationId xmlns:a16="http://schemas.microsoft.com/office/drawing/2014/main" id="{1B3EA487-6E27-4957-846F-80019C19C6A7}"/>
            </a:ext>
          </a:extLst>
        </xdr:cNvPr>
        <xdr:cNvGrpSpPr/>
      </xdr:nvGrpSpPr>
      <xdr:grpSpPr>
        <a:xfrm>
          <a:off x="13221369" y="3608431"/>
          <a:ext cx="3587455" cy="761036"/>
          <a:chOff x="9309554" y="136071"/>
          <a:chExt cx="2381250" cy="714375"/>
        </a:xfrm>
        <a:solidFill>
          <a:srgbClr val="700000"/>
        </a:solidFill>
        <a:effectLst>
          <a:outerShdw blurRad="50800" dist="38100" dir="2700000" algn="tl" rotWithShape="0">
            <a:prstClr val="black">
              <a:alpha val="40000"/>
            </a:prstClr>
          </a:outerShdw>
        </a:effectLst>
      </xdr:grpSpPr>
      <xdr:sp macro="" textlink="Analysis!R5">
        <xdr:nvSpPr>
          <xdr:cNvPr id="21" name="Rectangle: Rounded Corners 20">
            <a:extLst>
              <a:ext uri="{FF2B5EF4-FFF2-40B4-BE49-F238E27FC236}">
                <a16:creationId xmlns:a16="http://schemas.microsoft.com/office/drawing/2014/main" id="{21AC4A0F-62E6-85DD-5F3B-8FFECAE03EA1}"/>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1139E53-8050-4E55-8CF6-3EDAAE284580}" type="TxLink">
              <a:rPr lang="en-US" sz="1400" b="1" i="0" u="none" strike="noStrike">
                <a:solidFill>
                  <a:schemeClr val="bg1"/>
                </a:solidFill>
                <a:latin typeface="Calibri"/>
                <a:ea typeface="Calibri"/>
                <a:cs typeface="Calibri"/>
              </a:rPr>
              <a:pPr algn="ctr"/>
              <a:t>FT% vs. Total Assists</a:t>
            </a:fld>
            <a:endParaRPr lang="en-NG" sz="1400" b="1">
              <a:solidFill>
                <a:schemeClr val="bg1"/>
              </a:solidFill>
            </a:endParaRPr>
          </a:p>
        </xdr:txBody>
      </xdr:sp>
      <xdr:sp macro="" textlink="Analysis!S5">
        <xdr:nvSpPr>
          <xdr:cNvPr id="22" name="Rectangle: Rounded Corners 21">
            <a:extLst>
              <a:ext uri="{FF2B5EF4-FFF2-40B4-BE49-F238E27FC236}">
                <a16:creationId xmlns:a16="http://schemas.microsoft.com/office/drawing/2014/main" id="{9C4E29D3-953E-B761-BD71-5950FE08A24E}"/>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EF83E99-C393-46D9-8F28-A80D52790FD5}" type="TxLink">
              <a:rPr lang="en-US" sz="1400" b="1" i="0" u="none" strike="noStrike">
                <a:solidFill>
                  <a:schemeClr val="bg1"/>
                </a:solidFill>
                <a:latin typeface="Calibri"/>
                <a:ea typeface="Calibri"/>
                <a:cs typeface="Calibri"/>
              </a:rPr>
              <a:pPr algn="ctr"/>
              <a:t>0.269615919</a:t>
            </a:fld>
            <a:endParaRPr lang="en-NG" sz="1400" b="1">
              <a:solidFill>
                <a:schemeClr val="bg1"/>
              </a:solidFill>
            </a:endParaRPr>
          </a:p>
        </xdr:txBody>
      </xdr:sp>
    </xdr:grpSp>
    <xdr:clientData/>
  </xdr:twoCellAnchor>
  <xdr:twoCellAnchor>
    <xdr:from>
      <xdr:col>29</xdr:col>
      <xdr:colOff>530956</xdr:colOff>
      <xdr:row>9</xdr:row>
      <xdr:rowOff>77614</xdr:rowOff>
    </xdr:from>
    <xdr:to>
      <xdr:col>33</xdr:col>
      <xdr:colOff>462919</xdr:colOff>
      <xdr:row>13</xdr:row>
      <xdr:rowOff>45677</xdr:rowOff>
    </xdr:to>
    <xdr:grpSp>
      <xdr:nvGrpSpPr>
        <xdr:cNvPr id="23" name="Group 22">
          <a:extLst>
            <a:ext uri="{FF2B5EF4-FFF2-40B4-BE49-F238E27FC236}">
              <a16:creationId xmlns:a16="http://schemas.microsoft.com/office/drawing/2014/main" id="{9C668102-6B40-4441-8198-4C56711C4E3D}"/>
            </a:ext>
          </a:extLst>
        </xdr:cNvPr>
        <xdr:cNvGrpSpPr/>
      </xdr:nvGrpSpPr>
      <xdr:grpSpPr>
        <a:xfrm>
          <a:off x="18209356" y="1792114"/>
          <a:ext cx="2370363" cy="730063"/>
          <a:chOff x="9309554" y="136071"/>
          <a:chExt cx="2381250" cy="714375"/>
        </a:xfrm>
        <a:solidFill>
          <a:srgbClr val="700000"/>
        </a:solidFill>
        <a:effectLst>
          <a:outerShdw blurRad="50800" dist="38100" dir="2700000" algn="tl" rotWithShape="0">
            <a:prstClr val="black">
              <a:alpha val="40000"/>
            </a:prstClr>
          </a:outerShdw>
        </a:effectLst>
      </xdr:grpSpPr>
      <xdr:sp macro="" textlink="Analysis!U3">
        <xdr:nvSpPr>
          <xdr:cNvPr id="24" name="Rectangle: Rounded Corners 23">
            <a:extLst>
              <a:ext uri="{FF2B5EF4-FFF2-40B4-BE49-F238E27FC236}">
                <a16:creationId xmlns:a16="http://schemas.microsoft.com/office/drawing/2014/main" id="{0F5F4844-CC21-0201-297C-EB6C7BD94869}"/>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B3740BC-0C91-45FB-AE27-8660EB99CDA1}" type="TxLink">
              <a:rPr lang="en-US" sz="1400" b="1" i="0" u="none" strike="noStrike">
                <a:solidFill>
                  <a:schemeClr val="bg1"/>
                </a:solidFill>
                <a:latin typeface="Calibri"/>
                <a:ea typeface="Calibri"/>
                <a:cs typeface="Calibri"/>
              </a:rPr>
              <a:pPr algn="ctr"/>
              <a:t>FG% vs. Total Rebound</a:t>
            </a:fld>
            <a:endParaRPr lang="en-NG" sz="1400" b="1">
              <a:solidFill>
                <a:schemeClr val="bg1"/>
              </a:solidFill>
            </a:endParaRPr>
          </a:p>
        </xdr:txBody>
      </xdr:sp>
      <xdr:sp macro="" textlink="Analysis!V3">
        <xdr:nvSpPr>
          <xdr:cNvPr id="25" name="Rectangle: Rounded Corners 24">
            <a:extLst>
              <a:ext uri="{FF2B5EF4-FFF2-40B4-BE49-F238E27FC236}">
                <a16:creationId xmlns:a16="http://schemas.microsoft.com/office/drawing/2014/main" id="{63A9780A-9218-3471-803E-82FF39F246F9}"/>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D023F8-35BD-4060-9B50-D8FD81DB302E}" type="TxLink">
              <a:rPr lang="en-US" sz="1400" b="1" i="0" u="none" strike="noStrike">
                <a:solidFill>
                  <a:schemeClr val="bg1"/>
                </a:solidFill>
                <a:latin typeface="Calibri"/>
                <a:ea typeface="Calibri"/>
                <a:cs typeface="Calibri"/>
              </a:rPr>
              <a:pPr algn="ctr"/>
              <a:t>0.304543078</a:t>
            </a:fld>
            <a:endParaRPr lang="en-NG" sz="1400" b="1">
              <a:solidFill>
                <a:schemeClr val="bg1"/>
              </a:solidFill>
            </a:endParaRPr>
          </a:p>
        </xdr:txBody>
      </xdr:sp>
    </xdr:grpSp>
    <xdr:clientData/>
  </xdr:twoCellAnchor>
  <xdr:twoCellAnchor>
    <xdr:from>
      <xdr:col>29</xdr:col>
      <xdr:colOff>547281</xdr:colOff>
      <xdr:row>14</xdr:row>
      <xdr:rowOff>1589</xdr:rowOff>
    </xdr:from>
    <xdr:to>
      <xdr:col>33</xdr:col>
      <xdr:colOff>477687</xdr:colOff>
      <xdr:row>17</xdr:row>
      <xdr:rowOff>180749</xdr:rowOff>
    </xdr:to>
    <xdr:grpSp>
      <xdr:nvGrpSpPr>
        <xdr:cNvPr id="26" name="Group 25">
          <a:extLst>
            <a:ext uri="{FF2B5EF4-FFF2-40B4-BE49-F238E27FC236}">
              <a16:creationId xmlns:a16="http://schemas.microsoft.com/office/drawing/2014/main" id="{4EF0E453-C714-4C40-BDC7-A7B0D68A903C}"/>
            </a:ext>
          </a:extLst>
        </xdr:cNvPr>
        <xdr:cNvGrpSpPr/>
      </xdr:nvGrpSpPr>
      <xdr:grpSpPr>
        <a:xfrm>
          <a:off x="18225681" y="2668589"/>
          <a:ext cx="2368806" cy="75066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U4">
        <xdr:nvSpPr>
          <xdr:cNvPr id="27" name="Rectangle: Rounded Corners 26">
            <a:extLst>
              <a:ext uri="{FF2B5EF4-FFF2-40B4-BE49-F238E27FC236}">
                <a16:creationId xmlns:a16="http://schemas.microsoft.com/office/drawing/2014/main" id="{2BF83A62-AA4D-1364-DA18-D672BC590652}"/>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C3F38F4-9177-4215-8E73-CEBC1CA8C90C}" type="TxLink">
              <a:rPr lang="en-US" sz="1400" b="1" i="0" u="none" strike="noStrike">
                <a:solidFill>
                  <a:schemeClr val="bg1"/>
                </a:solidFill>
                <a:latin typeface="Calibri"/>
                <a:ea typeface="Calibri"/>
                <a:cs typeface="Calibri"/>
              </a:rPr>
              <a:pPr algn="ctr"/>
              <a:t>3PT% vs. Total Rebound</a:t>
            </a:fld>
            <a:endParaRPr lang="en-NG" sz="1400" b="1">
              <a:solidFill>
                <a:schemeClr val="bg1"/>
              </a:solidFill>
            </a:endParaRPr>
          </a:p>
        </xdr:txBody>
      </xdr:sp>
      <xdr:sp macro="" textlink="Analysis!V4">
        <xdr:nvSpPr>
          <xdr:cNvPr id="28" name="Rectangle: Rounded Corners 27">
            <a:extLst>
              <a:ext uri="{FF2B5EF4-FFF2-40B4-BE49-F238E27FC236}">
                <a16:creationId xmlns:a16="http://schemas.microsoft.com/office/drawing/2014/main" id="{FAE8AE91-D613-8823-1CFE-CD706013A60E}"/>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6825265-05F0-4897-9B59-C8C2765DAD89}" type="TxLink">
              <a:rPr lang="en-US" sz="1400" b="1" i="0" u="none" strike="noStrike">
                <a:solidFill>
                  <a:schemeClr val="bg1"/>
                </a:solidFill>
                <a:latin typeface="Calibri"/>
                <a:ea typeface="Calibri"/>
                <a:cs typeface="Calibri"/>
              </a:rPr>
              <a:pPr algn="ctr"/>
              <a:t>0.073010011</a:t>
            </a:fld>
            <a:endParaRPr lang="en-NG" sz="1400" b="1">
              <a:solidFill>
                <a:schemeClr val="bg1"/>
              </a:solidFill>
            </a:endParaRPr>
          </a:p>
        </xdr:txBody>
      </xdr:sp>
    </xdr:grpSp>
    <xdr:clientData/>
  </xdr:twoCellAnchor>
  <xdr:twoCellAnchor>
    <xdr:from>
      <xdr:col>27</xdr:col>
      <xdr:colOff>501421</xdr:colOff>
      <xdr:row>18</xdr:row>
      <xdr:rowOff>175041</xdr:rowOff>
    </xdr:from>
    <xdr:to>
      <xdr:col>33</xdr:col>
      <xdr:colOff>439282</xdr:colOff>
      <xdr:row>22</xdr:row>
      <xdr:rowOff>154881</xdr:rowOff>
    </xdr:to>
    <xdr:grpSp>
      <xdr:nvGrpSpPr>
        <xdr:cNvPr id="29" name="Group 28">
          <a:extLst>
            <a:ext uri="{FF2B5EF4-FFF2-40B4-BE49-F238E27FC236}">
              <a16:creationId xmlns:a16="http://schemas.microsoft.com/office/drawing/2014/main" id="{EB713B81-90CD-4E26-8ABE-014FF12B54FA}"/>
            </a:ext>
          </a:extLst>
        </xdr:cNvPr>
        <xdr:cNvGrpSpPr/>
      </xdr:nvGrpSpPr>
      <xdr:grpSpPr>
        <a:xfrm>
          <a:off x="16960621" y="3604041"/>
          <a:ext cx="3595461" cy="741840"/>
          <a:chOff x="9309554" y="136071"/>
          <a:chExt cx="2381250" cy="714375"/>
        </a:xfrm>
        <a:solidFill>
          <a:srgbClr val="700000"/>
        </a:solidFill>
        <a:effectLst>
          <a:outerShdw blurRad="50800" dist="38100" dir="2700000" algn="tl" rotWithShape="0">
            <a:prstClr val="black">
              <a:alpha val="40000"/>
            </a:prstClr>
          </a:outerShdw>
        </a:effectLst>
      </xdr:grpSpPr>
      <xdr:sp macro="" textlink="Analysis!U5">
        <xdr:nvSpPr>
          <xdr:cNvPr id="30" name="Rectangle: Rounded Corners 29">
            <a:extLst>
              <a:ext uri="{FF2B5EF4-FFF2-40B4-BE49-F238E27FC236}">
                <a16:creationId xmlns:a16="http://schemas.microsoft.com/office/drawing/2014/main" id="{413C1AAA-1C42-92CE-5E7F-A0F155F0D252}"/>
              </a:ext>
            </a:extLst>
          </xdr:cNvPr>
          <xdr:cNvSpPr/>
        </xdr:nvSpPr>
        <xdr:spPr>
          <a:xfrm>
            <a:off x="9309554" y="136071"/>
            <a:ext cx="2381250" cy="7143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23D4A4E-2131-4924-8373-CB5C549CF512}" type="TxLink">
              <a:rPr lang="en-US" sz="1400" b="1" i="0" u="none" strike="noStrike">
                <a:solidFill>
                  <a:schemeClr val="bg1"/>
                </a:solidFill>
                <a:latin typeface="Calibri"/>
                <a:ea typeface="Calibri"/>
                <a:cs typeface="Calibri"/>
              </a:rPr>
              <a:pPr algn="ctr"/>
              <a:t>FT% vs. Total Rebound</a:t>
            </a:fld>
            <a:endParaRPr lang="en-NG" sz="1400" b="1">
              <a:solidFill>
                <a:schemeClr val="bg1"/>
              </a:solidFill>
            </a:endParaRPr>
          </a:p>
        </xdr:txBody>
      </xdr:sp>
      <xdr:sp macro="" textlink="Analysis!V5">
        <xdr:nvSpPr>
          <xdr:cNvPr id="31" name="Rectangle: Rounded Corners 30">
            <a:extLst>
              <a:ext uri="{FF2B5EF4-FFF2-40B4-BE49-F238E27FC236}">
                <a16:creationId xmlns:a16="http://schemas.microsoft.com/office/drawing/2014/main" id="{A198B25C-06D5-C020-0A0D-4037A4000A40}"/>
              </a:ext>
            </a:extLst>
          </xdr:cNvPr>
          <xdr:cNvSpPr/>
        </xdr:nvSpPr>
        <xdr:spPr>
          <a:xfrm>
            <a:off x="9790794" y="401865"/>
            <a:ext cx="1287689" cy="35786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E0DF9B1-215B-4522-A12D-3C9960C4E849}" type="TxLink">
              <a:rPr lang="en-US" sz="1400" b="1" i="0" u="none" strike="noStrike">
                <a:solidFill>
                  <a:schemeClr val="bg1"/>
                </a:solidFill>
                <a:latin typeface="Calibri"/>
                <a:ea typeface="Calibri"/>
                <a:cs typeface="Calibri"/>
              </a:rPr>
              <a:pPr algn="ctr"/>
              <a:t>0.152886021</a:t>
            </a:fld>
            <a:endParaRPr lang="en-NG" sz="1400" b="1">
              <a:solidFill>
                <a:schemeClr val="bg1"/>
              </a:solidFill>
            </a:endParaRPr>
          </a:p>
        </xdr:txBody>
      </xdr:sp>
    </xdr:grpSp>
    <xdr:clientData/>
  </xdr:twoCellAnchor>
  <xdr:twoCellAnchor>
    <xdr:from>
      <xdr:col>6</xdr:col>
      <xdr:colOff>95430</xdr:colOff>
      <xdr:row>4</xdr:row>
      <xdr:rowOff>63816</xdr:rowOff>
    </xdr:from>
    <xdr:to>
      <xdr:col>35</xdr:col>
      <xdr:colOff>252734</xdr:colOff>
      <xdr:row>7</xdr:row>
      <xdr:rowOff>89384</xdr:rowOff>
    </xdr:to>
    <xdr:sp macro="" textlink="">
      <xdr:nvSpPr>
        <xdr:cNvPr id="36" name="Rectangle: Top Corners Rounded 35">
          <a:extLst>
            <a:ext uri="{FF2B5EF4-FFF2-40B4-BE49-F238E27FC236}">
              <a16:creationId xmlns:a16="http://schemas.microsoft.com/office/drawing/2014/main" id="{3F218AB0-4E3F-0397-B01A-A704B9065B2E}"/>
            </a:ext>
          </a:extLst>
        </xdr:cNvPr>
        <xdr:cNvSpPr/>
      </xdr:nvSpPr>
      <xdr:spPr>
        <a:xfrm>
          <a:off x="3753030" y="825816"/>
          <a:ext cx="17835704" cy="597068"/>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effectLst>
                <a:outerShdw blurRad="50800" dist="38100" dir="2700000" algn="tl" rotWithShape="0">
                  <a:prstClr val="black">
                    <a:alpha val="40000"/>
                  </a:prstClr>
                </a:outerShdw>
              </a:effectLst>
            </a:rPr>
            <a:t>TEAM ALPHA NBA</a:t>
          </a:r>
          <a:r>
            <a:rPr lang="en-US" sz="2800" b="1" baseline="0">
              <a:solidFill>
                <a:schemeClr val="tx1"/>
              </a:solidFill>
              <a:effectLst>
                <a:outerShdw blurRad="50800" dist="38100" dir="2700000" algn="tl" rotWithShape="0">
                  <a:prstClr val="black">
                    <a:alpha val="40000"/>
                  </a:prstClr>
                </a:outerShdw>
              </a:effectLst>
            </a:rPr>
            <a:t> ANALYSIS</a:t>
          </a:r>
          <a:endParaRPr lang="en-NG" sz="2800" b="1">
            <a:solidFill>
              <a:schemeClr val="tx1"/>
            </a:solidFill>
            <a:effectLst>
              <a:outerShdw blurRad="50800" dist="38100" dir="2700000" algn="tl" rotWithShape="0">
                <a:prstClr val="black">
                  <a:alpha val="40000"/>
                </a:prstClr>
              </a:outerShdw>
            </a:effectLst>
          </a:endParaRPr>
        </a:p>
      </xdr:txBody>
    </xdr:sp>
    <xdr:clientData/>
  </xdr:twoCellAnchor>
  <xdr:twoCellAnchor>
    <xdr:from>
      <xdr:col>34</xdr:col>
      <xdr:colOff>173357</xdr:colOff>
      <xdr:row>7</xdr:row>
      <xdr:rowOff>181988</xdr:rowOff>
    </xdr:from>
    <xdr:to>
      <xdr:col>35</xdr:col>
      <xdr:colOff>252733</xdr:colOff>
      <xdr:row>39</xdr:row>
      <xdr:rowOff>142299</xdr:rowOff>
    </xdr:to>
    <xdr:sp macro="" textlink="">
      <xdr:nvSpPr>
        <xdr:cNvPr id="38" name="Rectangle: Top Corners Rounded 37">
          <a:extLst>
            <a:ext uri="{FF2B5EF4-FFF2-40B4-BE49-F238E27FC236}">
              <a16:creationId xmlns:a16="http://schemas.microsoft.com/office/drawing/2014/main" id="{BCD943AD-DDE2-A0F8-FC53-E0C74C55964D}"/>
            </a:ext>
          </a:extLst>
        </xdr:cNvPr>
        <xdr:cNvSpPr/>
      </xdr:nvSpPr>
      <xdr:spPr>
        <a:xfrm rot="10800000">
          <a:off x="20899757" y="1515488"/>
          <a:ext cx="688976" cy="6056311"/>
        </a:xfrm>
        <a:prstGeom prst="round2Same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34</xdr:col>
      <xdr:colOff>215901</xdr:colOff>
      <xdr:row>10</xdr:row>
      <xdr:rowOff>88900</xdr:rowOff>
    </xdr:from>
    <xdr:to>
      <xdr:col>35</xdr:col>
      <xdr:colOff>224019</xdr:colOff>
      <xdr:row>14</xdr:row>
      <xdr:rowOff>177799</xdr:rowOff>
    </xdr:to>
    <xdr:pic>
      <xdr:nvPicPr>
        <xdr:cNvPr id="49" name="Picture 48">
          <a:hlinkClick xmlns:r="http://schemas.openxmlformats.org/officeDocument/2006/relationships" r:id="rId7"/>
          <a:extLst>
            <a:ext uri="{FF2B5EF4-FFF2-40B4-BE49-F238E27FC236}">
              <a16:creationId xmlns:a16="http://schemas.microsoft.com/office/drawing/2014/main" id="{22381AAD-5090-C763-4C2B-DDFD436C74D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0942301" y="1993900"/>
          <a:ext cx="617718" cy="850899"/>
        </a:xfrm>
        <a:prstGeom prst="rect">
          <a:avLst/>
        </a:prstGeom>
      </xdr:spPr>
    </xdr:pic>
    <xdr:clientData/>
  </xdr:twoCellAnchor>
  <xdr:twoCellAnchor editAs="oneCell">
    <xdr:from>
      <xdr:col>34</xdr:col>
      <xdr:colOff>215901</xdr:colOff>
      <xdr:row>32</xdr:row>
      <xdr:rowOff>88899</xdr:rowOff>
    </xdr:from>
    <xdr:to>
      <xdr:col>35</xdr:col>
      <xdr:colOff>215900</xdr:colOff>
      <xdr:row>36</xdr:row>
      <xdr:rowOff>50800</xdr:rowOff>
    </xdr:to>
    <xdr:pic>
      <xdr:nvPicPr>
        <xdr:cNvPr id="51" name="Picture 50">
          <a:hlinkClick xmlns:r="http://schemas.openxmlformats.org/officeDocument/2006/relationships" r:id="rId9"/>
          <a:extLst>
            <a:ext uri="{FF2B5EF4-FFF2-40B4-BE49-F238E27FC236}">
              <a16:creationId xmlns:a16="http://schemas.microsoft.com/office/drawing/2014/main" id="{FA8F3A3A-6BB8-18FB-8977-DDF055145A1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942301" y="6184899"/>
          <a:ext cx="609599" cy="723901"/>
        </a:xfrm>
        <a:prstGeom prst="rect">
          <a:avLst/>
        </a:prstGeom>
      </xdr:spPr>
    </xdr:pic>
    <xdr:clientData/>
  </xdr:twoCellAnchor>
  <xdr:twoCellAnchor editAs="oneCell">
    <xdr:from>
      <xdr:col>34</xdr:col>
      <xdr:colOff>203201</xdr:colOff>
      <xdr:row>21</xdr:row>
      <xdr:rowOff>63500</xdr:rowOff>
    </xdr:from>
    <xdr:to>
      <xdr:col>35</xdr:col>
      <xdr:colOff>228601</xdr:colOff>
      <xdr:row>25</xdr:row>
      <xdr:rowOff>140381</xdr:rowOff>
    </xdr:to>
    <xdr:pic>
      <xdr:nvPicPr>
        <xdr:cNvPr id="53" name="Picture 52">
          <a:hlinkClick xmlns:r="http://schemas.openxmlformats.org/officeDocument/2006/relationships" r:id="rId11"/>
          <a:extLst>
            <a:ext uri="{FF2B5EF4-FFF2-40B4-BE49-F238E27FC236}">
              <a16:creationId xmlns:a16="http://schemas.microsoft.com/office/drawing/2014/main" id="{4965F77D-160E-9DCB-A1CD-546EC3D4C59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929601" y="4064000"/>
          <a:ext cx="635000" cy="8388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8.5168849537" createdVersion="8" refreshedVersion="8" minRefreshableVersion="3" recordCount="1619" xr:uid="{A0243258-74D4-4718-8E4B-0275EFC19195}">
  <cacheSource type="worksheet">
    <worksheetSource name="nba_draft"/>
  </cacheSource>
  <cacheFields count="23">
    <cacheField name="pick_overall" numFmtId="0">
      <sharedItems containsSemiMixedTypes="0" containsString="0" containsNumber="1" containsInteger="1" minValue="1" maxValue="60" count="6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50"/>
        <n v="51"/>
        <n v="52"/>
        <n v="54"/>
        <n v="49"/>
        <n v="55"/>
        <n v="56"/>
        <n v="57"/>
        <n v="58"/>
        <n v="53"/>
        <n v="60"/>
        <n v="59"/>
      </sharedItems>
    </cacheField>
    <cacheField name="team" numFmtId="0">
      <sharedItems count="30">
        <s v="BRK"/>
        <s v="OKC"/>
        <s v="DEN"/>
        <s v="ORL"/>
        <s v="CHA"/>
        <s v="MIN"/>
        <s v="SAC"/>
        <s v="LAC"/>
        <s v="MIA"/>
        <s v="ATL"/>
        <s v="GSW"/>
        <s v="HOU"/>
        <s v="MIL"/>
        <s v="NYK"/>
        <s v="BOS"/>
        <s v="PHO"/>
        <s v="SAS"/>
        <s v="POR"/>
        <s v="DET"/>
        <s v="LAL"/>
        <s v="CHI"/>
        <s v="PHI"/>
        <s v="UTA"/>
        <s v="WAS"/>
        <s v="IND"/>
        <s v="CLE"/>
        <s v="DAL"/>
        <s v="MEM"/>
        <s v="TOR"/>
        <s v="NOP"/>
      </sharedItems>
    </cacheField>
    <cacheField name="player_name" numFmtId="0">
      <sharedItems count="1619">
        <s v="Derrick Coleman"/>
        <s v="Gary Payton"/>
        <s v="Mahmoud Abdul-Rauf"/>
        <s v="Dennis Scott"/>
        <s v="Kendall Gill"/>
        <s v="Felton Spencer"/>
        <s v="Lionel Simmons"/>
        <s v="Bo Kimble"/>
        <s v="Willie Burton"/>
        <s v="Rumeal Robinson"/>
        <s v="Tyrone Hill"/>
        <s v="Alec Kessler"/>
        <s v="Loy Vaught"/>
        <s v="Travis Mays"/>
        <s v="Dave Jamerson"/>
        <s v="Terry Mills"/>
        <s v="Jerrod Mustaf"/>
        <s v="Duane Causwell"/>
        <s v="Dee Brown"/>
        <s v="Gerald Glass"/>
        <s v="Jayson Williams"/>
        <s v="Tate George"/>
        <s v="Anthony Bonner"/>
        <s v="Dwayne Schintzius"/>
        <s v="Alaa Abdelnaby"/>
        <s v="Lance Blanks"/>
        <s v="Elden Campbell"/>
        <s v="Les Jepsen"/>
        <s v="Toni Kukoč"/>
        <s v="Carl Herrera"/>
        <s v="Negele Knight"/>
        <s v="Brian Oliver"/>
        <s v="Walter Palmer"/>
        <s v="Kevin Pritchard"/>
        <s v="Greg Foster"/>
        <s v="Trevor Wilson"/>
        <s v="A.J. English"/>
        <s v="Jud Buechler"/>
        <s v="Steve Scheffler"/>
        <s v="Bimbo Coles"/>
        <s v="Steve Bardo"/>
        <s v="Marcus Liberty"/>
        <s v="Tony Massenburg"/>
        <s v="Steve Henson"/>
        <s v="Antonio Davis"/>
        <s v="Kenny Williams"/>
        <s v="Derek Strong"/>
        <s v="Cedric Ceballos"/>
        <s v="Miloš Babić"/>
        <s v="Tony Smith"/>
        <s v="Stefano Rusconi"/>
        <s v="Sean Higgins"/>
        <s v="Larry Johnson"/>
        <s v="Kenny Anderson"/>
        <s v="Billy Owens"/>
        <s v="Dikembe Mutombo"/>
        <s v="Steve Smith"/>
        <s v="Doug Smith"/>
        <s v="Luc Longley"/>
        <s v="Mark Macon"/>
        <s v="Stacey Augmon"/>
        <s v="Bison Dele"/>
        <s v="Terrell Brandon"/>
        <s v="Greg Anthony"/>
        <s v="Dale Davis"/>
        <s v="Rich King"/>
        <s v="Anthony Avent"/>
        <s v="Chris Gatling"/>
        <s v="Victor Alexander"/>
        <s v="Kevin Brooks"/>
        <s v="LaBradford Smith"/>
        <s v="John Turner"/>
        <s v="Eric Murdock"/>
        <s v="LeRon Ellis"/>
        <s v="Stanley Roberts"/>
        <s v="Rick Fox"/>
        <s v="Mark Randall"/>
        <s v="Pete Chilcutt"/>
        <s v="Kevin Lynch"/>
        <s v="Rodney Monroe"/>
        <s v="Randy Brown"/>
        <s v="Chad Gallagher"/>
        <s v="Donald Hodge"/>
        <s v="Myron Brown"/>
        <s v="Mike Iuzzolino"/>
        <s v="Chris Corchiani"/>
        <s v="Elliot Perry"/>
        <s v="Jimmy Oliver"/>
        <s v="Doug Overton"/>
        <s v="Sean Green"/>
        <s v="Lamont Strothers"/>
        <s v="Bobby Phills"/>
        <s v="Richard Dumas"/>
        <s v="Isaac Austin"/>
        <s v="Greg Sutton"/>
        <s v="Žan Tabak"/>
        <s v="Shaquille O'Neal"/>
        <s v="Alonzo Mourning"/>
        <s v="Christian Laettner"/>
        <s v="Jim Jackson"/>
        <s v="LaPhonso Ellis"/>
        <s v="Tom Gugliotta"/>
        <s v="Walt Williams"/>
        <s v="Todd Day"/>
        <s v="Clarence Weatherspoon"/>
        <s v="Adam Keefe"/>
        <s v="Robert Horry"/>
        <s v="Harold Miner"/>
        <s v="Bryant Stith"/>
        <s v="Malik Sealy"/>
        <s v="Anthony Peeler"/>
        <s v="Randy Woods"/>
        <s v="Doug Christie"/>
        <s v="Tracy Murray"/>
        <s v="Don MacLean"/>
        <s v="Hubert Davis"/>
        <s v="Jon Barry"/>
        <s v="Oliver Miller"/>
        <s v="Lee Mayberry"/>
        <s v="Latrell Sprewell"/>
        <s v="Elmore Spencer"/>
        <s v="Dave Johnson"/>
        <s v="Byron Houston"/>
        <s v="Marlon Maxey"/>
        <s v="P.J. Brown"/>
        <s v="Sean Rooks"/>
        <s v="Reggie Smith"/>
        <s v="Brent Price"/>
        <s v="Corey Williams"/>
        <s v="Chris Smith"/>
        <s v="Tony Bennett"/>
        <s v="Duane Cooper"/>
        <s v="Isaiah Morris"/>
        <s v="Elmer Bennett"/>
        <s v="Litterial Green"/>
        <s v="Popeye Jones"/>
        <s v="Matt Geiger"/>
        <s v="Sasha Danilović"/>
        <s v="Chris King"/>
        <s v="Robert Werdann"/>
        <s v="Darren Morningstar"/>
        <s v="Brian Davis"/>
        <s v="Matt Fish"/>
        <s v="Matt Steigenga"/>
        <s v="Chris Webber"/>
        <s v="Shawn Bradley"/>
        <s v="Anfernee Hardaway"/>
        <s v="Jamal Mashburn"/>
        <s v="Isaiah Rider"/>
        <s v="Calbert Cheaney"/>
        <s v="Bobby Hurley"/>
        <s v="Vin Baker"/>
        <s v="Rodney Rogers"/>
        <s v="Lindsey Hunter"/>
        <s v="Allan Houston"/>
        <s v="George Lynch"/>
        <s v="Terry Dehere"/>
        <s v="Scott Haskin"/>
        <s v="Doug Edwards"/>
        <s v="Rex Walters"/>
        <s v="Greg Graham"/>
        <s v="Luther Wright"/>
        <s v="Acie Earl"/>
        <s v="Scott Burrell"/>
        <s v="James Robinson"/>
        <s v="Chris Mills"/>
        <s v="Ervin Johnson"/>
        <s v="Sam Cassell"/>
        <s v="Corie Blount"/>
        <s v="Geert Hammink"/>
        <s v="Malcolm Mackey"/>
        <s v="Lucious Harris"/>
        <s v="Gheorghe Mureșan"/>
        <s v="Evers Burns"/>
        <s v="Alphonso Ford"/>
        <s v="Eric Riley"/>
        <s v="Darnell Mee"/>
        <s v="Ed Stokes"/>
        <s v="Nick Van Exel"/>
        <s v="Rich Manning"/>
        <s v="Adonis Jordan"/>
        <s v="Josh Grant"/>
        <s v="Bryon Russell"/>
        <s v="Richard Petruška"/>
        <s v="Chris Whitney"/>
        <s v="Kevin Thompson"/>
        <s v="Mike Peplowski"/>
        <s v="Glenn Robinson"/>
        <s v="Jason Kidd"/>
        <s v="Grant Hill"/>
        <s v="Donyell Marshall"/>
        <s v="Juwan Howard"/>
        <s v="Sharone Wright"/>
        <s v="Lamond Murray"/>
        <s v="Brian Grant"/>
        <s v="Eric Montross"/>
        <s v="Eddie Jones"/>
        <s v="Carlos Rogers"/>
        <s v="Khalid Reeves"/>
        <s v="Jalen Rose"/>
        <s v="Yinka Dare"/>
        <s v="Eric Piatkowski"/>
        <s v="Clifford Rozier"/>
        <s v="Aaron McKie"/>
        <s v="Eric Mobley"/>
        <s v="Tony Dumas"/>
        <s v="B.J. Tyler"/>
        <s v="Dickey Simpkins"/>
        <s v="Bill Curley"/>
        <s v="Wesley Person"/>
        <s v="Monty Williams"/>
        <s v="Greg Minor"/>
        <s v="Charlie Ward"/>
        <s v="Brooks Thompson"/>
        <s v="Antonio Lang"/>
        <s v="Howard Eisley"/>
        <s v="Jim McIlvaine"/>
        <s v="Derrick Alston"/>
        <s v="Gaylon Nickerson"/>
        <s v="Michael Smith"/>
        <s v="Dontonio Wingfield"/>
        <s v="Darrin Hancock"/>
        <s v="Anthony Miller"/>
        <s v="Jeff Webster"/>
        <s v="Shawnelle Scott"/>
        <s v="Dwayne Morton"/>
        <s v="Voshon Lenard"/>
        <s v="Jamie Watson"/>
        <s v="Charles Claxton"/>
        <s v="Lawrence Funderburke"/>
        <s v="Anthony Goldwire"/>
        <s v="Željko Rebrača"/>
        <s v="Joe Smith"/>
        <s v="Antonio McDyess"/>
        <s v="Jerry Stackhouse"/>
        <s v="Rasheed Wallace"/>
        <s v="Kevin Garnett"/>
        <s v="Bryant Reeves"/>
        <s v="Damon Stoudamire"/>
        <s v="Shawn Respert"/>
        <s v="Ed O'Bannon"/>
        <s v="Kurt Thomas"/>
        <s v="Gary Trent"/>
        <s v="Cherokee Parks"/>
        <s v="Corliss Williamson"/>
        <s v="Eric Williams"/>
        <s v="Brent Barry"/>
        <s v="Alan Henderson"/>
        <s v="Bob Sura"/>
        <s v="Theo Ratliff"/>
        <s v="Randolph Childress"/>
        <s v="Jason Caffey"/>
        <s v="Michael Finley"/>
        <s v="George Zídek"/>
        <s v="Travis Best"/>
        <s v="Loren Meyer"/>
        <s v="David Vaughn"/>
        <s v="Sherell Ford"/>
        <s v="Mario Bennett"/>
        <s v="Greg Ostertag"/>
        <s v="Cory Alexander"/>
        <s v="Lou Roe"/>
        <s v="Dragan Tarlać"/>
        <s v="Terrence Rencher"/>
        <s v="Junior Burrough"/>
        <s v="Andrew DeClercq"/>
        <s v="Jimmy King"/>
        <s v="Lawrence Moten"/>
        <s v="Frankie King"/>
        <s v="Donny Marshall"/>
        <s v="Dwayne Whitfield"/>
        <s v="Donnie Boyce"/>
        <s v="Eric Snow"/>
        <s v="Tyus Edney"/>
        <s v="Mark Davis"/>
        <s v="Jerome Allen"/>
        <s v="Martin Lewis"/>
        <s v="Fred Hoiberg"/>
        <s v="Michael McDonald"/>
        <s v="Chris Carr"/>
        <s v="Cuonzo Martin"/>
        <s v="Don Reid"/>
        <s v="Allen Iverson"/>
        <s v="Marcus Camby"/>
        <s v="Shareef Abdur-Rahim"/>
        <s v="Stephon Marbury"/>
        <s v="Ray Allen"/>
        <s v="Antoine Walker"/>
        <s v="Lorenzen Wright"/>
        <s v="Kerry Kittles"/>
        <s v="Samaki Walker"/>
        <s v="Erick Dampier"/>
        <s v="Todd Fuller"/>
        <s v="Vitaly Potapenko"/>
        <s v="Kobe Bryant"/>
        <s v="Peja Stojaković"/>
        <s v="Steve Nash"/>
        <s v="Tony Delk"/>
        <s v="Jermaine O'Neal"/>
        <s v="John Wallace"/>
        <s v="Walter McCarty"/>
        <s v="Zydrunas Ilgauskas"/>
        <s v="Dontae' Jones"/>
        <s v="Roy Rogers"/>
        <s v="Efthimios Rentzias"/>
        <s v="Derek Fisher"/>
        <s v="Martin Müürsepp"/>
        <s v="Jerome Williams"/>
        <s v="Brian Evans"/>
        <s v="Priest Lauderdale"/>
        <s v="Travis Knight"/>
        <s v="Othella Harrington"/>
        <s v="Mark Hendrickson"/>
        <s v="Moochie Norris"/>
        <s v="Jeff McInnis"/>
        <s v="Steve Hamer"/>
        <s v="Jason Sasser"/>
        <s v="Randy Livingston"/>
        <s v="Ben Davis"/>
        <s v="Malik Rose"/>
        <s v="Marcus Brown"/>
        <s v="Jamie Feick"/>
        <s v="Amal McCaskill"/>
        <s v="Chris Robinson"/>
        <s v="Mark Pope"/>
        <s v="Jeff Nordgaard"/>
        <s v="Shandon Anderson"/>
        <s v="Reggie Geary"/>
        <s v="Drew Barry"/>
        <s v="Tim Duncan"/>
        <s v="Keith Van Horn"/>
        <s v="Chauncey Billups"/>
        <s v="Antonio Daniels"/>
        <s v="Tony Battie"/>
        <s v="Ron Mercer"/>
        <s v="Tim Thomas"/>
        <s v="Adonal Foyle"/>
        <s v="Tracy McGrady"/>
        <s v="Danny Fortson"/>
        <s v="Tariq Abdul-Wahad"/>
        <s v="Austin Croshere"/>
        <s v="Derek Anderson"/>
        <s v="Maurice Taylor"/>
        <s v="Kelvin Cato"/>
        <s v="Brevin Knight"/>
        <s v="Johnny Taylor"/>
        <s v="Chris Anstey"/>
        <s v="Scot Pollard"/>
        <s v="Paul Grant"/>
        <s v="Anthony Parker"/>
        <s v="Ed Gray"/>
        <s v="Bobby Jackson"/>
        <s v="Rodrick Rhodes"/>
        <s v="John Thomas"/>
        <s v="Charles Smith"/>
        <s v="Jacque Vaughn"/>
        <s v="Keith Booth"/>
        <s v="Charles O'Bannon"/>
        <s v="James Cotton"/>
        <s v="Marko Milič"/>
        <s v="Bubba Wells"/>
        <s v="Kebu Stewart"/>
        <s v="James Collins"/>
        <s v="Marc Jackson"/>
        <s v="Jerald Honeycutt"/>
        <s v="Anthony Johnson"/>
        <s v="Jason Lawson"/>
        <s v="Stephen Jackson"/>
        <s v="Cedric Henderson"/>
        <s v="God Shammgod"/>
        <s v="Eric Washington"/>
        <s v="Alvin Williams"/>
        <s v="Predrag Drobnjak"/>
        <s v="Chris Crawford"/>
        <s v="DeJuan Wheat"/>
        <s v="Mark Blount"/>
        <s v="Michael Olowokandi"/>
        <s v="Mike Bibby"/>
        <s v="Raef LaFrentz"/>
        <s v="Antawn Jamison"/>
        <s v="Vince Carter"/>
        <s v="Robert Traylor"/>
        <s v="Jason Williams"/>
        <s v="Larry Hughes"/>
        <s v="Dirk Nowitzki"/>
        <s v="Paul Pierce"/>
        <s v="Bonzi Wells"/>
        <s v="Michael Doleac"/>
        <s v="Keon Clark"/>
        <s v="Michael Dickerson"/>
        <s v="Matt Harpring"/>
        <s v="Bryce Drew"/>
        <s v="Rasho Nesterović"/>
        <s v="Mirsad Türkcan"/>
        <s v="Pat Garrity"/>
        <s v="Roshown McLeod"/>
        <s v="Ricky Davis"/>
        <s v="Brian Skinner"/>
        <s v="Tyronn Lue"/>
        <s v="Felipe López"/>
        <s v="Al Harrington"/>
        <s v="Sam Jacobson"/>
        <s v="Vladimir Stepania"/>
        <s v="Corey Benjamin"/>
        <s v="Nazr Mohammed"/>
        <s v="Ansu Sesay"/>
        <s v="Ruben Patterson"/>
        <s v="Rashard Lewis"/>
        <s v="Jelani McCoy"/>
        <s v="Shammond Williams"/>
        <s v="Bruno Šundov"/>
        <s v="Jerome James"/>
        <s v="Casey Shaw"/>
        <s v="DeMarco Johnson"/>
        <s v="Rafer Alston"/>
        <s v="Korleone Young"/>
        <s v="Cuttino Mobley"/>
        <s v="Miles Simon"/>
        <s v="Jahidi White"/>
        <s v="Sean Marks"/>
        <s v="Toby Bailey"/>
        <s v="Andrae Patterson"/>
        <s v="Tyson Wheeler"/>
        <s v="Ryan Stack"/>
        <s v="Cory Carr"/>
        <s v="Derrick Dial"/>
        <s v="Greg Buckner"/>
        <s v="Tremaine Fowlkes"/>
        <s v="Ryan Bowen"/>
        <s v="J.R. Henderson"/>
        <s v="Torraye Braggs"/>
        <s v="Maceo Baston"/>
        <s v="Elton Brand"/>
        <s v="Steve Francis"/>
        <s v="Baron Davis"/>
        <s v="Lamar Odom"/>
        <s v="Jonathan Bender"/>
        <s v="Wally Szczerbiak"/>
        <s v="Richard Hamilton"/>
        <s v="Andre Miller"/>
        <s v="Shawn Marion"/>
        <s v="Jason Terry"/>
        <s v="Trajan Langdon"/>
        <s v="Aleksandar Radojević"/>
        <s v="Corey Maggette"/>
        <s v="William Avery"/>
        <s v="Metta World Peace"/>
        <s v="Cal Bowdler"/>
        <s v="James Posey"/>
        <s v="Quincy Lewis"/>
        <s v="Dion Glover"/>
        <s v="Jeff Foster"/>
        <s v="Kenny Thomas"/>
        <s v="Devean George"/>
        <s v="Andrei Kirilenko"/>
        <s v="Tim James"/>
        <s v="Vonteego Cummings"/>
        <s v="Jumaine Jones"/>
        <s v="Scott Padgett"/>
        <s v="Leon Smith"/>
        <s v="John Celestand"/>
        <s v="Michael Ruffin"/>
        <s v="Chris Herren"/>
        <s v="Evan Eschmeyer"/>
        <s v="Calvin Booth"/>
        <s v="Wang Zhizhi"/>
        <s v="Obinna Ekezie"/>
        <s v="Laron Profit"/>
        <s v="A.J. Bramlett"/>
        <s v="Gordan Giriček"/>
        <s v="Francisco Elson"/>
        <s v="Lee Nailon"/>
        <s v="Ryan Robertson"/>
        <s v="Todd MacCulloch"/>
        <s v="Lari Ketner"/>
        <s v="Rodney Buford"/>
        <s v="Tim Young"/>
        <s v="Manu Ginóbili"/>
        <s v="Kenyon Martin"/>
        <s v="Stromile Swift"/>
        <s v="Darius Miles"/>
        <s v="Marcus Fizer"/>
        <s v="Mike Miller"/>
        <s v="DerMarr Johnson"/>
        <s v="Chris Mihm"/>
        <s v="Jamal Crawford"/>
        <s v="Joel Przybilla"/>
        <s v="Keyon Dooling"/>
        <s v="Jérôme Moïso"/>
        <s v="Etan Thomas"/>
        <s v="Courtney Alexander"/>
        <s v="Mateen Cleaves"/>
        <s v="Jason Collier"/>
        <s v="Hedo Türkoğlu"/>
        <s v="Desmond Mason"/>
        <s v="Quentin Richardson"/>
        <s v="Jamaal Magloire"/>
        <s v="Speedy Claxton"/>
        <s v="Morris Peterson"/>
        <s v="Donnell Harvey"/>
        <s v="DeShawn Stevenson"/>
        <s v="Dalibor Bagarić"/>
        <s v="Jake Tsakalidis"/>
        <s v="Mamadou N'Diaye"/>
        <s v="Primož Brezec"/>
        <s v="Erick Barkley"/>
        <s v="Mark Madsen"/>
        <s v="Marko Jarić"/>
        <s v="Dan Langhi"/>
        <s v="A.J. Guyton"/>
        <s v="Jake Voskuhl"/>
        <s v="Khalid El-Amin"/>
        <s v="Mike Smith"/>
        <s v="Soumaila Samake"/>
        <s v="Eddie House"/>
        <s v="Eduardo Nájera"/>
        <s v="Lavor Postell"/>
        <s v="Hanno Möttölä"/>
        <s v="Olumide Oyedeji"/>
        <s v="Michael Redd"/>
        <s v="Brian Cardinal"/>
        <s v="Jabari Smith"/>
        <s v="Jason Hart"/>
        <s v="Kaniel Dickens"/>
        <s v="Igor Rakočević"/>
        <s v="Ernest Brown"/>
        <s v="Dan McClintock"/>
        <s v="Chris Porter"/>
        <s v="Kwame Brown"/>
        <s v="Tyson Chandler"/>
        <s v="Pau Gasol"/>
        <s v="Eddy Curry"/>
        <s v="Jason Richardson"/>
        <s v="Shane Battier"/>
        <s v="Eddie Griffin"/>
        <s v="DeSagana Diop"/>
        <s v="Rodney White"/>
        <s v="Joe Johnson"/>
        <s v="Kedrick Brown"/>
        <s v="Vladimir Radmanović"/>
        <s v="Richard Jefferson"/>
        <s v="Troy Murphy"/>
        <s v="Steven Hunter"/>
        <s v="Kirk Haston"/>
        <s v="Michael Bradley"/>
        <s v="Jason Collins"/>
        <s v="Zach Randolph"/>
        <s v="Brendan Haywood"/>
        <s v="Joseph Forte"/>
        <s v="Jeryl Sasser"/>
        <s v="Brandon Armstrong"/>
        <s v="Raül López"/>
        <s v="Gerald Wallace"/>
        <s v="Samuel Dalembert"/>
        <s v="Jamaal Tinsley"/>
        <s v="Tony Parker"/>
        <s v="Trenton Hassell"/>
        <s v="Gilbert Arenas"/>
        <s v="Omar Cook"/>
        <s v="Will Solomon"/>
        <s v="Terence Morris"/>
        <s v="Brian Scalabrine"/>
        <s v="Jeff Trepagnier"/>
        <s v="Damone Brown"/>
        <s v="Mehmet Okur"/>
        <s v="Earl Watson"/>
        <s v="Jamison Brewer"/>
        <s v="Bobby Simmons"/>
        <s v="Sean Lampley"/>
        <s v="Loren Woods"/>
        <s v="Antonis Fotsis"/>
        <s v="Ken Johnson"/>
        <s v="Ruben Boumtje-Boumtje"/>
        <s v="Alton Ford"/>
        <s v="Jarron Collins"/>
        <s v="Kenny Satterfield"/>
        <s v="Alvin Jones"/>
        <s v="Yao Ming"/>
        <s v="Jay Williams"/>
        <s v="Mike Dunleavy"/>
        <s v="Drew Gooden"/>
        <s v="Nikoloz Tskitishvili"/>
        <s v="Dajuan Wagner"/>
        <s v="Nenê"/>
        <s v="Chris Wilcox"/>
        <s v="Amar'e Stoudemire"/>
        <s v="Caron Butler"/>
        <s v="Jared Jeffries"/>
        <s v="Melvin Ely"/>
        <s v="Marcus Haislip"/>
        <s v="Fred Jones"/>
        <s v="Boštjan Nachbar"/>
        <s v="Jiří Welsch"/>
        <s v="Juan Dixon"/>
        <s v="Curtis Borchardt"/>
        <s v="Ryan Humphrey"/>
        <s v="Kareem Rush"/>
        <s v="Qyntel Woods"/>
        <s v="Casey Jacobsen"/>
        <s v="Tayshaun Prince"/>
        <s v="Nenad Krstić"/>
        <s v="Frank Williams"/>
        <s v="John Salmons"/>
        <s v="Chris Jefferies"/>
        <s v="Dan Dickau"/>
        <s v="Roger Mason"/>
        <s v="Robert Archibald"/>
        <s v="Vincent Yarbrough"/>
        <s v="Dan Gadzuric"/>
        <s v="Carlos Boozer"/>
        <s v="David Andersen"/>
        <s v="Tito Maddox"/>
        <s v="Juan Carlos Navarro"/>
        <s v="Mario Kasun"/>
        <s v="Ronald Murray"/>
        <s v="Lonny Baxter"/>
        <s v="Matt Barnes"/>
        <s v="Jamal Sampson"/>
        <s v="Chris Owens"/>
        <s v="Darius Songaila"/>
        <s v="Rasual Butler"/>
        <s v="Tamar Slay"/>
        <s v="Luis Scola"/>
        <s v="Randy Holcomb"/>
        <s v="Corsley Edwards"/>
        <s v="LeBron James"/>
        <s v="Darko Miličić"/>
        <s v="Carmelo Anthony"/>
        <s v="Chris Bosh"/>
        <s v="Dwyane Wade"/>
        <s v="Chris Kaman"/>
        <s v="Kirk Hinrich"/>
        <s v="T.J. Ford"/>
        <s v="Mike Sweetney"/>
        <s v="Jarvis Hayes"/>
        <s v="Mickaël Piétrus"/>
        <s v="Nick Collison"/>
        <s v="Marcus Banks"/>
        <s v="Luke Ridnour"/>
        <s v="Reece Gaines"/>
        <s v="Troy Bell"/>
        <s v="Žarko Čabarkapa"/>
        <s v="David West"/>
        <s v="Sasha Pavlović"/>
        <s v="Dahntay Jones"/>
        <s v="Boris Diaw"/>
        <s v="Zoran Planinić"/>
        <s v="Travis Outlaw"/>
        <s v="Brian Cook"/>
        <s v="Carlos Delfino"/>
        <s v="Ndudi Ebi"/>
        <s v="Kendrick Perkins"/>
        <s v="Leandro Barbosa"/>
        <s v="Josh Howard"/>
        <s v="Maciej Lampe"/>
        <s v="Jason Kapono"/>
        <s v="Luke Walton"/>
        <s v="Jerome Beasley"/>
        <s v="Travis Hansen"/>
        <s v="Steve Blake"/>
        <s v="Slavko Vraneš"/>
        <s v="Derrick Zimmerman"/>
        <s v="Willie Green"/>
        <s v="Zaza Pachulia"/>
        <s v="Keith Bogans"/>
        <s v="Matt Bonner"/>
        <s v="Mo Williams"/>
        <s v="James Lang"/>
        <s v="James Jones"/>
        <s v="Kyle Korver"/>
        <s v="Brandon Hunter"/>
        <s v="Andreas Glyniadakis"/>
        <s v="Dwight Howard"/>
        <s v="Emeka Okafor"/>
        <s v="Ben Gordon"/>
        <s v="Shaun Livingston"/>
        <s v="Devin Harris"/>
        <s v="Josh Childress"/>
        <s v="Luol Deng"/>
        <s v="Rafael Araújo"/>
        <s v="Andre Iguodala"/>
        <s v="Luke Jackson"/>
        <s v="Andris Biedriņš"/>
        <s v="Robert Swift"/>
        <s v="Sebastian Telfair"/>
        <s v="Kris Humphries"/>
        <s v="Al Jefferson"/>
        <s v="Kirk Snyder"/>
        <s v="Josh Smith"/>
        <s v="J.R. Smith"/>
        <s v="Dorell Wright"/>
        <s v="Jameer Nelson"/>
        <s v="Pavel Podkolzin"/>
        <s v="Viktor Khryapa"/>
        <s v="Sergei Monia"/>
        <s v="Delonte West"/>
        <s v="Tony Allen"/>
        <s v="Kevin Martin"/>
        <s v="Sasha Vujačić"/>
        <s v="Beno Udrih"/>
        <s v="David Harrison"/>
        <s v="Anderson Varejão"/>
        <s v="Jackson Vroman"/>
        <s v="Peter John Ramos"/>
        <s v="Lionel Chalmers"/>
        <s v="Donta Smith"/>
        <s v="Andre Emmett"/>
        <s v="Antonio Burks"/>
        <s v="Royal Ivey"/>
        <s v="Chris Duhon"/>
        <s v="Justin Reed"/>
        <s v="Trevor Ariza"/>
        <s v="Bernard Robinson"/>
        <s v="Ha Seung-Jin"/>
        <s v="Pape Sow"/>
        <s v="Vassilis Spanoulis"/>
        <s v="Matt Freije"/>
        <s v="Luis Flores"/>
        <s v="Andrew Bogut"/>
        <s v="Marvin Williams"/>
        <s v="Deron Williams"/>
        <s v="Chris Paul"/>
        <s v="Raymond Felton"/>
        <s v="Martell Webster"/>
        <s v="Charlie Villanueva"/>
        <s v="Channing Frye"/>
        <s v="Ike Diogu"/>
        <s v="Andrew Bynum"/>
        <s v="Yaroslav Korolev"/>
        <s v="Sean May"/>
        <s v="Rashad McCants"/>
        <s v="Antoine Wright"/>
        <s v="Joey Graham"/>
        <s v="Danny Granger"/>
        <s v="Gerald Green"/>
        <s v="Hakim Warrick"/>
        <s v="Julius Hodge"/>
        <s v="Nate Robinson"/>
        <s v="Jarrett Jack"/>
        <s v="Francisco García"/>
        <s v="Luther Head"/>
        <s v="Johan Petro"/>
        <s v="Jason Maxiell"/>
        <s v="Linas Kleiza"/>
        <s v="Ian Mahinmi"/>
        <s v="Wayne Simien"/>
        <s v="David Lee"/>
        <s v="Salim Stoudamire"/>
        <s v="Daniel Ewing"/>
        <s v="Brandon Bass"/>
        <s v="C.J. Miles"/>
        <s v="Ersan İlyasova"/>
        <s v="Ronny Turiaf"/>
        <s v="Travis Diener"/>
        <s v="Von Wafer"/>
        <s v="Monta Ellis"/>
        <s v="Roko Ukić"/>
        <s v="Chris Taft"/>
        <s v="Mile Ilić"/>
        <s v="Martynas Andriuškevičius"/>
        <s v="Lou Williams"/>
        <s v="Bracey Wright"/>
        <s v="Mickaël Gelabale"/>
        <s v="Andray Blatche"/>
        <s v="Ryan Gomes"/>
        <s v="Robert Whaley"/>
        <s v="Orien Greene"/>
        <s v="Dijon Thompson"/>
        <s v="Lawrence Roberts"/>
        <s v="Amir Johnson"/>
        <s v="Marcin Gortat"/>
        <s v="Uroš Slokar"/>
        <s v="Alex Acker"/>
        <s v="Andrea Bargnani"/>
        <s v="LaMarcus Aldridge"/>
        <s v="Adam Morrison"/>
        <s v="Tyrus Thomas"/>
        <s v="Shelden Williams"/>
        <s v="Brandon Roy"/>
        <s v="Randy Foye"/>
        <s v="Rudy Gay"/>
        <s v="Patrick O'Bryant"/>
        <s v="Mouhamed Sene"/>
        <s v="J.J. Redick"/>
        <s v="Hilton Armstrong"/>
        <s v="Thabo Sefolosha"/>
        <s v="Ronnie Brewer"/>
        <s v="Cedric Simmons"/>
        <s v="Rodney Carney"/>
        <s v="Shawne Williams"/>
        <s v="Oleksiy Pecherov"/>
        <s v="Quincy Douby"/>
        <s v="Renaldo Balkman"/>
        <s v="Rajon Rondo"/>
        <s v="Marcus Williams"/>
        <s v="Josh Boone"/>
        <s v="Kyle Lowry"/>
        <s v="Shannon Brown"/>
        <s v="Jordan Farmar"/>
        <s v="Sergio Rodríguez"/>
        <s v="Maurice Ager"/>
        <s v="Mardy Collins"/>
        <s v="Joel Freeland"/>
        <s v="James White"/>
        <s v="Steve Novak"/>
        <s v="Solomon Jones"/>
        <s v="Paul Davis"/>
        <s v="P.J. Tucker"/>
        <s v="Craig Smith"/>
        <s v="Bobby Jones"/>
        <s v="Kosta Perović"/>
        <s v="David Noel"/>
        <s v="James Augustine"/>
        <s v="Daniel Gibson"/>
        <s v="Marcus Vinicius"/>
        <s v="Alexander Johnson"/>
        <s v="Paul Millsap"/>
        <s v="Leon Powe"/>
        <s v="Ryan Hollins"/>
        <s v="Cheikh Samb"/>
        <s v="Guillermo Díaz"/>
        <s v="Hassan Adams"/>
        <s v="Damir Markota"/>
        <s v="Will Blalock"/>
        <s v="Greg Oden"/>
        <s v="Kevin Durant"/>
        <s v="Al Horford"/>
        <s v="Mike Conley"/>
        <s v="Jeff Green"/>
        <s v="Yi Jianlian"/>
        <s v="Corey Brewer"/>
        <s v="Brandan Wright"/>
        <s v="Joakim Noah"/>
        <s v="Spencer Hawes"/>
        <s v="Acie Law"/>
        <s v="Thaddeus Young"/>
        <s v="Julian Wright"/>
        <s v="Al Thornton"/>
        <s v="Rodney Stuckey"/>
        <s v="Nick Young"/>
        <s v="Sean Williams"/>
        <s v="Marco Belinelli"/>
        <s v="Javaris Crittenton"/>
        <s v="Jason Smith"/>
        <s v="Daequan Cook"/>
        <s v="Jared Dudley"/>
        <s v="Wilson Chandler"/>
        <s v="Rudy Fernández"/>
        <s v="Morris Almond"/>
        <s v="Aaron Brooks"/>
        <s v="Arron Afflalo"/>
        <s v="Tiago Splitter"/>
        <s v="Alando Tucker"/>
        <s v="Carl Landry"/>
        <s v="Gabe Pruitt"/>
        <s v="Nick Fazekas"/>
        <s v="Glen Davis"/>
        <s v="Jermareo Davidson"/>
        <s v="Josh McRoberts"/>
        <s v="Kyrylo Fesenko"/>
        <s v="Sun Yue"/>
        <s v="Chris Richard"/>
        <s v="Derrick Byars"/>
        <s v="Stéphane Lasme"/>
        <s v="Dominic McGuire"/>
        <s v="Marc Gasol"/>
        <s v="Aaron Gray"/>
        <s v="JamesOn Curry"/>
        <s v="Taurean Green"/>
        <s v="Demetris Nichols"/>
        <s v="Ramon Sessions"/>
        <s v="D.J. Strawberry"/>
        <s v="Derrick Rose"/>
        <s v="Michael Beasley"/>
        <s v="O.J. Mayo"/>
        <s v="Russell Westbrook"/>
        <s v="Kevin Love"/>
        <s v="Danilo Gallinari"/>
        <s v="Eric Gordon"/>
        <s v="Joe Alexander"/>
        <s v="D.J. Augustin"/>
        <s v="Brook Lopez"/>
        <s v="Jerryd Bayless"/>
        <s v="Jason Thompson"/>
        <s v="Brandon Rush"/>
        <s v="Anthony Randolph"/>
        <s v="Robin Lopez"/>
        <s v="Marreese Speights"/>
        <s v="Roy Hibbert"/>
        <s v="JaVale McGee"/>
        <s v="J.J. Hickson"/>
        <s v="Alexis Ajinça"/>
        <s v="Ryan Anderson"/>
        <s v="Courtney Lee"/>
        <s v="Kosta Koufos"/>
        <s v="Serge Ibaka"/>
        <s v="Nicolas Batum"/>
        <s v="George Hill"/>
        <s v="Darrell Arthur"/>
        <s v="Donté Greene"/>
        <s v="D.J. White"/>
        <s v="J.R. Giddens"/>
        <s v="Nikola Peković"/>
        <s v="Walter Sharpe"/>
        <s v="Joey Dorsey"/>
        <s v="Mario Chalmers"/>
        <s v="DeAndre Jordan"/>
        <s v="Ömer Aşık"/>
        <s v="Luc Mbah a Moute"/>
        <s v="Kyle Weaver"/>
        <s v="Sonny Weems"/>
        <s v="Chris Douglas-Roberts"/>
        <s v="Nathan Jawai"/>
        <s v="Sean Singletary"/>
        <s v="Patrick Ewing"/>
        <s v="Goran Dragić"/>
        <s v="Henry Walker"/>
        <s v="Malik Hairston"/>
        <s v="Darnell Jackson"/>
        <s v="Mike Taylor"/>
        <s v="Sasha Kaun"/>
        <s v="Joe Crawford"/>
        <s v="Semih Erden"/>
        <s v="Blake Griffin"/>
        <s v="Hasheem Thabeet"/>
        <s v="James Harden"/>
        <s v="Tyreke Evans"/>
        <s v="Ricky Rubio"/>
        <s v="Jonny Flynn"/>
        <s v="Stephen Curry"/>
        <s v="Jordan Hill"/>
        <s v="DeMar DeRozan"/>
        <s v="Brandon Jennings"/>
        <s v="Terrence Williams"/>
        <s v="Gerald Henderson"/>
        <s v="Tyler Hansbrough"/>
        <s v="Earl Clark"/>
        <s v="Austin Daye"/>
        <s v="James Johnson"/>
        <s v="Jrue Holiday"/>
        <s v="Ty Lawson"/>
        <s v="Jeff Teague"/>
        <s v="Eric Maynor"/>
        <s v="Darren Collison"/>
        <s v="Victor Claver"/>
        <s v="Omri Casspi"/>
        <s v="Byron Mullens"/>
        <s v="Rodrigue Beaubois"/>
        <s v="Taj Gibson"/>
        <s v="DeMarre Carroll"/>
        <s v="Wayne Ellington"/>
        <s v="Toney Douglas"/>
        <s v="Christian Eyenga"/>
        <s v="Jeff Ayres"/>
        <s v="Jermaine Taylor"/>
        <s v="Dante Cunningham"/>
        <s v="DaJuan Summers"/>
        <s v="Sam Young"/>
        <s v="DeJuan Blair"/>
        <s v="Jon Brockman"/>
        <s v="Jonas Jerebko"/>
        <s v="Derrick Brown"/>
        <s v="Jodie Meeks"/>
        <s v="Patrick Beverley"/>
        <s v="Marcus Thornton"/>
        <s v="Chase Budinger"/>
        <s v="Nick Calathes"/>
        <s v="Danny Green"/>
        <s v="Taylor Griffin"/>
        <s v="A.J. Price"/>
        <s v="Nando De Colo"/>
        <s v="Patty Mills"/>
        <s v="Lester Hudson"/>
        <s v="John Wall"/>
        <s v="Evan Turner"/>
        <s v="Derrick Favors"/>
        <s v="Wesley Johnson"/>
        <s v="DeMarcus Cousins"/>
        <s v="Ekpe Udoh"/>
        <s v="Greg Monroe"/>
        <s v="Al-Farouq Aminu"/>
        <s v="Gordon Hayward"/>
        <s v="Paul George"/>
        <s v="Cole Aldrich"/>
        <s v="Xavier Henry"/>
        <s v="Ed Davis"/>
        <s v="Patrick Patterson"/>
        <s v="Larry Sanders"/>
        <s v="Luke Babbitt"/>
        <s v="Kevin Séraphin"/>
        <s v="Eric Bledsoe"/>
        <s v="Avery Bradley"/>
        <s v="James Anderson"/>
        <s v="Craig Brackins"/>
        <s v="Elliot Williams"/>
        <s v="Trevor Booker"/>
        <s v="Damion James"/>
        <s v="Dominique Jones"/>
        <s v="Quincy Pondexter"/>
        <s v="Jordan Crawford"/>
        <s v="Greivis Vásquez"/>
        <s v="Daniel Orton"/>
        <s v="Lazar Hayward"/>
        <s v="Tibor Pleiß"/>
        <s v="Dexter Pittman"/>
        <s v="Hassan Whiteside"/>
        <s v="Armon Johnson"/>
        <s v="Nemanja Bjelica"/>
        <s v="Darington Hobson"/>
        <s v="Andy Rautins"/>
        <s v="Landry Fields"/>
        <s v="Lance Stephenson"/>
        <s v="Jarvis Varnado"/>
        <s v="Devin Ebanks"/>
        <s v="Jerome Jordan"/>
        <s v="Gani Lawal"/>
        <s v="Solomon Alabi"/>
        <s v="Luke Harangody"/>
        <s v="Pape Sy"/>
        <s v="Willie Warren"/>
        <s v="Jeremy Evans"/>
        <s v="Hamady N'Diaye"/>
        <s v="Ryan Reid"/>
        <s v="Derrick Caracter"/>
        <s v="Kyrie Irving"/>
        <s v="Derrick Williams"/>
        <s v="Enes Freedom"/>
        <s v="Tristan Thompson"/>
        <s v="Jonas Valančiūnas"/>
        <s v="Jan Veselý"/>
        <s v="Bismack Biyombo"/>
        <s v="Brandon Knight"/>
        <s v="Kemba Walker"/>
        <s v="Jimmer Fredette"/>
        <s v="Klay Thompson"/>
        <s v="Alec Burks"/>
        <s v="Markieff Morris"/>
        <s v="Marcus Morris"/>
        <s v="Kawhi Leonard"/>
        <s v="Nikola Vučević"/>
        <s v="Iman Shumpert"/>
        <s v="Chris Singleton"/>
        <s v="Tobias Harris"/>
        <s v="Donatas Motiejūnas"/>
        <s v="Nolan Smith"/>
        <s v="Kenneth Faried"/>
        <s v="Nikola Mirotić"/>
        <s v="Reggie Jackson"/>
        <s v="MarShon Brooks"/>
        <s v="Jordan Hamilton"/>
        <s v="JaJuan Johnson"/>
        <s v="Norris Cole"/>
        <s v="Cory Joseph"/>
        <s v="Jimmy Butler"/>
        <s v="Bojan Bogdanović"/>
        <s v="Justin Harper"/>
        <s v="Kyle Singler"/>
        <s v="Shelvin Mack"/>
        <s v="Tyler Honeycutt"/>
        <s v="Jordan Williams"/>
        <s v="Trey Thompkins"/>
        <s v="Chandler Parsons"/>
        <s v="Jeremy Tyler"/>
        <s v="Jon Leuer"/>
        <s v="Darius Morris"/>
        <s v="Dāvis Bertāns"/>
        <s v="Malcolm Lee"/>
        <s v="Charles Jenkins"/>
        <s v="Josh Harrellson"/>
        <s v="Andrew Goudelock"/>
        <s v="Travis Leslie"/>
        <s v="Keith Benson"/>
        <s v="Josh Selby"/>
        <s v="Lavoy Allen"/>
        <s v="Vernon Macklin"/>
        <s v="DeAndre Liggins"/>
        <s v="E'Twaun Moore"/>
        <s v="Isaiah Thomas"/>
        <s v="Anthony Davis"/>
        <s v="Michael Kidd-Gilchrist"/>
        <s v="Bradley Beal"/>
        <s v="Dion Waiters"/>
        <s v="Thomas Robinson"/>
        <s v="Damian Lillard"/>
        <s v="Harrison Barnes"/>
        <s v="Terrence Ross"/>
        <s v="Andre Drummond"/>
        <s v="Austin Rivers"/>
        <s v="Meyers Leonard"/>
        <s v="Jeremy Lamb"/>
        <s v="Kendall Marshall"/>
        <s v="John Henson"/>
        <s v="Maurice Harkless"/>
        <s v="Royce White"/>
        <s v="Tyler Zeller"/>
        <s v="Terrence Jones"/>
        <s v="Andrew Nicholson"/>
        <s v="Evan Fournier"/>
        <s v="Jared Sullinger"/>
        <s v="Fab Melo"/>
        <s v="John Jenkins"/>
        <s v="Jared Cunningham"/>
        <s v="Tony Wroten"/>
        <s v="Miles Plumlee"/>
        <s v="Arnett Moultrie"/>
        <s v="Perry Jones"/>
        <s v="Marquis Teague"/>
        <s v="Festus Ezeli"/>
        <s v="Jeff Taylor"/>
        <s v="Tomáš Satoranský"/>
        <s v="Bernard James"/>
        <s v="Jae Crowder"/>
        <s v="Draymond Green"/>
        <s v="Orlando Johnson"/>
        <s v="Quincy Acy"/>
        <s v="Quincy Miller"/>
        <s v="Khris Middleton"/>
        <s v="Will Barton"/>
        <s v="Tyshawn Taylor"/>
        <s v="Doron Lamb"/>
        <s v="Mike Scott"/>
        <s v="Kim English"/>
        <s v="Justin Hamilton"/>
        <s v="Darius Miller"/>
        <s v="Kevin Murphy"/>
        <s v="Kostas Papanikolaou"/>
        <s v="Kyle O'Quinn"/>
        <s v="Kris Joseph"/>
        <s v="Ognjen Kuzmić"/>
        <s v="Furkan Aldemir"/>
        <s v="Tornike Shengelia"/>
        <s v="Darius Johnson-Odom"/>
        <s v="Robbie Hummel"/>
        <s v="Robert Sacre"/>
        <s v="Anthony Bennett"/>
        <s v="Victor Oladipo"/>
        <s v="Otto Porter Jr."/>
        <s v="Cody Zeller"/>
        <s v="Alex Len"/>
        <s v="Nerlens Noel"/>
        <s v="Ben McLemore"/>
        <s v="Kentavious Caldwell-Pope"/>
        <s v="Trey Burke"/>
        <s v="CJ McCollum"/>
        <s v="Michael Carter-Williams"/>
        <s v="Steven Adams"/>
        <s v="Kelly Olynyk"/>
        <s v="Shabazz Muhammad"/>
        <s v="Giannis Antetokounmpo"/>
        <s v="Lucas Nogueira"/>
        <s v="Dennis Schröder"/>
        <s v="Shane Larkin"/>
        <s v="Sergey Karasev"/>
        <s v="Tony Snell"/>
        <s v="Gorgui Dieng"/>
        <s v="Mason Plumlee"/>
        <s v="Solomon Hill"/>
        <s v="Tim Hardaway Jr."/>
        <s v="Reggie Bullock"/>
        <s v="Andre Roberson"/>
        <s v="Rudy Gobert"/>
        <s v="Archie Goodwin"/>
        <s v="Nemanja Nedović"/>
        <s v="Allen Crabbe"/>
        <s v="Álex Abrines"/>
        <s v="Carrick Felix"/>
        <s v="Isaiah Canaan"/>
        <s v="Glen Rice Jr."/>
        <s v="Ray McCallum"/>
        <s v="Tony Mitchell"/>
        <s v="Nate Wolters"/>
        <s v="Jeff Withey"/>
        <s v="Grant Jerrett"/>
        <s v="Jamaal Franklin"/>
        <s v="Pierre Jackson"/>
        <s v="Ricky Ledo"/>
        <s v="Mike Muscala"/>
        <s v="Erick Green"/>
        <s v="Raul Neto"/>
        <s v="Ryan Kelly"/>
        <s v="Erik Murphy"/>
        <s v="James Ennis III"/>
        <s v="Lorenzo Brown"/>
        <s v="Joffrey Lauvergne"/>
        <s v="Peyton Siva"/>
        <s v="Andrew Wiggins"/>
        <s v="Jabari Parker"/>
        <s v="Joel Embiid"/>
        <s v="Aaron Gordon"/>
        <s v="Dante Exum"/>
        <s v="Marcus Smart"/>
        <s v="Julius Randle"/>
        <s v="Nik Stauskas"/>
        <s v="Noah Vonleh"/>
        <s v="Elfrid Payton"/>
        <s v="Doug McDermott"/>
        <s v="Dario Šarić"/>
        <s v="Zach LaVine"/>
        <s v="T.J. Warren"/>
        <s v="Adreian Payne"/>
        <s v="Jusuf Nurkić"/>
        <s v="James Young"/>
        <s v="Tyler Ennis"/>
        <s v="Gary Harris"/>
        <s v="Bruno Caboclo"/>
        <s v="Mitch McGary"/>
        <s v="Jordan Adams"/>
        <s v="Rodney Hood"/>
        <s v="Shabazz Napier"/>
        <s v="Clint Capela"/>
        <s v="P.J. Hairston"/>
        <s v="Bogdan Bogdanović"/>
        <s v="C.J. Wilcox"/>
        <s v="Josh Huestis"/>
        <s v="Kyle Anderson"/>
        <s v="Damien Inglis"/>
        <s v="K.J. McDaniels"/>
        <s v="Joe Harris"/>
        <s v="Cleanthony Early"/>
        <s v="Jarnell Stokes"/>
        <s v="Johnny O'Bryant"/>
        <s v="Spencer Dinwiddie"/>
        <s v="Jerami Grant"/>
        <s v="Glenn Robinson III"/>
        <s v="Nikola Jokić"/>
        <s v="Nick Johnson"/>
        <s v="Edy Tavares"/>
        <s v="Markel Brown"/>
        <s v="Dwight Powell"/>
        <s v="Jordan Clarkson"/>
        <s v="Russ Smith"/>
        <s v="Lamar Patterson"/>
        <s v="Cameron Bairstow"/>
        <s v="Thanasis Antetokounmpo"/>
        <s v="Semaj Christon"/>
        <s v="Devyn Marble"/>
        <s v="Jordan McRae"/>
        <s v="Cory Jefferson"/>
        <s v="Karl-Anthony Towns"/>
        <s v="D'Angelo Russell"/>
        <s v="Jahlil Okafor"/>
        <s v="Kristaps Porziņģis"/>
        <s v="Mario Hezonja"/>
        <s v="Willie Cauley-Stein"/>
        <s v="Emmanuel Mudiay"/>
        <s v="Stanley Johnson"/>
        <s v="Frank Kaminsky"/>
        <s v="Justise Winslow"/>
        <s v="Myles Turner"/>
        <s v="Trey Lyles"/>
        <s v="Devin Booker"/>
        <s v="Cameron Payne"/>
        <s v="Kelly Oubre Jr."/>
        <s v="Terry Rozier"/>
        <s v="Rashad Vaughn"/>
        <s v="Sam Dekker"/>
        <s v="Jerian Grant"/>
        <s v="Delon Wright"/>
        <s v="Justin Anderson"/>
        <s v="Bobby Portis"/>
        <s v="Rondae Hollis-Jefferson"/>
        <s v="Tyus Jones"/>
        <s v="Jarell Martin"/>
        <s v="Larry Nance Jr."/>
        <s v="R.J. Hunter"/>
        <s v="Chris McCullough"/>
        <s v="Kevon Looney"/>
        <s v="Cedi Osman"/>
        <s v="Montrezl Harrell"/>
        <s v="Jordan Mickey"/>
        <s v="Anthony Brown"/>
        <s v="Willy Hernangómez"/>
        <s v="Rakeem Christmas"/>
        <s v="Richaun Holmes"/>
        <s v="Darrun Hilliard"/>
        <s v="Josh Richardson"/>
        <s v="Pat Connaughton"/>
        <s v="Joe Young"/>
        <s v="Andrew Harrison"/>
        <s v="Norman Powell"/>
        <s v="Dakari Johnson"/>
        <s v="Branden Dawson"/>
        <s v="Ben Simmons"/>
        <s v="Brandon Ingram"/>
        <s v="Jaylen Brown"/>
        <s v="Dragan Bender"/>
        <s v="Kris Dunn"/>
        <s v="Buddy Hield"/>
        <s v="Jamal Murray"/>
        <s v="Marquese Chriss"/>
        <s v="Jakob Poeltl"/>
        <s v="Thon Maker"/>
        <s v="Domantas Sabonis"/>
        <s v="Taurean Prince"/>
        <s v="Georgios Papagiannis"/>
        <s v="Denzel Valentine"/>
        <s v="Juancho Hernangómez"/>
        <s v="Guerschon Yabusele"/>
        <s v="Wade Baldwin"/>
        <s v="Henry Ellenson"/>
        <s v="Malik Beasley"/>
        <s v="Caris LeVert"/>
        <s v="DeAndre' Bembry"/>
        <s v="Malachi Richardson"/>
        <s v="Ante Žižić"/>
        <s v="Timothé Luwawu-Cabarrot"/>
        <s v="Brice Johnson"/>
        <s v="Furkan Korkmaz"/>
        <s v="Pascal Siakam"/>
        <s v="Skal Labissière"/>
        <s v="Dejounte Murray"/>
        <s v="Damian Jones"/>
        <s v="Deyonta Davis"/>
        <s v="Ivica Zubac"/>
        <s v="Cheick Diallo"/>
        <s v="Tyler Ulis"/>
        <s v="Malcolm Brogdon"/>
        <s v="Chinanu Onuaku"/>
        <s v="Patrick McCaw"/>
        <s v="Diamond Stone"/>
        <s v="Stephen Zimmerman"/>
        <s v="Isaiah Whitehead"/>
        <s v="Zhou Qi"/>
        <s v="Demetrius Jackson"/>
        <s v="A.J. Hammons"/>
        <s v="Jake Layman"/>
        <s v="Paul Zipser"/>
        <s v="Michael Gbinije"/>
        <s v="Georges Niang"/>
        <s v="Ben Bentil"/>
        <s v="Joel Bolomboy"/>
        <s v="Petr Cornelie"/>
        <s v="Kay Felder"/>
        <s v="Marcus Paige"/>
        <s v="Daniel Hamilton"/>
        <s v="Abdel Nader"/>
        <s v="Tyrone Wallace"/>
        <s v="Markelle Fultz"/>
        <s v="Lonzo Ball"/>
        <s v="Jayson Tatum"/>
        <s v="Josh Jackson"/>
        <s v="De'Aaron Fox"/>
        <s v="Jonathan Isaac"/>
        <s v="Lauri Markkanen"/>
        <s v="Frank Ntilikina"/>
        <s v="Dennis Smith Jr."/>
        <s v="Zach Collins"/>
        <s v="Malik Monk"/>
        <s v="Luke Kennard"/>
        <s v="Donovan Mitchell"/>
        <s v="Bam Adebayo"/>
        <s v="Justin Jackson"/>
        <s v="Justin Patton"/>
        <s v="D.J. Wilson"/>
        <s v="T.J. Leaf"/>
        <s v="John Collins"/>
        <s v="Harry Giles"/>
        <s v="Terrance Ferguson"/>
        <s v="Jarrett Allen"/>
        <s v="OG Anunoby"/>
        <s v="Tyler Lydon"/>
        <s v="Anžejs Pasečņiks"/>
        <s v="Caleb Swanigan"/>
        <s v="Kyle Kuzma"/>
        <s v="Tony Bradley"/>
        <s v="Derrick White"/>
        <s v="Josh Hart"/>
        <s v="Frank Jackson"/>
        <s v="Davon Reed"/>
        <s v="Wes Iwundu"/>
        <s v="Frank Mason III"/>
        <s v="Ivan Rabb"/>
        <s v="Jonah Bolden"/>
        <s v="Semi Ojeleye"/>
        <s v="Jordan Bell"/>
        <s v="Jawun Evans"/>
        <s v="Dwayne Bacon"/>
        <s v="Tyler Dorsey"/>
        <s v="Thomas Bryant"/>
        <s v="Isaiah Hartenstein"/>
        <s v="Damyean Dotson"/>
        <s v="Dillon Brooks"/>
        <s v="Sterling Brown"/>
        <s v="Ike Anigbogu"/>
        <s v="Sindarius Thornwell"/>
        <s v="Vlatko Čančar"/>
        <s v="Monte Morris"/>
        <s v="Edmond Sumner"/>
        <s v="Kadeem Allen"/>
        <s v="Alec Peters"/>
        <s v="Nigel Williams-Goss"/>
        <s v="Jabari Bird"/>
        <s v="Jaron Blossomgame"/>
        <s v="Deandre Ayton"/>
        <s v="Marvin Bagley III"/>
        <s v="Luka Dončić"/>
        <s v="Jaren Jackson Jr."/>
        <s v="Trae Young"/>
        <s v="Mo Bamba"/>
        <s v="Wendell Carter Jr."/>
        <s v="Collin Sexton"/>
        <s v="Kevin Knox"/>
        <s v="Mikal Bridges"/>
        <s v="Shai Gilgeous-Alexander"/>
        <s v="Miles Bridges"/>
        <s v="Jerome Robinson"/>
        <s v="Michael Porter Jr."/>
        <s v="Troy Brown Jr."/>
        <s v="Zhaire Smith"/>
        <s v="Donte DiVincenzo"/>
        <s v="Lonnie Walker IV"/>
        <s v="Kevin Huerter"/>
        <s v="Josh Okogie"/>
        <s v="Grayson Allen"/>
        <s v="Chandler Hutchison"/>
        <s v="Aaron Holiday"/>
        <s v="Anfernee Simons"/>
        <s v="Moritz Wagner"/>
        <s v="Landry Shamet"/>
        <s v="Robert Williams"/>
        <s v="Jacob Evans"/>
        <s v="Džanan Musa"/>
        <s v="Omari Spellman"/>
        <s v="Elie Okobo"/>
        <s v="Jevon Carter"/>
        <s v="Jalen Brunson"/>
        <s v="Devonte' Graham"/>
        <s v="Melvin Frazier"/>
        <s v="Mitchell Robinson"/>
        <s v="Gary Trent Jr."/>
        <s v="Khyri Thomas"/>
        <s v="Isaac Bonga"/>
        <s v="Rodions Kurucs"/>
        <s v="Jarred Vanderbilt"/>
        <s v="Bruce Brown"/>
        <s v="Hamidou Diallo"/>
        <s v="De'Anthony Melton"/>
        <s v="Svi Mykhailiuk"/>
        <s v="Keita Bates-Diop"/>
        <s v="Chimezie Metu"/>
        <s v="Alize Johnson"/>
        <s v="Vince Edwards"/>
        <s v="Devon Hall"/>
        <s v="Shake Milton"/>
        <s v="Arnoldas Kulboka"/>
        <s v="Ray Spalding"/>
        <s v="Kevin Hervey"/>
        <s v="Thomas Welsh"/>
        <s v="George King"/>
        <s v="Kostas Antetokounmpo"/>
        <s v="Zion Williamson"/>
        <s v="Ja Morant"/>
        <s v="RJ Barrett"/>
        <s v="De'Andre Hunter"/>
        <s v="Darius Garland"/>
        <s v="Jarrett Culver"/>
        <s v="Coby White"/>
        <s v="Jaxson Hayes"/>
        <s v="Rui Hachimura"/>
        <s v="Cam Reddish"/>
        <s v="Cameron Johnson"/>
        <s v="P.J. Washington"/>
        <s v="Tyler Herro"/>
        <s v="Romeo Langford"/>
        <s v="Sekou Doumbouya"/>
        <s v="Chuma Okeke"/>
        <s v="Nickeil Alexander-Walker"/>
        <s v="Goga Bitadze"/>
        <s v="Luka Šamanić"/>
        <s v="Matisse Thybulle"/>
        <s v="Brandon Clarke"/>
        <s v="Grant Williams"/>
        <s v="Darius Bazley"/>
        <s v="Ty Jerome"/>
        <s v="Nassir Little"/>
        <s v="Dylan Windler"/>
        <s v="Mfiondu Kabengele"/>
        <s v="Jordan Poole"/>
        <s v="Keldon Johnson"/>
        <s v="Kevin Porter Jr."/>
        <s v="Nic Claxton"/>
        <s v="KZ Okpala"/>
        <s v="Carsen Edwards"/>
        <s v="Bruno Fernando"/>
        <s v="Didi Louzada"/>
        <s v="Cody Martin"/>
        <s v="Deividas Sirvydis"/>
        <s v="Daniel Gafford"/>
        <s v="Alen Smailagić"/>
        <s v="Justin James"/>
        <s v="Eric Paschall"/>
        <s v="Admiral Schofield"/>
        <s v="Jaylen Nowell"/>
        <s v="Bol Bol"/>
        <s v="Isaiah Roby"/>
        <s v="Talen Horton-Tucker"/>
        <s v="Ignas Brazdeikis"/>
        <s v="Terance Mann"/>
        <s v="Quinndary Weatherspoon"/>
        <s v="Jarrell Brantley"/>
        <s v="Tremont Waters"/>
        <s v="Jalen McDaniels"/>
        <s v="Justin Wright-Foreman"/>
        <s v="Marial Shayok"/>
        <s v="Kyle Guy"/>
        <s v="Jordan Bone"/>
        <s v="Miye Oni"/>
        <s v="Dewan Hernandez"/>
        <s v="Anthony Edwards"/>
        <s v="James Wiseman"/>
        <s v="LaMelo Ball"/>
        <s v="Patrick Williams"/>
        <s v="Isaac Okoro"/>
        <s v="Onyeka Okongwu"/>
        <s v="Killian Hayes"/>
        <s v="Obi Toppin"/>
        <s v="Deni Avdija"/>
        <s v="Jalen Smith"/>
        <s v="Devin Vassell"/>
        <s v="Tyrese Haliburton"/>
        <s v="Kira Lewis Jr."/>
        <s v="Aaron Nesmith"/>
        <s v="Cole Anthony"/>
        <s v="Isaiah Stewart"/>
        <s v="Aleksej Pokusevski"/>
        <s v="Josh Green"/>
        <s v="Saddiq Bey"/>
        <s v="Precious Achiuwa"/>
        <s v="Tyrese Maxey"/>
        <s v="Zeke Nnaji"/>
        <s v="Leandro Bolmaro"/>
        <s v="R.J. Hampton"/>
        <s v="Immanuel Quickley"/>
        <s v="Payton Pritchard"/>
        <s v="Udoka Azubuike"/>
        <s v="Jaden McDaniels"/>
        <s v="Malachi Flynn"/>
        <s v="Desmond Bane"/>
        <s v="Tyrell Terry"/>
        <s v="Vernon Carey Jr."/>
        <s v="Daniel Oturu"/>
        <s v="Théo Maledon"/>
        <s v="Xavier Tillman Sr."/>
        <s v="Tyler Bey"/>
        <s v="Vit Krejci"/>
        <s v="Saben Lee"/>
        <s v="Elijah Hughes"/>
        <s v="Robert Woodard II"/>
        <s v="Tre Jones"/>
        <s v="Nick Richards"/>
        <s v="Jahmi'us Ramsey"/>
        <s v="Marko Simonovic"/>
        <s v="Jordan Nwora"/>
        <s v="CJ Elleby"/>
        <s v="Nico Mannion"/>
        <s v="Isaiah Joe"/>
        <s v="Skylar Mays"/>
        <s v="Kenyon Martin Jr."/>
        <s v="Cassius Winston"/>
        <s v="Cassius Stanley"/>
        <s v="Jay Scrubb"/>
        <s v="Grant Riller"/>
        <s v="Reggie Perry"/>
        <s v="Paul Reed"/>
        <s v="Jalen Harris"/>
        <s v="Sam Merrill"/>
        <s v="Cade Cunningham"/>
        <s v="Jalen Green"/>
        <s v="Evan Mobley"/>
        <s v="Scottie Barnes"/>
        <s v="Jalen Suggs"/>
        <s v="Josh Giddey"/>
        <s v="Jonathan Kuminga"/>
        <s v="Franz Wagner"/>
        <s v="Davion Mitchell"/>
        <s v="Ziaire Williams"/>
        <s v="James Bouknight"/>
        <s v="Joshua Primo"/>
        <s v="Chris Duarte"/>
        <s v="Moses Moody"/>
        <s v="Corey Kispert"/>
        <s v="Alperen Şengün"/>
        <s v="Trey Murphy III"/>
        <s v="Tre Mann"/>
        <s v="Kai Jones"/>
        <s v="Jalen Johnson"/>
        <s v="Keon Johnson"/>
        <s v="Isaiah Jackson"/>
        <s v="Usman Garuba"/>
        <s v="Josh Christopher"/>
        <s v="Quentin Grimes"/>
        <s v="Bones Hyland"/>
        <s v="Cam Thomas"/>
        <s v="Jaden Springer"/>
        <s v="Day'Ron Sharpe"/>
        <s v="Santi Aldama"/>
        <s v="Isaiah Todd"/>
        <s v="Jeremiah Robinson-Earl"/>
        <s v="Herbert Jones"/>
        <s v="Miles McBride"/>
        <s v="JT Thor"/>
        <s v="Ayo Dosunmu"/>
        <s v="Neemias Queta"/>
        <s v="Jared Butler"/>
        <s v="Joe Wieskamp"/>
        <s v="Isaiah Livers"/>
        <s v="Greg Brown III"/>
        <s v="Kessler Edwards"/>
        <s v="Dalano Banton"/>
        <s v="David Johnson"/>
        <s v="Sharife Cooper"/>
        <s v="Brandon Boston Jr."/>
        <s v="Luka Garza"/>
        <s v="Charles Bassey"/>
        <s v="Sandro Mamukelashvili"/>
        <s v="Aaron Wiggins"/>
        <s v="Scottie Lewis"/>
        <s v="Jericho Sims"/>
        <s v="Georgios Kalaitzakis"/>
      </sharedItems>
    </cacheField>
    <cacheField name="college" numFmtId="0">
      <sharedItems/>
    </cacheField>
    <cacheField name="years_played" numFmtId="0">
      <sharedItems containsSemiMixedTypes="0" containsString="0" containsNumber="1" containsInteger="1" minValue="1" maxValue="22"/>
    </cacheField>
    <cacheField name="games_played" numFmtId="0">
      <sharedItems containsSemiMixedTypes="0" containsString="0" containsNumber="1" containsInteger="1" minValue="1" maxValue="1541"/>
    </cacheField>
    <cacheField name="total_mins_played" numFmtId="0">
      <sharedItems containsSemiMixedTypes="0" containsString="0" containsNumber="1" containsInteger="1" minValue="0" maxValue="51563"/>
    </cacheField>
    <cacheField name="total_pts" numFmtId="0">
      <sharedItems containsSemiMixedTypes="0" containsString="0" containsNumber="1" containsInteger="1" minValue="0" maxValue="36559"/>
    </cacheField>
    <cacheField name="total_rebounds" numFmtId="0">
      <sharedItems containsSemiMixedTypes="0" containsString="0" containsNumber="1" containsInteger="1" minValue="0" maxValue="15091"/>
    </cacheField>
    <cacheField name="total_assists" numFmtId="0">
      <sharedItems containsSemiMixedTypes="0" containsString="0" containsNumber="1" containsInteger="1" minValue="0" maxValue="12091"/>
    </cacheField>
    <cacheField name="fg_percent" numFmtId="0">
      <sharedItems containsSemiMixedTypes="0" containsString="0" containsNumber="1" minValue="0" maxValue="1"/>
    </cacheField>
    <cacheField name="three_pt_percent" numFmtId="0">
      <sharedItems containsSemiMixedTypes="0" containsString="0" containsNumber="1" minValue="0" maxValue="1"/>
    </cacheField>
    <cacheField name="ft_percent" numFmtId="0">
      <sharedItems containsSemiMixedTypes="0" containsString="0" containsNumber="1" minValue="0" maxValue="1"/>
    </cacheField>
    <cacheField name="win_shares" numFmtId="0">
      <sharedItems containsSemiMixedTypes="0" containsString="0" containsNumber="1" minValue="-1.9" maxValue="248.3"/>
    </cacheField>
    <cacheField name="win_shares_per_48" numFmtId="0">
      <sharedItems containsSemiMixedTypes="0" containsString="0" containsNumber="1" minValue="-1.264" maxValue="1.4419999999999999"/>
    </cacheField>
    <cacheField name="draft_year" numFmtId="0">
      <sharedItems containsSemiMixedTypes="0" containsString="0" containsNumber="1" containsInteger="1" minValue="1990" maxValue="2021"/>
    </cacheField>
    <cacheField name="mins_per_game" numFmtId="0">
      <sharedItems containsSemiMixedTypes="0" containsString="0" containsNumber="1" minValue="0" maxValue="41.1"/>
    </cacheField>
    <cacheField name="pts_per_game" numFmtId="0">
      <sharedItems containsSemiMixedTypes="0" containsString="0" containsNumber="1" minValue="0" maxValue="27.1"/>
    </cacheField>
    <cacheField name="rebounds_per_game" numFmtId="0">
      <sharedItems containsSemiMixedTypes="0" containsString="0" containsNumber="1" minValue="0" maxValue="13.4"/>
    </cacheField>
    <cacheField name="assists_per_game" numFmtId="0">
      <sharedItems containsSemiMixedTypes="0" containsString="0" containsNumber="1" minValue="0" maxValue="9.5"/>
    </cacheField>
    <cacheField name="round_picked" numFmtId="0">
      <sharedItems containsSemiMixedTypes="0" containsString="0" containsNumber="1" containsInteger="1" minValue="1" maxValue="2" count="2">
        <n v="1"/>
        <n v="2"/>
      </sharedItems>
    </cacheField>
    <cacheField name="pick_in_round" numFmtId="0">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cacheField>
    <cacheField name="Long_Career"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9">
  <r>
    <x v="0"/>
    <x v="0"/>
    <x v="0"/>
    <s v="Syracuse"/>
    <n v="15"/>
    <n v="781"/>
    <n v="25903"/>
    <n v="12884"/>
    <n v="7232"/>
    <n v="1985"/>
    <n v="0.44700000000000001"/>
    <n v="0.29499999999999998"/>
    <n v="0.76900000000000002"/>
    <n v="64.3"/>
    <n v="0.11899999999999999"/>
    <n v="1990"/>
    <n v="33.200000000000003"/>
    <n v="16.5"/>
    <n v="9.3000000000000007"/>
    <n v="2.5"/>
    <x v="0"/>
    <x v="0"/>
    <n v="1"/>
  </r>
  <r>
    <x v="1"/>
    <x v="1"/>
    <x v="1"/>
    <s v="Oregon State"/>
    <n v="17"/>
    <n v="1335"/>
    <n v="47117"/>
    <n v="21813"/>
    <n v="5269"/>
    <n v="8966"/>
    <n v="0.46600000000000003"/>
    <n v="0.317"/>
    <n v="0.72899999999999998"/>
    <n v="145.5"/>
    <n v="0.14799999999999999"/>
    <n v="1990"/>
    <n v="35.299999999999997"/>
    <n v="16.3"/>
    <n v="3.9"/>
    <n v="6.7"/>
    <x v="0"/>
    <x v="1"/>
    <n v="1"/>
  </r>
  <r>
    <x v="2"/>
    <x v="2"/>
    <x v="2"/>
    <s v="LSU"/>
    <n v="9"/>
    <n v="586"/>
    <n v="15628"/>
    <n v="8553"/>
    <n v="1087"/>
    <n v="2079"/>
    <n v="0.442"/>
    <n v="0.35399999999999998"/>
    <n v="0.90500000000000003"/>
    <n v="25.2"/>
    <n v="7.6999999999999999E-2"/>
    <n v="1990"/>
    <n v="26.7"/>
    <n v="14.6"/>
    <n v="1.9"/>
    <n v="3.5"/>
    <x v="0"/>
    <x v="2"/>
    <n v="1"/>
  </r>
  <r>
    <x v="3"/>
    <x v="3"/>
    <x v="3"/>
    <s v="Georgia Tech"/>
    <n v="10"/>
    <n v="629"/>
    <n v="17983"/>
    <n v="8094"/>
    <n v="1774"/>
    <n v="1296"/>
    <n v="0.41699999999999998"/>
    <n v="0.39700000000000002"/>
    <n v="0.79300000000000004"/>
    <n v="33.4"/>
    <n v="8.8999999999999996E-2"/>
    <n v="1990"/>
    <n v="28.6"/>
    <n v="12.9"/>
    <n v="2.8"/>
    <n v="2.1"/>
    <x v="0"/>
    <x v="3"/>
    <n v="1"/>
  </r>
  <r>
    <x v="4"/>
    <x v="4"/>
    <x v="4"/>
    <s v="Illinois"/>
    <n v="15"/>
    <n v="966"/>
    <n v="29481"/>
    <n v="12914"/>
    <n v="4002"/>
    <n v="2945"/>
    <n v="0.434"/>
    <n v="0.3"/>
    <n v="0.754"/>
    <n v="47.8"/>
    <n v="7.8E-2"/>
    <n v="1990"/>
    <n v="30.5"/>
    <n v="13.4"/>
    <n v="4.0999999999999996"/>
    <n v="3"/>
    <x v="0"/>
    <x v="4"/>
    <n v="1"/>
  </r>
  <r>
    <x v="5"/>
    <x v="5"/>
    <x v="5"/>
    <s v="Louisville"/>
    <n v="12"/>
    <n v="640"/>
    <n v="12298"/>
    <n v="3354"/>
    <n v="3436"/>
    <n v="213"/>
    <n v="0.48399999999999999"/>
    <n v="0"/>
    <n v="0.65800000000000003"/>
    <n v="20.9"/>
    <n v="8.1000000000000003E-2"/>
    <n v="1990"/>
    <n v="19.2"/>
    <n v="5.2"/>
    <n v="5.4"/>
    <n v="0.3"/>
    <x v="0"/>
    <x v="5"/>
    <n v="1"/>
  </r>
  <r>
    <x v="6"/>
    <x v="6"/>
    <x v="6"/>
    <s v="La Salle"/>
    <n v="7"/>
    <n v="454"/>
    <n v="13472"/>
    <n v="5833"/>
    <n v="2833"/>
    <n v="1498"/>
    <n v="0.433"/>
    <n v="0.30499999999999999"/>
    <n v="0.77100000000000002"/>
    <n v="16.899999999999999"/>
    <n v="0.06"/>
    <n v="1990"/>
    <n v="29.7"/>
    <n v="12.8"/>
    <n v="6.2"/>
    <n v="3.3"/>
    <x v="0"/>
    <x v="6"/>
    <n v="1"/>
  </r>
  <r>
    <x v="7"/>
    <x v="7"/>
    <x v="7"/>
    <s v="Loyola Marymount"/>
    <n v="3"/>
    <n v="105"/>
    <n v="1336"/>
    <n v="574"/>
    <n v="162"/>
    <n v="98"/>
    <n v="0.38600000000000001"/>
    <n v="0.29099999999999998"/>
    <n v="0.72799999999999998"/>
    <n v="0.1"/>
    <n v="4.0000000000000001E-3"/>
    <n v="1990"/>
    <n v="12.7"/>
    <n v="5.5"/>
    <n v="1.5"/>
    <n v="0.9"/>
    <x v="0"/>
    <x v="7"/>
    <n v="0"/>
  </r>
  <r>
    <x v="8"/>
    <x v="8"/>
    <x v="8"/>
    <s v="Minnesota"/>
    <n v="8"/>
    <n v="316"/>
    <n v="6666"/>
    <n v="3243"/>
    <n v="932"/>
    <n v="393"/>
    <n v="0.42399999999999999"/>
    <n v="0.34499999999999997"/>
    <n v="0.78600000000000003"/>
    <n v="9.1"/>
    <n v="6.5000000000000002E-2"/>
    <n v="1990"/>
    <n v="21.1"/>
    <n v="10.3"/>
    <n v="2.9"/>
    <n v="1.2"/>
    <x v="0"/>
    <x v="8"/>
    <n v="1"/>
  </r>
  <r>
    <x v="9"/>
    <x v="9"/>
    <x v="9"/>
    <s v="Michigan"/>
    <n v="6"/>
    <n v="336"/>
    <n v="6098"/>
    <n v="2546"/>
    <n v="606"/>
    <n v="1179"/>
    <n v="0.432"/>
    <n v="0.34399999999999997"/>
    <n v="0.61099999999999999"/>
    <n v="5.2"/>
    <n v="4.1000000000000002E-2"/>
    <n v="1990"/>
    <n v="18.100000000000001"/>
    <n v="7.6"/>
    <n v="1.8"/>
    <n v="3.5"/>
    <x v="0"/>
    <x v="9"/>
    <n v="1"/>
  </r>
  <r>
    <x v="10"/>
    <x v="10"/>
    <x v="10"/>
    <s v="Xavier"/>
    <n v="14"/>
    <n v="801"/>
    <n v="22388"/>
    <n v="7532"/>
    <n v="6854"/>
    <n v="647"/>
    <n v="0.502"/>
    <n v="0"/>
    <n v="0.64300000000000002"/>
    <n v="56.2"/>
    <n v="0.12"/>
    <n v="1990"/>
    <n v="28"/>
    <n v="9.4"/>
    <n v="8.6"/>
    <n v="0.8"/>
    <x v="0"/>
    <x v="10"/>
    <n v="1"/>
  </r>
  <r>
    <x v="11"/>
    <x v="11"/>
    <x v="11"/>
    <s v="Georgia"/>
    <n v="4"/>
    <n v="210"/>
    <n v="2937"/>
    <n v="1084"/>
    <n v="751"/>
    <n v="81"/>
    <n v="0.42599999999999999"/>
    <n v="0.41699999999999998"/>
    <n v="0.74399999999999999"/>
    <n v="2"/>
    <n v="3.3000000000000002E-2"/>
    <n v="1990"/>
    <n v="14"/>
    <n v="5.2"/>
    <n v="3.6"/>
    <n v="0.4"/>
    <x v="0"/>
    <x v="11"/>
    <n v="0"/>
  </r>
  <r>
    <x v="12"/>
    <x v="7"/>
    <x v="12"/>
    <s v="Michigan"/>
    <n v="11"/>
    <n v="689"/>
    <n v="16993"/>
    <n v="6984"/>
    <n v="4881"/>
    <n v="652"/>
    <n v="0.504"/>
    <n v="0.24399999999999999"/>
    <n v="0.71799999999999997"/>
    <n v="35.799999999999997"/>
    <n v="0.10100000000000001"/>
    <n v="1990"/>
    <n v="24.7"/>
    <n v="10.1"/>
    <n v="7.1"/>
    <n v="0.9"/>
    <x v="0"/>
    <x v="12"/>
    <n v="1"/>
  </r>
  <r>
    <x v="13"/>
    <x v="6"/>
    <x v="13"/>
    <s v="Texas"/>
    <n v="3"/>
    <n v="115"/>
    <n v="2964"/>
    <n v="1273"/>
    <n v="233"/>
    <n v="326"/>
    <n v="0.41"/>
    <n v="0.36199999999999999"/>
    <n v="0.749"/>
    <n v="2.4"/>
    <n v="3.9E-2"/>
    <n v="1990"/>
    <n v="25.8"/>
    <n v="11.1"/>
    <n v="2"/>
    <n v="2.8"/>
    <x v="0"/>
    <x v="13"/>
    <n v="0"/>
  </r>
  <r>
    <x v="14"/>
    <x v="8"/>
    <x v="14"/>
    <s v="Ohio University"/>
    <n v="3"/>
    <n v="90"/>
    <n v="594"/>
    <n v="306"/>
    <n v="77"/>
    <n v="61"/>
    <n v="0.39200000000000002"/>
    <n v="0.27700000000000002"/>
    <n v="0.86"/>
    <n v="0.2"/>
    <n v="1.7999999999999999E-2"/>
    <n v="1990"/>
    <n v="6.6"/>
    <n v="3.4"/>
    <n v="0.9"/>
    <n v="0.7"/>
    <x v="0"/>
    <x v="14"/>
    <n v="0"/>
  </r>
  <r>
    <x v="15"/>
    <x v="12"/>
    <x v="15"/>
    <s v="Michigan"/>
    <n v="11"/>
    <n v="678"/>
    <n v="16422"/>
    <n v="7175"/>
    <n v="3680"/>
    <n v="891"/>
    <n v="0.45700000000000002"/>
    <n v="0.38400000000000001"/>
    <n v="0.78100000000000003"/>
    <n v="33.299999999999997"/>
    <n v="9.7000000000000003E-2"/>
    <n v="1990"/>
    <n v="24.2"/>
    <n v="10.6"/>
    <n v="5.4"/>
    <n v="1.3"/>
    <x v="0"/>
    <x v="15"/>
    <n v="1"/>
  </r>
  <r>
    <x v="16"/>
    <x v="13"/>
    <x v="16"/>
    <s v="Maryland"/>
    <n v="4"/>
    <n v="179"/>
    <n v="1902"/>
    <n v="721"/>
    <n v="452"/>
    <n v="99"/>
    <n v="0.44900000000000001"/>
    <n v="0"/>
    <n v="0.64800000000000002"/>
    <n v="1.7"/>
    <n v="4.2999999999999997E-2"/>
    <n v="1990"/>
    <n v="10.6"/>
    <n v="4"/>
    <n v="2.5"/>
    <n v="0.6"/>
    <x v="0"/>
    <x v="16"/>
    <n v="0"/>
  </r>
  <r>
    <x v="17"/>
    <x v="6"/>
    <x v="17"/>
    <s v="Temple"/>
    <n v="11"/>
    <n v="541"/>
    <n v="9409"/>
    <n v="2648"/>
    <n v="2273"/>
    <n v="243"/>
    <n v="0.50700000000000001"/>
    <n v="0.28599999999999998"/>
    <n v="0.61799999999999999"/>
    <n v="15.8"/>
    <n v="8.1000000000000003E-2"/>
    <n v="1990"/>
    <n v="17.399999999999999"/>
    <n v="4.9000000000000004"/>
    <n v="4.2"/>
    <n v="0.4"/>
    <x v="0"/>
    <x v="17"/>
    <n v="1"/>
  </r>
  <r>
    <x v="18"/>
    <x v="14"/>
    <x v="18"/>
    <s v="Jacksonville University"/>
    <n v="12"/>
    <n v="608"/>
    <n v="16843"/>
    <n v="6758"/>
    <n v="1569"/>
    <n v="2227"/>
    <n v="0.436"/>
    <n v="0.35699999999999998"/>
    <n v="0.82499999999999996"/>
    <n v="33.4"/>
    <n v="9.5000000000000001E-2"/>
    <n v="1990"/>
    <n v="27.7"/>
    <n v="11.1"/>
    <n v="2.6"/>
    <n v="3.7"/>
    <x v="0"/>
    <x v="18"/>
    <n v="1"/>
  </r>
  <r>
    <x v="19"/>
    <x v="5"/>
    <x v="19"/>
    <s v="Ole Miss"/>
    <n v="4"/>
    <n v="201"/>
    <n v="3347"/>
    <n v="1553"/>
    <n v="512"/>
    <n v="298"/>
    <n v="0.433"/>
    <n v="0.23599999999999999"/>
    <n v="0.64300000000000002"/>
    <n v="1.8"/>
    <n v="2.5000000000000001E-2"/>
    <n v="1990"/>
    <n v="16.7"/>
    <n v="7.7"/>
    <n v="2.5"/>
    <n v="1.5"/>
    <x v="0"/>
    <x v="19"/>
    <n v="0"/>
  </r>
  <r>
    <x v="20"/>
    <x v="15"/>
    <x v="20"/>
    <s v="St. John's"/>
    <n v="9"/>
    <n v="475"/>
    <n v="9805"/>
    <n v="3472"/>
    <n v="3584"/>
    <n v="287"/>
    <n v="0.44"/>
    <n v="0.125"/>
    <n v="0.60599999999999998"/>
    <n v="20"/>
    <n v="9.8000000000000004E-2"/>
    <n v="1990"/>
    <n v="20.6"/>
    <n v="7.3"/>
    <n v="7.5"/>
    <n v="0.6"/>
    <x v="0"/>
    <x v="20"/>
    <n v="1"/>
  </r>
  <r>
    <x v="21"/>
    <x v="0"/>
    <x v="21"/>
    <s v="UConn"/>
    <n v="4"/>
    <n v="177"/>
    <n v="2019"/>
    <n v="736"/>
    <n v="180"/>
    <n v="325"/>
    <n v="0.41399999999999998"/>
    <n v="7.0999999999999994E-2"/>
    <n v="0.82"/>
    <n v="1.3"/>
    <n v="3.2000000000000001E-2"/>
    <n v="1990"/>
    <n v="11.4"/>
    <n v="4.2"/>
    <n v="1"/>
    <n v="1.8"/>
    <x v="0"/>
    <x v="21"/>
    <n v="0"/>
  </r>
  <r>
    <x v="22"/>
    <x v="6"/>
    <x v="22"/>
    <s v="Saint Louis"/>
    <n v="6"/>
    <n v="318"/>
    <n v="7372"/>
    <n v="2199"/>
    <n v="1726"/>
    <n v="442"/>
    <n v="0.46800000000000003"/>
    <n v="0.125"/>
    <n v="0.59"/>
    <n v="10.8"/>
    <n v="7.0000000000000007E-2"/>
    <n v="1990"/>
    <n v="23.2"/>
    <n v="6.9"/>
    <n v="5.4"/>
    <n v="1.4"/>
    <x v="0"/>
    <x v="22"/>
    <n v="1"/>
  </r>
  <r>
    <x v="23"/>
    <x v="16"/>
    <x v="23"/>
    <s v="Florida"/>
    <n v="8"/>
    <n v="217"/>
    <n v="1950"/>
    <n v="587"/>
    <n v="536"/>
    <n v="93"/>
    <n v="0.40400000000000003"/>
    <n v="0.125"/>
    <n v="0.63800000000000001"/>
    <n v="1"/>
    <n v="2.4E-2"/>
    <n v="1990"/>
    <n v="9"/>
    <n v="2.7"/>
    <n v="2.5"/>
    <n v="0.4"/>
    <x v="0"/>
    <x v="23"/>
    <n v="1"/>
  </r>
  <r>
    <x v="24"/>
    <x v="17"/>
    <x v="24"/>
    <s v="Duke"/>
    <n v="5"/>
    <n v="256"/>
    <n v="3200"/>
    <n v="1465"/>
    <n v="846"/>
    <n v="85"/>
    <n v="0.502"/>
    <n v="0"/>
    <n v="0.70099999999999996"/>
    <n v="4.8"/>
    <n v="7.1999999999999995E-2"/>
    <n v="1990"/>
    <n v="12.5"/>
    <n v="5.7"/>
    <n v="3.3"/>
    <n v="0.3"/>
    <x v="0"/>
    <x v="24"/>
    <n v="0"/>
  </r>
  <r>
    <x v="25"/>
    <x v="18"/>
    <x v="25"/>
    <s v="Texas"/>
    <n v="3"/>
    <n v="142"/>
    <n v="1045"/>
    <n v="289"/>
    <n v="110"/>
    <n v="117"/>
    <n v="0.436"/>
    <n v="0.253"/>
    <n v="0.66700000000000004"/>
    <n v="0.7"/>
    <n v="3.1E-2"/>
    <n v="1990"/>
    <n v="7.4"/>
    <n v="2"/>
    <n v="0.8"/>
    <n v="0.8"/>
    <x v="0"/>
    <x v="25"/>
    <n v="0"/>
  </r>
  <r>
    <x v="26"/>
    <x v="19"/>
    <x v="26"/>
    <s v="Clemson"/>
    <n v="15"/>
    <n v="1044"/>
    <n v="25776"/>
    <n v="10805"/>
    <n v="6116"/>
    <n v="1199"/>
    <n v="0.46"/>
    <n v="5.3999999999999999E-2"/>
    <n v="0.69899999999999995"/>
    <n v="62.8"/>
    <n v="0.11700000000000001"/>
    <n v="1990"/>
    <n v="24.7"/>
    <n v="10.3"/>
    <n v="5.9"/>
    <n v="1.1000000000000001"/>
    <x v="0"/>
    <x v="26"/>
    <n v="1"/>
  </r>
  <r>
    <x v="27"/>
    <x v="10"/>
    <x v="27"/>
    <s v="Iowa"/>
    <n v="2"/>
    <n v="52"/>
    <n v="192"/>
    <n v="53"/>
    <n v="67"/>
    <n v="2"/>
    <n v="0.33300000000000002"/>
    <n v="0"/>
    <n v="0.65"/>
    <n v="0.1"/>
    <n v="3.1E-2"/>
    <n v="1990"/>
    <n v="3.7"/>
    <n v="1"/>
    <n v="1.3"/>
    <n v="0"/>
    <x v="1"/>
    <x v="0"/>
    <n v="0"/>
  </r>
  <r>
    <x v="28"/>
    <x v="20"/>
    <x v="28"/>
    <s v="NA"/>
    <n v="13"/>
    <n v="846"/>
    <n v="22212"/>
    <n v="9810"/>
    <n v="3555"/>
    <n v="3119"/>
    <n v="0.44700000000000001"/>
    <n v="0.33500000000000002"/>
    <n v="0.72899999999999998"/>
    <n v="59.6"/>
    <n v="0.129"/>
    <n v="1990"/>
    <n v="26.3"/>
    <n v="11.6"/>
    <n v="4.2"/>
    <n v="3.7"/>
    <x v="1"/>
    <x v="1"/>
    <n v="1"/>
  </r>
  <r>
    <x v="29"/>
    <x v="8"/>
    <x v="29"/>
    <s v="Houston"/>
    <n v="8"/>
    <n v="465"/>
    <n v="8042"/>
    <n v="2481"/>
    <n v="1690"/>
    <n v="261"/>
    <n v="0.47599999999999998"/>
    <n v="0.14299999999999999"/>
    <n v="0.64300000000000002"/>
    <n v="9"/>
    <n v="5.3999999999999999E-2"/>
    <n v="1990"/>
    <n v="17.3"/>
    <n v="5.3"/>
    <n v="3.6"/>
    <n v="0.6"/>
    <x v="1"/>
    <x v="2"/>
    <n v="1"/>
  </r>
  <r>
    <x v="30"/>
    <x v="15"/>
    <x v="30"/>
    <s v="Dayton"/>
    <n v="6"/>
    <n v="276"/>
    <n v="4513"/>
    <n v="1699"/>
    <n v="351"/>
    <n v="780"/>
    <n v="0.436"/>
    <n v="0.26300000000000001"/>
    <n v="0.73"/>
    <n v="4.2"/>
    <n v="4.3999999999999997E-2"/>
    <n v="1990"/>
    <n v="16.399999999999999"/>
    <n v="6.2"/>
    <n v="1.3"/>
    <n v="2.8"/>
    <x v="1"/>
    <x v="3"/>
    <n v="1"/>
  </r>
  <r>
    <x v="31"/>
    <x v="21"/>
    <x v="31"/>
    <s v="Georgia Tech"/>
    <n v="4"/>
    <n v="118"/>
    <n v="1182"/>
    <n v="389"/>
    <n v="123"/>
    <n v="114"/>
    <n v="0.38800000000000001"/>
    <n v="0.22700000000000001"/>
    <n v="0.70499999999999996"/>
    <n v="-0.5"/>
    <n v="-0.02"/>
    <n v="1990"/>
    <n v="10"/>
    <n v="3.3"/>
    <n v="1"/>
    <n v="1"/>
    <x v="1"/>
    <x v="4"/>
    <n v="0"/>
  </r>
  <r>
    <x v="32"/>
    <x v="22"/>
    <x v="32"/>
    <s v="Dartmouth College"/>
    <n v="2"/>
    <n v="48"/>
    <n v="209"/>
    <n v="100"/>
    <n v="65"/>
    <n v="11"/>
    <n v="0.41199999999999998"/>
    <n v="0"/>
    <n v="0.66700000000000004"/>
    <n v="-0.1"/>
    <n v="-1.2999999999999999E-2"/>
    <n v="1990"/>
    <n v="4.4000000000000004"/>
    <n v="2.1"/>
    <n v="1.4"/>
    <n v="0.2"/>
    <x v="1"/>
    <x v="5"/>
    <n v="0"/>
  </r>
  <r>
    <x v="33"/>
    <x v="10"/>
    <x v="33"/>
    <s v="Kansas"/>
    <n v="4"/>
    <n v="94"/>
    <n v="1125"/>
    <n v="340"/>
    <n v="90"/>
    <n v="152"/>
    <n v="0.39900000000000002"/>
    <n v="0.186"/>
    <n v="0.79"/>
    <n v="0.4"/>
    <n v="1.7000000000000001E-2"/>
    <n v="1990"/>
    <n v="12"/>
    <n v="3.6"/>
    <n v="1"/>
    <n v="1.6"/>
    <x v="1"/>
    <x v="6"/>
    <n v="0"/>
  </r>
  <r>
    <x v="34"/>
    <x v="23"/>
    <x v="34"/>
    <s v="Texas-El Paso"/>
    <n v="13"/>
    <n v="656"/>
    <n v="7974"/>
    <n v="2538"/>
    <n v="1691"/>
    <n v="351"/>
    <n v="0.44"/>
    <n v="0.22500000000000001"/>
    <n v="0.748"/>
    <n v="5.6"/>
    <n v="3.3000000000000002E-2"/>
    <n v="1990"/>
    <n v="12.2"/>
    <n v="3.9"/>
    <n v="2.6"/>
    <n v="0.5"/>
    <x v="1"/>
    <x v="7"/>
    <n v="1"/>
  </r>
  <r>
    <x v="35"/>
    <x v="9"/>
    <x v="35"/>
    <s v="UCLA"/>
    <n v="4"/>
    <n v="103"/>
    <n v="1609"/>
    <n v="591"/>
    <n v="353"/>
    <n v="99"/>
    <n v="0.45600000000000002"/>
    <n v="0"/>
    <n v="0.56699999999999995"/>
    <n v="0.8"/>
    <n v="2.3E-2"/>
    <n v="1990"/>
    <n v="15.6"/>
    <n v="5.7"/>
    <n v="3.4"/>
    <n v="1"/>
    <x v="1"/>
    <x v="8"/>
    <n v="0"/>
  </r>
  <r>
    <x v="36"/>
    <x v="23"/>
    <x v="36"/>
    <s v="Virginia Union University"/>
    <n v="2"/>
    <n v="151"/>
    <n v="3108"/>
    <n v="1502"/>
    <n v="315"/>
    <n v="320"/>
    <n v="0.435"/>
    <n v="0.13800000000000001"/>
    <n v="0.77800000000000002"/>
    <n v="1.1000000000000001"/>
    <n v="1.7000000000000001E-2"/>
    <n v="1990"/>
    <n v="20.6"/>
    <n v="9.9"/>
    <n v="2.1"/>
    <n v="2.1"/>
    <x v="1"/>
    <x v="9"/>
    <n v="0"/>
  </r>
  <r>
    <x v="37"/>
    <x v="1"/>
    <x v="37"/>
    <s v="Arizona"/>
    <n v="12"/>
    <n v="720"/>
    <n v="8444"/>
    <n v="2385"/>
    <n v="1266"/>
    <n v="560"/>
    <n v="0.433"/>
    <n v="0.36599999999999999"/>
    <n v="0.63300000000000001"/>
    <n v="16.5"/>
    <n v="9.4E-2"/>
    <n v="1990"/>
    <n v="11.7"/>
    <n v="3.3"/>
    <n v="1.8"/>
    <n v="0.8"/>
    <x v="1"/>
    <x v="10"/>
    <n v="1"/>
  </r>
  <r>
    <x v="38"/>
    <x v="4"/>
    <x v="38"/>
    <s v="Purdue"/>
    <n v="7"/>
    <n v="174"/>
    <n v="918"/>
    <n v="331"/>
    <n v="180"/>
    <n v="26"/>
    <n v="0.55800000000000005"/>
    <n v="0.2"/>
    <n v="0.75900000000000001"/>
    <n v="2.9"/>
    <n v="0.153"/>
    <n v="1990"/>
    <n v="5.3"/>
    <n v="1.9"/>
    <n v="1"/>
    <n v="0.1"/>
    <x v="1"/>
    <x v="11"/>
    <n v="1"/>
  </r>
  <r>
    <x v="39"/>
    <x v="6"/>
    <x v="39"/>
    <s v="Virginia Tech"/>
    <n v="14"/>
    <n v="852"/>
    <n v="20319"/>
    <n v="6628"/>
    <n v="1820"/>
    <n v="3313"/>
    <n v="0.42499999999999999"/>
    <n v="0.26700000000000002"/>
    <n v="0.81100000000000005"/>
    <n v="27.4"/>
    <n v="6.5000000000000002E-2"/>
    <n v="1990"/>
    <n v="23.8"/>
    <n v="7.8"/>
    <n v="2.1"/>
    <n v="3.9"/>
    <x v="1"/>
    <x v="12"/>
    <n v="1"/>
  </r>
  <r>
    <x v="40"/>
    <x v="9"/>
    <x v="40"/>
    <s v="Illinois"/>
    <n v="3"/>
    <n v="33"/>
    <n v="299"/>
    <n v="73"/>
    <n v="60"/>
    <n v="44"/>
    <n v="0.32900000000000001"/>
    <n v="0.1"/>
    <n v="0.69599999999999995"/>
    <n v="-0.1"/>
    <n v="-0.02"/>
    <n v="1990"/>
    <n v="9.1"/>
    <n v="2.2000000000000002"/>
    <n v="1.8"/>
    <n v="1.3"/>
    <x v="1"/>
    <x v="13"/>
    <n v="0"/>
  </r>
  <r>
    <x v="41"/>
    <x v="2"/>
    <x v="41"/>
    <s v="Illinois"/>
    <n v="4"/>
    <n v="267"/>
    <n v="4568"/>
    <n v="1942"/>
    <n v="925"/>
    <n v="244"/>
    <n v="0.41699999999999998"/>
    <n v="0.34"/>
    <n v="0.66400000000000003"/>
    <n v="4"/>
    <n v="4.2000000000000003E-2"/>
    <n v="1990"/>
    <n v="17.100000000000001"/>
    <n v="7.3"/>
    <n v="3.5"/>
    <n v="0.9"/>
    <x v="1"/>
    <x v="14"/>
    <n v="0"/>
  </r>
  <r>
    <x v="42"/>
    <x v="16"/>
    <x v="42"/>
    <s v="Maryland"/>
    <n v="13"/>
    <n v="683"/>
    <n v="12291"/>
    <n v="4238"/>
    <n v="2964"/>
    <n v="266"/>
    <n v="0.47"/>
    <n v="9.0999999999999998E-2"/>
    <n v="0.70499999999999996"/>
    <n v="15.6"/>
    <n v="6.0999999999999999E-2"/>
    <n v="1990"/>
    <n v="18"/>
    <n v="6.2"/>
    <n v="4.3"/>
    <n v="0.4"/>
    <x v="1"/>
    <x v="15"/>
    <n v="1"/>
  </r>
  <r>
    <x v="43"/>
    <x v="12"/>
    <x v="43"/>
    <s v="Kansas State"/>
    <n v="7"/>
    <n v="238"/>
    <n v="2282"/>
    <n v="739"/>
    <n v="176"/>
    <n v="465"/>
    <n v="0.40300000000000002"/>
    <n v="0.432"/>
    <n v="0.86899999999999999"/>
    <n v="3.8"/>
    <n v="7.9000000000000001E-2"/>
    <n v="1990"/>
    <n v="9.6"/>
    <n v="3.1"/>
    <n v="0.7"/>
    <n v="2"/>
    <x v="1"/>
    <x v="16"/>
    <n v="1"/>
  </r>
  <r>
    <x v="44"/>
    <x v="24"/>
    <x v="44"/>
    <s v="Texas-El Paso"/>
    <n v="13"/>
    <n v="903"/>
    <n v="26084"/>
    <n v="9041"/>
    <n v="6755"/>
    <n v="1017"/>
    <n v="0.44800000000000001"/>
    <n v="8.6999999999999994E-2"/>
    <n v="0.72699999999999998"/>
    <n v="59.6"/>
    <n v="0.11"/>
    <n v="1990"/>
    <n v="28.9"/>
    <n v="10"/>
    <n v="7.5"/>
    <n v="1.1000000000000001"/>
    <x v="1"/>
    <x v="17"/>
    <n v="1"/>
  </r>
  <r>
    <x v="45"/>
    <x v="24"/>
    <x v="45"/>
    <s v="Elizabeth City State University"/>
    <n v="4"/>
    <n v="260"/>
    <n v="2918"/>
    <n v="1247"/>
    <n v="693"/>
    <n v="161"/>
    <n v="0.51100000000000001"/>
    <n v="0"/>
    <n v="0.68"/>
    <n v="7.4"/>
    <n v="0.122"/>
    <n v="1990"/>
    <n v="11.2"/>
    <n v="4.8"/>
    <n v="2.7"/>
    <n v="0.6"/>
    <x v="1"/>
    <x v="18"/>
    <n v="0"/>
  </r>
  <r>
    <x v="46"/>
    <x v="21"/>
    <x v="46"/>
    <s v="Xavier"/>
    <n v="10"/>
    <n v="456"/>
    <n v="8548"/>
    <n v="3088"/>
    <n v="2213"/>
    <n v="291"/>
    <n v="0.43"/>
    <n v="0.18"/>
    <n v="0.78600000000000003"/>
    <n v="18.5"/>
    <n v="0.104"/>
    <n v="1990"/>
    <n v="18.7"/>
    <n v="6.8"/>
    <n v="4.9000000000000004"/>
    <n v="0.6"/>
    <x v="1"/>
    <x v="19"/>
    <n v="1"/>
  </r>
  <r>
    <x v="47"/>
    <x v="15"/>
    <x v="47"/>
    <s v="Cal State Fullerton"/>
    <n v="11"/>
    <n v="609"/>
    <n v="14712"/>
    <n v="8693"/>
    <n v="3258"/>
    <n v="723"/>
    <n v="0.5"/>
    <n v="0.309"/>
    <n v="0.753"/>
    <n v="40.4"/>
    <n v="0.13200000000000001"/>
    <n v="1990"/>
    <n v="24.2"/>
    <n v="14.3"/>
    <n v="5.3"/>
    <n v="1.2"/>
    <x v="1"/>
    <x v="20"/>
    <n v="1"/>
  </r>
  <r>
    <x v="48"/>
    <x v="15"/>
    <x v="48"/>
    <s v="Tennessee Technological University"/>
    <n v="2"/>
    <n v="21"/>
    <n v="87"/>
    <n v="37"/>
    <n v="20"/>
    <n v="10"/>
    <n v="0.375"/>
    <n v="0"/>
    <n v="0.65"/>
    <n v="-0.1"/>
    <n v="-2.8000000000000001E-2"/>
    <n v="1990"/>
    <n v="4.0999999999999996"/>
    <n v="1.8"/>
    <n v="1"/>
    <n v="0.5"/>
    <x v="1"/>
    <x v="22"/>
    <n v="0"/>
  </r>
  <r>
    <x v="49"/>
    <x v="19"/>
    <x v="49"/>
    <s v="Marquette"/>
    <n v="9"/>
    <n v="457"/>
    <n v="7295"/>
    <n v="2504"/>
    <n v="735"/>
    <n v="881"/>
    <n v="0.43099999999999999"/>
    <n v="0.307"/>
    <n v="0.69"/>
    <n v="6.7"/>
    <n v="4.3999999999999997E-2"/>
    <n v="1990"/>
    <n v="16"/>
    <n v="5.5"/>
    <n v="1.6"/>
    <n v="1.9"/>
    <x v="1"/>
    <x v="23"/>
    <n v="1"/>
  </r>
  <r>
    <x v="50"/>
    <x v="25"/>
    <x v="50"/>
    <s v="NA"/>
    <n v="1"/>
    <n v="7"/>
    <n v="30"/>
    <n v="8"/>
    <n v="6"/>
    <n v="3"/>
    <n v="0.33300000000000002"/>
    <n v="0"/>
    <n v="0.4"/>
    <n v="-0.1"/>
    <n v="-0.104"/>
    <n v="1990"/>
    <n v="4.3"/>
    <n v="1.1000000000000001"/>
    <n v="0.9"/>
    <n v="0.4"/>
    <x v="1"/>
    <x v="24"/>
    <n v="0"/>
  </r>
  <r>
    <x v="51"/>
    <x v="16"/>
    <x v="51"/>
    <s v="Michigan"/>
    <n v="6"/>
    <n v="220"/>
    <n v="3334"/>
    <n v="1375"/>
    <n v="402"/>
    <n v="226"/>
    <n v="0.42799999999999999"/>
    <n v="0.32100000000000001"/>
    <n v="0.85"/>
    <n v="0.4"/>
    <n v="6.0000000000000001E-3"/>
    <n v="1990"/>
    <n v="15.2"/>
    <n v="6.3"/>
    <n v="1.8"/>
    <n v="1"/>
    <x v="1"/>
    <x v="26"/>
    <n v="1"/>
  </r>
  <r>
    <x v="0"/>
    <x v="4"/>
    <x v="52"/>
    <s v="UNLV"/>
    <n v="10"/>
    <n v="707"/>
    <n v="25685"/>
    <n v="11450"/>
    <n v="5300"/>
    <n v="2298"/>
    <n v="0.48399999999999999"/>
    <n v="0.33200000000000002"/>
    <n v="0.76600000000000001"/>
    <n v="69.7"/>
    <n v="0.13"/>
    <n v="1991"/>
    <n v="36.299999999999997"/>
    <n v="16.2"/>
    <n v="7.5"/>
    <n v="3.3"/>
    <x v="0"/>
    <x v="0"/>
    <n v="1"/>
  </r>
  <r>
    <x v="1"/>
    <x v="0"/>
    <x v="53"/>
    <s v="Georgia Tech"/>
    <n v="14"/>
    <n v="858"/>
    <n v="25868"/>
    <n v="10789"/>
    <n v="2641"/>
    <n v="5196"/>
    <n v="0.42099999999999999"/>
    <n v="0.34599999999999997"/>
    <n v="0.79"/>
    <n v="62.5"/>
    <n v="0.11600000000000001"/>
    <n v="1991"/>
    <n v="30.1"/>
    <n v="12.6"/>
    <n v="3.1"/>
    <n v="6.1"/>
    <x v="0"/>
    <x v="1"/>
    <n v="1"/>
  </r>
  <r>
    <x v="2"/>
    <x v="6"/>
    <x v="54"/>
    <s v="Syracuse"/>
    <n v="10"/>
    <n v="600"/>
    <n v="17619"/>
    <n v="7026"/>
    <n v="4016"/>
    <n v="1704"/>
    <n v="0.48099999999999998"/>
    <n v="0.29099999999999998"/>
    <n v="0.629"/>
    <n v="28.6"/>
    <n v="7.8E-2"/>
    <n v="1991"/>
    <n v="29.4"/>
    <n v="11.7"/>
    <n v="6.7"/>
    <n v="2.8"/>
    <x v="0"/>
    <x v="2"/>
    <n v="1"/>
  </r>
  <r>
    <x v="3"/>
    <x v="2"/>
    <x v="55"/>
    <s v="Georgetown"/>
    <n v="18"/>
    <n v="1196"/>
    <n v="36791"/>
    <n v="11729"/>
    <n v="12359"/>
    <n v="1240"/>
    <n v="0.51800000000000002"/>
    <n v="0"/>
    <n v="0.68400000000000005"/>
    <n v="117"/>
    <n v="0.153"/>
    <n v="1991"/>
    <n v="30.8"/>
    <n v="9.8000000000000007"/>
    <n v="10.3"/>
    <n v="1"/>
    <x v="0"/>
    <x v="3"/>
    <n v="1"/>
  </r>
  <r>
    <x v="4"/>
    <x v="8"/>
    <x v="56"/>
    <s v="Michigan State"/>
    <n v="14"/>
    <n v="942"/>
    <n v="28855"/>
    <n v="13430"/>
    <n v="3060"/>
    <n v="2922"/>
    <n v="0.44"/>
    <n v="0.35799999999999998"/>
    <n v="0.84499999999999997"/>
    <n v="83.7"/>
    <n v="0.13900000000000001"/>
    <n v="1991"/>
    <n v="30.6"/>
    <n v="14.3"/>
    <n v="3.2"/>
    <n v="3.1"/>
    <x v="0"/>
    <x v="4"/>
    <n v="1"/>
  </r>
  <r>
    <x v="5"/>
    <x v="26"/>
    <x v="57"/>
    <s v="Missouri"/>
    <n v="5"/>
    <n v="296"/>
    <n v="5833"/>
    <n v="2356"/>
    <n v="1234"/>
    <n v="400"/>
    <n v="0.42499999999999999"/>
    <n v="8.3000000000000004E-2"/>
    <n v="0.77300000000000002"/>
    <n v="3"/>
    <n v="2.4E-2"/>
    <n v="1991"/>
    <n v="19.7"/>
    <n v="8"/>
    <n v="4.2"/>
    <n v="1.4"/>
    <x v="0"/>
    <x v="5"/>
    <n v="0"/>
  </r>
  <r>
    <x v="6"/>
    <x v="5"/>
    <x v="58"/>
    <s v="New Mexico"/>
    <n v="10"/>
    <n v="567"/>
    <n v="12006"/>
    <n v="4090"/>
    <n v="2794"/>
    <n v="836"/>
    <n v="0.46200000000000002"/>
    <n v="0"/>
    <n v="0.76"/>
    <n v="17.5"/>
    <n v="7.0000000000000007E-2"/>
    <n v="1991"/>
    <n v="21.2"/>
    <n v="7.2"/>
    <n v="4.9000000000000004"/>
    <n v="1.5"/>
    <x v="0"/>
    <x v="6"/>
    <n v="1"/>
  </r>
  <r>
    <x v="7"/>
    <x v="2"/>
    <x v="59"/>
    <s v="Temple"/>
    <n v="6"/>
    <n v="251"/>
    <n v="5018"/>
    <n v="1685"/>
    <n v="467"/>
    <n v="428"/>
    <n v="0.38400000000000001"/>
    <n v="0.27"/>
    <n v="0.73499999999999999"/>
    <n v="0.1"/>
    <n v="1E-3"/>
    <n v="1991"/>
    <n v="20"/>
    <n v="6.7"/>
    <n v="1.9"/>
    <n v="1.7"/>
    <x v="0"/>
    <x v="7"/>
    <n v="1"/>
  </r>
  <r>
    <x v="8"/>
    <x v="9"/>
    <x v="60"/>
    <s v="UNLV"/>
    <n v="15"/>
    <n v="1001"/>
    <n v="21658"/>
    <n v="7990"/>
    <n v="3216"/>
    <n v="1561"/>
    <n v="0.46899999999999997"/>
    <n v="0.152"/>
    <n v="0.72799999999999998"/>
    <n v="43.8"/>
    <n v="9.7000000000000003E-2"/>
    <n v="1991"/>
    <n v="21.6"/>
    <n v="8"/>
    <n v="3.2"/>
    <n v="1.6"/>
    <x v="0"/>
    <x v="8"/>
    <n v="1"/>
  </r>
  <r>
    <x v="9"/>
    <x v="3"/>
    <x v="61"/>
    <s v="Arizona"/>
    <n v="8"/>
    <n v="413"/>
    <n v="10004"/>
    <n v="4536"/>
    <n v="2564"/>
    <n v="440"/>
    <n v="0.52800000000000002"/>
    <n v="0.14299999999999999"/>
    <n v="0.69099999999999995"/>
    <n v="22.8"/>
    <n v="0.109"/>
    <n v="1991"/>
    <n v="24.2"/>
    <n v="11"/>
    <n v="6.2"/>
    <n v="1.1000000000000001"/>
    <x v="0"/>
    <x v="9"/>
    <n v="1"/>
  </r>
  <r>
    <x v="10"/>
    <x v="25"/>
    <x v="62"/>
    <s v="Oregon"/>
    <n v="11"/>
    <n v="724"/>
    <n v="21545"/>
    <n v="9994"/>
    <n v="2174"/>
    <n v="4407"/>
    <n v="0.44800000000000001"/>
    <n v="0.35499999999999998"/>
    <n v="0.873"/>
    <n v="65.900000000000006"/>
    <n v="0.14699999999999999"/>
    <n v="1991"/>
    <n v="29.8"/>
    <n v="13.8"/>
    <n v="3"/>
    <n v="6.1"/>
    <x v="0"/>
    <x v="10"/>
    <n v="1"/>
  </r>
  <r>
    <x v="11"/>
    <x v="13"/>
    <x v="63"/>
    <s v="UNLV"/>
    <n v="11"/>
    <n v="757"/>
    <n v="15850"/>
    <n v="5497"/>
    <n v="1417"/>
    <n v="2997"/>
    <n v="0.40300000000000002"/>
    <n v="0.34899999999999998"/>
    <n v="0.73299999999999998"/>
    <n v="35.9"/>
    <n v="0.109"/>
    <n v="1991"/>
    <n v="20.9"/>
    <n v="7.3"/>
    <n v="1.9"/>
    <n v="4"/>
    <x v="0"/>
    <x v="11"/>
    <n v="1"/>
  </r>
  <r>
    <x v="12"/>
    <x v="24"/>
    <x v="64"/>
    <s v="Clemson"/>
    <n v="16"/>
    <n v="1094"/>
    <n v="29606"/>
    <n v="8706"/>
    <n v="8605"/>
    <n v="978"/>
    <n v="0.53"/>
    <n v="0"/>
    <n v="0.56200000000000006"/>
    <n v="86.9"/>
    <n v="0.14099999999999999"/>
    <n v="1991"/>
    <n v="27.1"/>
    <n v="8"/>
    <n v="7.9"/>
    <n v="0.9"/>
    <x v="0"/>
    <x v="12"/>
    <n v="1"/>
  </r>
  <r>
    <x v="13"/>
    <x v="1"/>
    <x v="65"/>
    <s v="Nebraska"/>
    <n v="4"/>
    <n v="72"/>
    <n v="309"/>
    <n v="135"/>
    <n v="74"/>
    <n v="21"/>
    <n v="0.39300000000000002"/>
    <n v="0"/>
    <n v="0.66200000000000003"/>
    <n v="0.2"/>
    <n v="3.5999999999999997E-2"/>
    <n v="1991"/>
    <n v="4.3"/>
    <n v="1.9"/>
    <n v="1"/>
    <n v="0.3"/>
    <x v="0"/>
    <x v="13"/>
    <n v="0"/>
  </r>
  <r>
    <x v="14"/>
    <x v="9"/>
    <x v="66"/>
    <s v="Seton Hall"/>
    <n v="6"/>
    <n v="352"/>
    <n v="6729"/>
    <n v="1958"/>
    <n v="1584"/>
    <n v="278"/>
    <n v="0.40300000000000002"/>
    <n v="0"/>
    <n v="0.68600000000000005"/>
    <n v="0.3"/>
    <n v="2E-3"/>
    <n v="1991"/>
    <n v="19.100000000000001"/>
    <n v="5.6"/>
    <n v="4.5"/>
    <n v="0.8"/>
    <x v="0"/>
    <x v="14"/>
    <n v="1"/>
  </r>
  <r>
    <x v="15"/>
    <x v="10"/>
    <x v="67"/>
    <s v="Old Dominion"/>
    <n v="11"/>
    <n v="700"/>
    <n v="13760"/>
    <n v="7232"/>
    <n v="3741"/>
    <n v="461"/>
    <n v="0.51300000000000001"/>
    <n v="0.249"/>
    <n v="0.66"/>
    <n v="32.1"/>
    <n v="0.112"/>
    <n v="1991"/>
    <n v="19.7"/>
    <n v="10.3"/>
    <n v="5.3"/>
    <n v="0.7"/>
    <x v="0"/>
    <x v="15"/>
    <n v="1"/>
  </r>
  <r>
    <x v="16"/>
    <x v="10"/>
    <x v="68"/>
    <s v="Iowa State"/>
    <n v="5"/>
    <n v="286"/>
    <n v="5755"/>
    <n v="2542"/>
    <n v="1384"/>
    <n v="257"/>
    <n v="0.51800000000000002"/>
    <n v="0.28599999999999998"/>
    <n v="0.63400000000000001"/>
    <n v="8.8000000000000007"/>
    <n v="7.2999999999999995E-2"/>
    <n v="1991"/>
    <n v="20.100000000000001"/>
    <n v="8.9"/>
    <n v="4.8"/>
    <n v="0.9"/>
    <x v="0"/>
    <x v="16"/>
    <n v="0"/>
  </r>
  <r>
    <x v="17"/>
    <x v="12"/>
    <x v="69"/>
    <s v="Louisiana"/>
    <n v="3"/>
    <n v="126"/>
    <n v="1031"/>
    <n v="417"/>
    <n v="141"/>
    <n v="48"/>
    <n v="0.40100000000000002"/>
    <n v="0.2"/>
    <n v="0.85899999999999999"/>
    <n v="-0.1"/>
    <n v="-4.0000000000000001E-3"/>
    <n v="1991"/>
    <n v="8.1999999999999993"/>
    <n v="3.3"/>
    <n v="1.1000000000000001"/>
    <n v="0.4"/>
    <x v="0"/>
    <x v="17"/>
    <n v="0"/>
  </r>
  <r>
    <x v="18"/>
    <x v="23"/>
    <x v="70"/>
    <s v="Louisville"/>
    <n v="3"/>
    <n v="183"/>
    <n v="3131"/>
    <n v="1218"/>
    <n v="271"/>
    <n v="394"/>
    <n v="0.432"/>
    <n v="0.29799999999999999"/>
    <n v="0.81299999999999994"/>
    <n v="1.5"/>
    <n v="2.4E-2"/>
    <n v="1991"/>
    <n v="17.100000000000001"/>
    <n v="6.7"/>
    <n v="1.5"/>
    <n v="2.2000000000000002"/>
    <x v="0"/>
    <x v="18"/>
    <n v="0"/>
  </r>
  <r>
    <x v="19"/>
    <x v="11"/>
    <x v="71"/>
    <s v="Phillips University"/>
    <n v="1"/>
    <n v="42"/>
    <n v="345"/>
    <n v="117"/>
    <n v="78"/>
    <n v="12"/>
    <n v="0.439"/>
    <n v="0"/>
    <n v="0.52500000000000002"/>
    <n v="-0.1"/>
    <n v="-2.1000000000000001E-2"/>
    <n v="1991"/>
    <n v="8.1999999999999993"/>
    <n v="2.8"/>
    <n v="1.9"/>
    <n v="0.3"/>
    <x v="0"/>
    <x v="19"/>
    <n v="0"/>
  </r>
  <r>
    <x v="20"/>
    <x v="22"/>
    <x v="72"/>
    <s v="Providence"/>
    <n v="9"/>
    <n v="508"/>
    <n v="11882"/>
    <n v="5118"/>
    <n v="1261"/>
    <n v="2467"/>
    <n v="0.438"/>
    <n v="0.34300000000000003"/>
    <n v="0.78600000000000003"/>
    <n v="25.6"/>
    <n v="0.10299999999999999"/>
    <n v="1991"/>
    <n v="23.4"/>
    <n v="10.1"/>
    <n v="2.5"/>
    <n v="4.9000000000000004"/>
    <x v="0"/>
    <x v="20"/>
    <n v="1"/>
  </r>
  <r>
    <x v="21"/>
    <x v="7"/>
    <x v="73"/>
    <s v="Syracuse"/>
    <n v="3"/>
    <n v="91"/>
    <n v="857"/>
    <n v="277"/>
    <n v="220"/>
    <n v="29"/>
    <n v="0.433"/>
    <n v="0"/>
    <n v="0.61299999999999999"/>
    <n v="1.2"/>
    <n v="6.9000000000000006E-2"/>
    <n v="1991"/>
    <n v="9.4"/>
    <n v="3"/>
    <n v="2.4"/>
    <n v="0.3"/>
    <x v="0"/>
    <x v="21"/>
    <n v="0"/>
  </r>
  <r>
    <x v="22"/>
    <x v="3"/>
    <x v="74"/>
    <s v="LSU"/>
    <n v="8"/>
    <n v="300"/>
    <n v="5869"/>
    <n v="2555"/>
    <n v="1549"/>
    <n v="189"/>
    <n v="0.499"/>
    <n v="0"/>
    <n v="0.51400000000000001"/>
    <n v="8.1"/>
    <n v="6.6000000000000003E-2"/>
    <n v="1991"/>
    <n v="19.600000000000001"/>
    <n v="8.5"/>
    <n v="5.2"/>
    <n v="0.6"/>
    <x v="0"/>
    <x v="22"/>
    <n v="1"/>
  </r>
  <r>
    <x v="23"/>
    <x v="14"/>
    <x v="75"/>
    <s v="UNC"/>
    <n v="13"/>
    <n v="930"/>
    <n v="23723"/>
    <n v="8966"/>
    <n v="3517"/>
    <n v="2649"/>
    <n v="0.45"/>
    <n v="0.34899999999999998"/>
    <n v="0.77"/>
    <n v="44.7"/>
    <n v="0.09"/>
    <n v="1991"/>
    <n v="25.5"/>
    <n v="9.6"/>
    <n v="3.8"/>
    <n v="2.8"/>
    <x v="0"/>
    <x v="23"/>
    <n v="1"/>
  </r>
  <r>
    <x v="25"/>
    <x v="20"/>
    <x v="76"/>
    <s v="Kansas"/>
    <n v="4"/>
    <n v="127"/>
    <n v="883"/>
    <n v="332"/>
    <n v="160"/>
    <n v="56"/>
    <n v="0.443"/>
    <n v="0.154"/>
    <n v="0.72199999999999998"/>
    <n v="1"/>
    <n v="5.3999999999999999E-2"/>
    <n v="1991"/>
    <n v="7"/>
    <n v="2.6"/>
    <n v="1.3"/>
    <n v="0.4"/>
    <x v="0"/>
    <x v="25"/>
    <n v="0"/>
  </r>
  <r>
    <x v="26"/>
    <x v="6"/>
    <x v="77"/>
    <s v="UNC"/>
    <n v="9"/>
    <n v="584"/>
    <n v="8394"/>
    <n v="2494"/>
    <n v="1935"/>
    <n v="488"/>
    <n v="0.441"/>
    <n v="0.38100000000000001"/>
    <n v="0.69599999999999995"/>
    <n v="10.6"/>
    <n v="0.06"/>
    <n v="1991"/>
    <n v="14.4"/>
    <n v="4.3"/>
    <n v="3.3"/>
    <n v="0.8"/>
    <x v="0"/>
    <x v="26"/>
    <n v="1"/>
  </r>
  <r>
    <x v="27"/>
    <x v="4"/>
    <x v="78"/>
    <s v="Minnesota"/>
    <n v="2"/>
    <n v="95"/>
    <n v="1143"/>
    <n v="310"/>
    <n v="120"/>
    <n v="108"/>
    <n v="0.436"/>
    <n v="0.33300000000000002"/>
    <n v="0.72599999999999998"/>
    <n v="0.4"/>
    <n v="1.6E-2"/>
    <n v="1991"/>
    <n v="12"/>
    <n v="3.3"/>
    <n v="1.3"/>
    <n v="1.1000000000000001"/>
    <x v="1"/>
    <x v="0"/>
    <n v="0"/>
  </r>
  <r>
    <x v="29"/>
    <x v="9"/>
    <x v="79"/>
    <s v="NC State"/>
    <n v="1"/>
    <n v="38"/>
    <n v="313"/>
    <n v="131"/>
    <n v="33"/>
    <n v="27"/>
    <n v="0.36799999999999999"/>
    <n v="0.222"/>
    <n v="0.82599999999999996"/>
    <n v="-0.2"/>
    <n v="-3.5000000000000003E-2"/>
    <n v="1991"/>
    <n v="8.1999999999999993"/>
    <n v="3.4"/>
    <n v="0.9"/>
    <n v="0.7"/>
    <x v="1"/>
    <x v="2"/>
    <n v="0"/>
  </r>
  <r>
    <x v="30"/>
    <x v="6"/>
    <x v="80"/>
    <s v="New Mexico State"/>
    <n v="12"/>
    <n v="655"/>
    <n v="11533"/>
    <n v="3148"/>
    <n v="1173"/>
    <n v="1420"/>
    <n v="0.41699999999999998"/>
    <n v="0.2"/>
    <n v="0.69099999999999995"/>
    <n v="11"/>
    <n v="4.5999999999999999E-2"/>
    <n v="1991"/>
    <n v="17.600000000000001"/>
    <n v="4.8"/>
    <n v="1.8"/>
    <n v="2.2000000000000002"/>
    <x v="1"/>
    <x v="3"/>
    <n v="1"/>
  </r>
  <r>
    <x v="31"/>
    <x v="15"/>
    <x v="81"/>
    <s v="Creighton"/>
    <n v="1"/>
    <n v="2"/>
    <n v="3"/>
    <n v="6"/>
    <n v="0"/>
    <n v="0"/>
    <n v="1"/>
    <n v="0"/>
    <n v="0"/>
    <n v="0.1"/>
    <n v="1.4419999999999999"/>
    <n v="1991"/>
    <n v="1.5"/>
    <n v="3"/>
    <n v="0"/>
    <n v="0"/>
    <x v="1"/>
    <x v="4"/>
    <n v="0"/>
  </r>
  <r>
    <x v="32"/>
    <x v="26"/>
    <x v="82"/>
    <s v="Temple"/>
    <n v="5"/>
    <n v="249"/>
    <n v="3501"/>
    <n v="1182"/>
    <n v="809"/>
    <n v="191"/>
    <n v="0.437"/>
    <n v="0.28599999999999998"/>
    <n v="0.71099999999999997"/>
    <n v="1.8"/>
    <n v="2.5000000000000001E-2"/>
    <n v="1991"/>
    <n v="14.1"/>
    <n v="4.7"/>
    <n v="3.2"/>
    <n v="0.8"/>
    <x v="1"/>
    <x v="5"/>
    <n v="0"/>
  </r>
  <r>
    <x v="33"/>
    <x v="5"/>
    <x v="83"/>
    <s v="Slippery Rock University of Pennsylvania"/>
    <n v="1"/>
    <n v="4"/>
    <n v="23"/>
    <n v="9"/>
    <n v="3"/>
    <n v="6"/>
    <n v="0.66700000000000004"/>
    <n v="0.33300000000000002"/>
    <n v="0"/>
    <n v="0"/>
    <n v="3.2000000000000001E-2"/>
    <n v="1991"/>
    <n v="5.8"/>
    <n v="2.2999999999999998"/>
    <n v="0.8"/>
    <n v="1.5"/>
    <x v="1"/>
    <x v="6"/>
    <n v="0"/>
  </r>
  <r>
    <x v="34"/>
    <x v="26"/>
    <x v="84"/>
    <s v="Saint Francis University"/>
    <n v="2"/>
    <n v="122"/>
    <n v="3049"/>
    <n v="1096"/>
    <n v="238"/>
    <n v="522"/>
    <n v="0.45700000000000002"/>
    <n v="0.40400000000000003"/>
    <n v="0.79800000000000004"/>
    <n v="3.7"/>
    <n v="5.8000000000000003E-2"/>
    <n v="1991"/>
    <n v="25"/>
    <n v="9"/>
    <n v="2"/>
    <n v="4.3"/>
    <x v="1"/>
    <x v="7"/>
    <n v="0"/>
  </r>
  <r>
    <x v="35"/>
    <x v="3"/>
    <x v="85"/>
    <s v="NC State"/>
    <n v="3"/>
    <n v="112"/>
    <n v="1313"/>
    <n v="416"/>
    <n v="129"/>
    <n v="243"/>
    <n v="0.42099999999999999"/>
    <n v="0.26900000000000002"/>
    <n v="0.81599999999999995"/>
    <n v="1.6"/>
    <n v="5.8000000000000003E-2"/>
    <n v="1991"/>
    <n v="11.7"/>
    <n v="3.7"/>
    <n v="1.2"/>
    <n v="2.2000000000000002"/>
    <x v="1"/>
    <x v="8"/>
    <n v="0"/>
  </r>
  <r>
    <x v="36"/>
    <x v="7"/>
    <x v="86"/>
    <s v="Memphis"/>
    <n v="10"/>
    <n v="549"/>
    <n v="9501"/>
    <n v="3449"/>
    <n v="742"/>
    <n v="1699"/>
    <n v="0.45900000000000002"/>
    <n v="0.35899999999999999"/>
    <n v="0.78300000000000003"/>
    <n v="14"/>
    <n v="7.0999999999999994E-2"/>
    <n v="1991"/>
    <n v="17.3"/>
    <n v="6.3"/>
    <n v="1.4"/>
    <n v="3.1"/>
    <x v="1"/>
    <x v="9"/>
    <n v="1"/>
  </r>
  <r>
    <x v="38"/>
    <x v="25"/>
    <x v="87"/>
    <s v="Purdue"/>
    <n v="5"/>
    <n v="78"/>
    <n v="856"/>
    <n v="331"/>
    <n v="80"/>
    <n v="55"/>
    <n v="0.40699999999999997"/>
    <n v="0.34"/>
    <n v="0.77200000000000002"/>
    <n v="0.3"/>
    <n v="1.7999999999999999E-2"/>
    <n v="1991"/>
    <n v="11"/>
    <n v="4.2"/>
    <n v="1"/>
    <n v="0.7"/>
    <x v="1"/>
    <x v="11"/>
    <n v="0"/>
  </r>
  <r>
    <x v="39"/>
    <x v="18"/>
    <x v="88"/>
    <s v="La Salle"/>
    <n v="11"/>
    <n v="499"/>
    <n v="7275"/>
    <n v="2253"/>
    <n v="654"/>
    <n v="1038"/>
    <n v="0.41199999999999998"/>
    <n v="0.31900000000000001"/>
    <n v="0.81599999999999995"/>
    <n v="2.5"/>
    <n v="1.6E-2"/>
    <n v="1991"/>
    <n v="14.6"/>
    <n v="4.5"/>
    <n v="1.3"/>
    <n v="2.1"/>
    <x v="1"/>
    <x v="12"/>
    <n v="1"/>
  </r>
  <r>
    <x v="40"/>
    <x v="24"/>
    <x v="89"/>
    <s v="Iona College"/>
    <n v="3"/>
    <n v="84"/>
    <n v="671"/>
    <n v="352"/>
    <n v="85"/>
    <n v="45"/>
    <n v="0.38600000000000001"/>
    <n v="0.246"/>
    <n v="0.62"/>
    <n v="-1.3"/>
    <n v="-9.5000000000000001E-2"/>
    <n v="1991"/>
    <n v="8"/>
    <n v="4.2"/>
    <n v="1"/>
    <n v="0.5"/>
    <x v="1"/>
    <x v="13"/>
    <n v="0"/>
  </r>
  <r>
    <x v="42"/>
    <x v="10"/>
    <x v="90"/>
    <s v="Christopher Newport University"/>
    <n v="2"/>
    <n v="13"/>
    <n v="155"/>
    <n v="60"/>
    <n v="15"/>
    <n v="14"/>
    <n v="0.32900000000000001"/>
    <n v="0.13300000000000001"/>
    <n v="0.71399999999999997"/>
    <n v="-0.5"/>
    <n v="-0.14199999999999999"/>
    <n v="1991"/>
    <n v="11.9"/>
    <n v="4.5999999999999996"/>
    <n v="1.2"/>
    <n v="1.1000000000000001"/>
    <x v="1"/>
    <x v="15"/>
    <n v="0"/>
  </r>
  <r>
    <x v="44"/>
    <x v="12"/>
    <x v="91"/>
    <s v="Southern University and A&amp;M College"/>
    <n v="9"/>
    <n v="467"/>
    <n v="13426"/>
    <n v="5153"/>
    <n v="1469"/>
    <n v="1246"/>
    <n v="0.443"/>
    <n v="0.39"/>
    <n v="0.73799999999999999"/>
    <n v="27.2"/>
    <n v="9.7000000000000003E-2"/>
    <n v="1991"/>
    <n v="28.7"/>
    <n v="11"/>
    <n v="3.1"/>
    <n v="2.7"/>
    <x v="1"/>
    <x v="17"/>
    <n v="1"/>
  </r>
  <r>
    <x v="45"/>
    <x v="15"/>
    <x v="92"/>
    <s v="Oklahoma State"/>
    <n v="3"/>
    <n v="102"/>
    <n v="2226"/>
    <n v="1080"/>
    <n v="351"/>
    <n v="111"/>
    <n v="0.50900000000000001"/>
    <n v="0.23100000000000001"/>
    <n v="0.69399999999999995"/>
    <n v="4.5"/>
    <n v="9.7000000000000003E-2"/>
    <n v="1991"/>
    <n v="21.8"/>
    <n v="10.6"/>
    <n v="3.4"/>
    <n v="1.1000000000000001"/>
    <x v="1"/>
    <x v="18"/>
    <n v="0"/>
  </r>
  <r>
    <x v="47"/>
    <x v="22"/>
    <x v="93"/>
    <s v="Arizona State"/>
    <n v="9"/>
    <n v="432"/>
    <n v="8350"/>
    <n v="3285"/>
    <n v="2030"/>
    <n v="538"/>
    <n v="0.44600000000000001"/>
    <n v="0.17599999999999999"/>
    <n v="0.67"/>
    <n v="9.1999999999999993"/>
    <n v="5.2999999999999999E-2"/>
    <n v="1991"/>
    <n v="19.3"/>
    <n v="7.6"/>
    <n v="4.7"/>
    <n v="1.2"/>
    <x v="1"/>
    <x v="20"/>
    <n v="1"/>
  </r>
  <r>
    <x v="52"/>
    <x v="16"/>
    <x v="94"/>
    <s v="Oral Roberts"/>
    <n v="3"/>
    <n v="168"/>
    <n v="1946"/>
    <n v="761"/>
    <n v="153"/>
    <n v="284"/>
    <n v="0.39600000000000002"/>
    <n v="0.36099999999999999"/>
    <n v="0.74299999999999999"/>
    <n v="1"/>
    <n v="2.4E-2"/>
    <n v="1991"/>
    <n v="11.6"/>
    <n v="4.5"/>
    <n v="0.9"/>
    <n v="1.7"/>
    <x v="1"/>
    <x v="21"/>
    <n v="0"/>
  </r>
  <r>
    <x v="49"/>
    <x v="11"/>
    <x v="95"/>
    <s v="NA"/>
    <n v="6"/>
    <n v="247"/>
    <n v="3607"/>
    <n v="1233"/>
    <n v="883"/>
    <n v="165"/>
    <n v="0.50600000000000001"/>
    <n v="0"/>
    <n v="0.52500000000000002"/>
    <n v="2.4"/>
    <n v="3.2000000000000001E-2"/>
    <n v="1991"/>
    <n v="14.6"/>
    <n v="5"/>
    <n v="3.6"/>
    <n v="0.7"/>
    <x v="1"/>
    <x v="23"/>
    <n v="1"/>
  </r>
  <r>
    <x v="0"/>
    <x v="3"/>
    <x v="96"/>
    <s v="LSU"/>
    <n v="19"/>
    <n v="1207"/>
    <n v="41918"/>
    <n v="28596"/>
    <n v="13099"/>
    <n v="3026"/>
    <n v="0.58199999999999996"/>
    <n v="4.4999999999999998E-2"/>
    <n v="0.52700000000000002"/>
    <n v="181.7"/>
    <n v="0.20799999999999999"/>
    <n v="1992"/>
    <n v="34.700000000000003"/>
    <n v="23.7"/>
    <n v="10.9"/>
    <n v="2.5"/>
    <x v="0"/>
    <x v="0"/>
    <n v="1"/>
  </r>
  <r>
    <x v="1"/>
    <x v="4"/>
    <x v="97"/>
    <s v="Georgetown"/>
    <n v="15"/>
    <n v="838"/>
    <n v="25975"/>
    <n v="14311"/>
    <n v="7137"/>
    <n v="946"/>
    <n v="0.52700000000000002"/>
    <n v="0.247"/>
    <n v="0.69199999999999995"/>
    <n v="89.7"/>
    <n v="0.16600000000000001"/>
    <n v="1992"/>
    <n v="31"/>
    <n v="17.100000000000001"/>
    <n v="8.5"/>
    <n v="1.1000000000000001"/>
    <x v="0"/>
    <x v="1"/>
    <n v="1"/>
  </r>
  <r>
    <x v="2"/>
    <x v="5"/>
    <x v="98"/>
    <s v="Duke"/>
    <n v="13"/>
    <n v="868"/>
    <n v="25760"/>
    <n v="11121"/>
    <n v="5806"/>
    <n v="2224"/>
    <n v="0.48"/>
    <n v="0.26100000000000001"/>
    <n v="0.82"/>
    <n v="64.900000000000006"/>
    <n v="0.121"/>
    <n v="1992"/>
    <n v="29.7"/>
    <n v="12.8"/>
    <n v="6.7"/>
    <n v="2.6"/>
    <x v="0"/>
    <x v="2"/>
    <n v="1"/>
  </r>
  <r>
    <x v="3"/>
    <x v="26"/>
    <x v="99"/>
    <s v="Ohio State"/>
    <n v="14"/>
    <n v="885"/>
    <n v="29067"/>
    <n v="12690"/>
    <n v="4152"/>
    <n v="2851"/>
    <n v="0.42799999999999999"/>
    <n v="0.36499999999999999"/>
    <n v="0.82499999999999996"/>
    <n v="35.799999999999997"/>
    <n v="5.8999999999999997E-2"/>
    <n v="1992"/>
    <n v="32.799999999999997"/>
    <n v="14.3"/>
    <n v="4.7"/>
    <n v="3.2"/>
    <x v="0"/>
    <x v="3"/>
    <n v="1"/>
  </r>
  <r>
    <x v="4"/>
    <x v="2"/>
    <x v="100"/>
    <s v="Notre Dame"/>
    <n v="11"/>
    <n v="624"/>
    <n v="17616"/>
    <n v="7410"/>
    <n v="4032"/>
    <n v="981"/>
    <n v="0.45200000000000001"/>
    <n v="0.30199999999999999"/>
    <n v="0.73"/>
    <n v="32.799999999999997"/>
    <n v="8.8999999999999996E-2"/>
    <n v="1992"/>
    <n v="28.2"/>
    <n v="11.9"/>
    <n v="6.5"/>
    <n v="1.6"/>
    <x v="0"/>
    <x v="4"/>
    <n v="1"/>
  </r>
  <r>
    <x v="5"/>
    <x v="23"/>
    <x v="101"/>
    <s v="NC State"/>
    <n v="13"/>
    <n v="763"/>
    <n v="23556"/>
    <n v="9895"/>
    <n v="5589"/>
    <n v="2140"/>
    <n v="0.45100000000000001"/>
    <n v="0.28399999999999997"/>
    <n v="0.75700000000000001"/>
    <n v="40.200000000000003"/>
    <n v="8.2000000000000003E-2"/>
    <n v="1992"/>
    <n v="30.9"/>
    <n v="13"/>
    <n v="7.3"/>
    <n v="2.8"/>
    <x v="0"/>
    <x v="5"/>
    <n v="1"/>
  </r>
  <r>
    <x v="6"/>
    <x v="6"/>
    <x v="102"/>
    <s v="Maryland"/>
    <n v="11"/>
    <n v="708"/>
    <n v="18818"/>
    <n v="8385"/>
    <n v="2794"/>
    <n v="1637"/>
    <n v="0.42499999999999999"/>
    <n v="0.379"/>
    <n v="0.74299999999999999"/>
    <n v="33.9"/>
    <n v="8.6999999999999994E-2"/>
    <n v="1992"/>
    <n v="26.6"/>
    <n v="11.8"/>
    <n v="3.9"/>
    <n v="2.2999999999999998"/>
    <x v="0"/>
    <x v="6"/>
    <n v="1"/>
  </r>
  <r>
    <x v="7"/>
    <x v="12"/>
    <x v="103"/>
    <s v="Arkansas"/>
    <n v="8"/>
    <n v="483"/>
    <n v="12214"/>
    <n v="5917"/>
    <n v="1649"/>
    <n v="713"/>
    <n v="0.40600000000000003"/>
    <n v="0.34499999999999997"/>
    <n v="0.73899999999999999"/>
    <n v="17.5"/>
    <n v="6.9000000000000006E-2"/>
    <n v="1992"/>
    <n v="25.3"/>
    <n v="12.3"/>
    <n v="3.4"/>
    <n v="1.5"/>
    <x v="0"/>
    <x v="7"/>
    <n v="1"/>
  </r>
  <r>
    <x v="8"/>
    <x v="21"/>
    <x v="104"/>
    <s v="Southern Miss"/>
    <n v="13"/>
    <n v="915"/>
    <n v="27736"/>
    <n v="10483"/>
    <n v="6846"/>
    <n v="1346"/>
    <n v="0.47099999999999997"/>
    <n v="0.19600000000000001"/>
    <n v="0.74299999999999999"/>
    <n v="58.4"/>
    <n v="0.10100000000000001"/>
    <n v="1992"/>
    <n v="30.3"/>
    <n v="11.5"/>
    <n v="7.5"/>
    <n v="1.5"/>
    <x v="0"/>
    <x v="8"/>
    <n v="1"/>
  </r>
  <r>
    <x v="9"/>
    <x v="9"/>
    <x v="105"/>
    <s v="Stanford"/>
    <n v="9"/>
    <n v="617"/>
    <n v="10334"/>
    <n v="3107"/>
    <n v="2556"/>
    <n v="427"/>
    <n v="0.502"/>
    <n v="7.0999999999999994E-2"/>
    <n v="0.71399999999999997"/>
    <n v="24.9"/>
    <n v="0.11600000000000001"/>
    <n v="1992"/>
    <n v="16.7"/>
    <n v="5"/>
    <n v="4.0999999999999996"/>
    <n v="0.7"/>
    <x v="0"/>
    <x v="9"/>
    <n v="1"/>
  </r>
  <r>
    <x v="10"/>
    <x v="11"/>
    <x v="106"/>
    <s v="Alabama"/>
    <n v="16"/>
    <n v="1107"/>
    <n v="27069"/>
    <n v="7715"/>
    <n v="5269"/>
    <n v="2343"/>
    <n v="0.42499999999999999"/>
    <n v="0.34100000000000003"/>
    <n v="0.72599999999999998"/>
    <n v="66.3"/>
    <n v="0.11799999999999999"/>
    <n v="1992"/>
    <n v="24.5"/>
    <n v="7"/>
    <n v="4.8"/>
    <n v="2.1"/>
    <x v="0"/>
    <x v="10"/>
    <n v="1"/>
  </r>
  <r>
    <x v="11"/>
    <x v="8"/>
    <x v="107"/>
    <s v="USC"/>
    <n v="4"/>
    <n v="200"/>
    <n v="3748"/>
    <n v="1801"/>
    <n v="432"/>
    <n v="245"/>
    <n v="0.46"/>
    <n v="0.311"/>
    <n v="0.78500000000000003"/>
    <n v="4.2"/>
    <n v="5.2999999999999999E-2"/>
    <n v="1992"/>
    <n v="18.7"/>
    <n v="9"/>
    <n v="2.2000000000000002"/>
    <n v="1.2"/>
    <x v="0"/>
    <x v="11"/>
    <n v="0"/>
  </r>
  <r>
    <x v="12"/>
    <x v="2"/>
    <x v="108"/>
    <s v="Virginia"/>
    <n v="10"/>
    <n v="586"/>
    <n v="16417"/>
    <n v="5946"/>
    <n v="1983"/>
    <n v="1178"/>
    <n v="0.42399999999999999"/>
    <n v="0.32900000000000001"/>
    <n v="0.84099999999999997"/>
    <n v="29.5"/>
    <n v="8.5999999999999993E-2"/>
    <n v="1992"/>
    <n v="28"/>
    <n v="10.1"/>
    <n v="3.4"/>
    <n v="2"/>
    <x v="0"/>
    <x v="12"/>
    <n v="1"/>
  </r>
  <r>
    <x v="13"/>
    <x v="24"/>
    <x v="109"/>
    <s v="St. John's"/>
    <n v="8"/>
    <n v="493"/>
    <n v="11720"/>
    <n v="4955"/>
    <n v="1585"/>
    <n v="816"/>
    <n v="0.42599999999999999"/>
    <n v="0.29199999999999998"/>
    <n v="0.80900000000000005"/>
    <n v="17.100000000000001"/>
    <n v="7.0000000000000007E-2"/>
    <n v="1992"/>
    <n v="23.8"/>
    <n v="10.1"/>
    <n v="3.2"/>
    <n v="1.7"/>
    <x v="0"/>
    <x v="13"/>
    <n v="1"/>
  </r>
  <r>
    <x v="14"/>
    <x v="19"/>
    <x v="110"/>
    <s v="Missouri"/>
    <n v="13"/>
    <n v="827"/>
    <n v="20464"/>
    <n v="8017"/>
    <n v="2136"/>
    <n v="1956"/>
    <n v="0.42699999999999999"/>
    <n v="0.38400000000000001"/>
    <n v="0.79900000000000004"/>
    <n v="30.7"/>
    <n v="7.1999999999999995E-2"/>
    <n v="1992"/>
    <n v="24.7"/>
    <n v="9.6999999999999993"/>
    <n v="2.6"/>
    <n v="2.4"/>
    <x v="0"/>
    <x v="14"/>
    <n v="1"/>
  </r>
  <r>
    <x v="15"/>
    <x v="7"/>
    <x v="111"/>
    <s v="La Salle"/>
    <n v="4"/>
    <n v="151"/>
    <n v="1093"/>
    <n v="356"/>
    <n v="93"/>
    <n v="257"/>
    <n v="0.34"/>
    <n v="0.30499999999999999"/>
    <n v="0.68300000000000005"/>
    <n v="0.6"/>
    <n v="2.5999999999999999E-2"/>
    <n v="1992"/>
    <n v="7.2"/>
    <n v="2.4"/>
    <n v="0.6"/>
    <n v="1.7"/>
    <x v="0"/>
    <x v="15"/>
    <n v="0"/>
  </r>
  <r>
    <x v="16"/>
    <x v="1"/>
    <x v="112"/>
    <s v="Pepperdine"/>
    <n v="15"/>
    <n v="827"/>
    <n v="26079"/>
    <n v="9301"/>
    <n v="3382"/>
    <n v="2992"/>
    <n v="0.42599999999999999"/>
    <n v="0.35399999999999998"/>
    <n v="0.82099999999999995"/>
    <n v="55.7"/>
    <n v="0.10199999999999999"/>
    <n v="1992"/>
    <n v="31.5"/>
    <n v="11.2"/>
    <n v="4.0999999999999996"/>
    <n v="3.6"/>
    <x v="0"/>
    <x v="16"/>
    <n v="1"/>
  </r>
  <r>
    <x v="17"/>
    <x v="16"/>
    <x v="113"/>
    <s v="UCLA"/>
    <n v="12"/>
    <n v="659"/>
    <n v="12103"/>
    <n v="5943"/>
    <n v="1649"/>
    <n v="508"/>
    <n v="0.43"/>
    <n v="0.38800000000000001"/>
    <n v="0.82899999999999996"/>
    <n v="24.1"/>
    <n v="9.6000000000000002E-2"/>
    <n v="1992"/>
    <n v="18.399999999999999"/>
    <n v="9"/>
    <n v="2.5"/>
    <n v="0.8"/>
    <x v="0"/>
    <x v="17"/>
    <n v="1"/>
  </r>
  <r>
    <x v="18"/>
    <x v="18"/>
    <x v="114"/>
    <s v="UCLA"/>
    <n v="9"/>
    <n v="319"/>
    <n v="6679"/>
    <n v="3490"/>
    <n v="1210"/>
    <n v="404"/>
    <n v="0.45500000000000002"/>
    <n v="0.28399999999999997"/>
    <n v="0.76500000000000001"/>
    <n v="9.4"/>
    <n v="6.7000000000000004E-2"/>
    <n v="1992"/>
    <n v="20.9"/>
    <n v="10.9"/>
    <n v="3.8"/>
    <n v="1.3"/>
    <x v="0"/>
    <x v="18"/>
    <n v="1"/>
  </r>
  <r>
    <x v="19"/>
    <x v="13"/>
    <x v="115"/>
    <s v="UNC"/>
    <n v="12"/>
    <n v="685"/>
    <n v="15143"/>
    <n v="5583"/>
    <n v="1045"/>
    <n v="1172"/>
    <n v="0.45800000000000002"/>
    <n v="0.441"/>
    <n v="0.83699999999999997"/>
    <n v="27.7"/>
    <n v="8.7999999999999995E-2"/>
    <n v="1992"/>
    <n v="22.1"/>
    <n v="8.1999999999999993"/>
    <n v="1.5"/>
    <n v="1.7"/>
    <x v="0"/>
    <x v="19"/>
    <n v="1"/>
  </r>
  <r>
    <x v="20"/>
    <x v="14"/>
    <x v="116"/>
    <s v="Georgia Tech"/>
    <n v="14"/>
    <n v="821"/>
    <n v="13880"/>
    <n v="4715"/>
    <n v="1513"/>
    <n v="1784"/>
    <n v="0.434"/>
    <n v="0.39200000000000002"/>
    <n v="0.84799999999999998"/>
    <n v="37.200000000000003"/>
    <n v="0.129"/>
    <n v="1992"/>
    <n v="16.899999999999999"/>
    <n v="5.7"/>
    <n v="1.8"/>
    <n v="2.2000000000000002"/>
    <x v="0"/>
    <x v="20"/>
    <n v="1"/>
  </r>
  <r>
    <x v="21"/>
    <x v="15"/>
    <x v="117"/>
    <s v="Arkansas"/>
    <n v="9"/>
    <n v="493"/>
    <n v="11338"/>
    <n v="3625"/>
    <n v="2893"/>
    <n v="1061"/>
    <n v="0.53400000000000003"/>
    <n v="0.11600000000000001"/>
    <n v="0.63900000000000001"/>
    <n v="21.1"/>
    <n v="8.8999999999999996E-2"/>
    <n v="1992"/>
    <n v="23"/>
    <n v="7.4"/>
    <n v="5.9"/>
    <n v="2.2000000000000002"/>
    <x v="0"/>
    <x v="21"/>
    <n v="1"/>
  </r>
  <r>
    <x v="22"/>
    <x v="12"/>
    <x v="118"/>
    <s v="Arkansas"/>
    <n v="7"/>
    <n v="496"/>
    <n v="10337"/>
    <n v="2546"/>
    <n v="642"/>
    <n v="1767"/>
    <n v="0.41499999999999998"/>
    <n v="0.377"/>
    <n v="0.65900000000000003"/>
    <n v="7.9"/>
    <n v="3.5999999999999997E-2"/>
    <n v="1992"/>
    <n v="20.8"/>
    <n v="5.0999999999999996"/>
    <n v="1.3"/>
    <n v="3.6"/>
    <x v="0"/>
    <x v="22"/>
    <n v="1"/>
  </r>
  <r>
    <x v="23"/>
    <x v="10"/>
    <x v="119"/>
    <s v="Alabama"/>
    <n v="13"/>
    <n v="913"/>
    <n v="35270"/>
    <n v="16712"/>
    <n v="3724"/>
    <n v="3664"/>
    <n v="0.42499999999999999"/>
    <n v="0.33700000000000002"/>
    <n v="0.80400000000000005"/>
    <n v="56.3"/>
    <n v="7.6999999999999999E-2"/>
    <n v="1992"/>
    <n v="38.6"/>
    <n v="18.3"/>
    <n v="4.0999999999999996"/>
    <n v="4"/>
    <x v="0"/>
    <x v="23"/>
    <n v="1"/>
  </r>
  <r>
    <x v="24"/>
    <x v="7"/>
    <x v="120"/>
    <s v="UNLV"/>
    <n v="5"/>
    <n v="157"/>
    <n v="2641"/>
    <n v="923"/>
    <n v="555"/>
    <n v="109"/>
    <n v="0.51600000000000001"/>
    <n v="0"/>
    <n v="0.57999999999999996"/>
    <n v="0"/>
    <n v="1E-3"/>
    <n v="1992"/>
    <n v="16.8"/>
    <n v="5.9"/>
    <n v="3.5"/>
    <n v="0.7"/>
    <x v="0"/>
    <x v="24"/>
    <n v="0"/>
  </r>
  <r>
    <x v="25"/>
    <x v="17"/>
    <x v="121"/>
    <s v="Syracuse"/>
    <n v="2"/>
    <n v="59"/>
    <n v="475"/>
    <n v="204"/>
    <n v="64"/>
    <n v="17"/>
    <n v="0.36499999999999999"/>
    <n v="0.2"/>
    <n v="0.66300000000000003"/>
    <n v="-0.3"/>
    <n v="-3.2000000000000001E-2"/>
    <n v="1992"/>
    <n v="8.1"/>
    <n v="3.5"/>
    <n v="1.1000000000000001"/>
    <n v="0.3"/>
    <x v="0"/>
    <x v="25"/>
    <n v="0"/>
  </r>
  <r>
    <x v="26"/>
    <x v="20"/>
    <x v="122"/>
    <s v="Oklahoma State"/>
    <n v="4"/>
    <n v="214"/>
    <n v="2674"/>
    <n v="835"/>
    <n v="648"/>
    <n v="114"/>
    <n v="0.45600000000000002"/>
    <n v="0.25600000000000001"/>
    <n v="0.67600000000000005"/>
    <n v="3.9"/>
    <n v="6.9000000000000006E-2"/>
    <n v="1992"/>
    <n v="12.5"/>
    <n v="3.9"/>
    <n v="3"/>
    <n v="0.5"/>
    <x v="0"/>
    <x v="26"/>
    <n v="0"/>
  </r>
  <r>
    <x v="27"/>
    <x v="5"/>
    <x v="123"/>
    <s v="Texas-El Paso"/>
    <n v="2"/>
    <n v="98"/>
    <n v="1146"/>
    <n v="479"/>
    <n v="363"/>
    <n v="22"/>
    <n v="0.54200000000000004"/>
    <n v="0"/>
    <n v="0.68500000000000005"/>
    <n v="2.6"/>
    <n v="0.109"/>
    <n v="1992"/>
    <n v="11.7"/>
    <n v="4.9000000000000004"/>
    <n v="3.7"/>
    <n v="0.2"/>
    <x v="1"/>
    <x v="0"/>
    <n v="0"/>
  </r>
  <r>
    <x v="28"/>
    <x v="0"/>
    <x v="124"/>
    <s v="Louisiana Tech"/>
    <n v="15"/>
    <n v="1089"/>
    <n v="33823"/>
    <n v="9870"/>
    <n v="8409"/>
    <n v="1661"/>
    <n v="0.46"/>
    <n v="0.13600000000000001"/>
    <n v="0.79400000000000004"/>
    <n v="89.8"/>
    <n v="0.128"/>
    <n v="1992"/>
    <n v="31.1"/>
    <n v="9.1"/>
    <n v="7.7"/>
    <n v="1.5"/>
    <x v="1"/>
    <x v="1"/>
    <n v="1"/>
  </r>
  <r>
    <x v="29"/>
    <x v="26"/>
    <x v="125"/>
    <s v="Arizona"/>
    <n v="12"/>
    <n v="749"/>
    <n v="13560"/>
    <n v="4676"/>
    <n v="2877"/>
    <n v="631"/>
    <n v="0.45900000000000002"/>
    <n v="9.0999999999999998E-2"/>
    <n v="0.69899999999999995"/>
    <n v="16.2"/>
    <n v="5.7000000000000002E-2"/>
    <n v="1992"/>
    <n v="18.100000000000001"/>
    <n v="6.2"/>
    <n v="3.8"/>
    <n v="0.8"/>
    <x v="1"/>
    <x v="2"/>
    <n v="1"/>
  </r>
  <r>
    <x v="30"/>
    <x v="17"/>
    <x v="126"/>
    <s v="TCU"/>
    <n v="2"/>
    <n v="66"/>
    <n v="384"/>
    <n v="99"/>
    <n v="120"/>
    <n v="5"/>
    <n v="0.39400000000000002"/>
    <n v="0"/>
    <n v="0.40400000000000003"/>
    <n v="0.4"/>
    <n v="5.0999999999999997E-2"/>
    <n v="1992"/>
    <n v="5.8"/>
    <n v="1.5"/>
    <n v="1.8"/>
    <n v="0.1"/>
    <x v="1"/>
    <x v="3"/>
    <n v="0"/>
  </r>
  <r>
    <x v="31"/>
    <x v="23"/>
    <x v="127"/>
    <s v="Oklahoma"/>
    <n v="9"/>
    <n v="418"/>
    <n v="7007"/>
    <n v="2481"/>
    <n v="684"/>
    <n v="1236"/>
    <n v="0.42599999999999999"/>
    <n v="0.38700000000000001"/>
    <n v="0.82399999999999995"/>
    <n v="12"/>
    <n v="8.2000000000000003E-2"/>
    <n v="1992"/>
    <n v="16.8"/>
    <n v="5.9"/>
    <n v="1.6"/>
    <n v="3"/>
    <x v="1"/>
    <x v="4"/>
    <n v="1"/>
  </r>
  <r>
    <x v="32"/>
    <x v="20"/>
    <x v="128"/>
    <s v="Oklahoma State"/>
    <n v="2"/>
    <n v="39"/>
    <n v="288"/>
    <n v="92"/>
    <n v="37"/>
    <n v="29"/>
    <n v="0.36699999999999999"/>
    <n v="0.25"/>
    <n v="0.82599999999999996"/>
    <n v="0.2"/>
    <n v="3.6999999999999998E-2"/>
    <n v="1992"/>
    <n v="7.4"/>
    <n v="2.4"/>
    <n v="0.9"/>
    <n v="0.7"/>
    <x v="1"/>
    <x v="5"/>
    <n v="0"/>
  </r>
  <r>
    <x v="33"/>
    <x v="5"/>
    <x v="129"/>
    <s v="UConn"/>
    <n v="3"/>
    <n v="224"/>
    <n v="3956"/>
    <n v="1140"/>
    <n v="291"/>
    <n v="627"/>
    <n v="0.435"/>
    <n v="0.36599999999999999"/>
    <n v="0.71299999999999997"/>
    <n v="3.2"/>
    <n v="3.9E-2"/>
    <n v="1992"/>
    <n v="17.7"/>
    <n v="5.0999999999999996"/>
    <n v="1.3"/>
    <n v="2.8"/>
    <x v="1"/>
    <x v="6"/>
    <n v="0"/>
  </r>
  <r>
    <x v="34"/>
    <x v="4"/>
    <x v="130"/>
    <s v="Green Bay"/>
    <n v="3"/>
    <n v="152"/>
    <n v="1886"/>
    <n v="538"/>
    <n v="155"/>
    <n v="303"/>
    <n v="0.41199999999999998"/>
    <n v="0.33500000000000002"/>
    <n v="0.73199999999999998"/>
    <n v="1.6"/>
    <n v="4.1000000000000002E-2"/>
    <n v="1992"/>
    <n v="12.4"/>
    <n v="3.5"/>
    <n v="1"/>
    <n v="2"/>
    <x v="1"/>
    <x v="7"/>
    <n v="0"/>
  </r>
  <r>
    <x v="35"/>
    <x v="19"/>
    <x v="131"/>
    <s v="USC"/>
    <n v="2"/>
    <n v="88"/>
    <n v="781"/>
    <n v="204"/>
    <n v="59"/>
    <n v="178"/>
    <n v="0.40200000000000002"/>
    <n v="0.216"/>
    <n v="0.72"/>
    <n v="-0.5"/>
    <n v="-3.2000000000000001E-2"/>
    <n v="1992"/>
    <n v="8.9"/>
    <n v="2.2999999999999998"/>
    <n v="0.7"/>
    <n v="2"/>
    <x v="1"/>
    <x v="8"/>
    <n v="0"/>
  </r>
  <r>
    <x v="36"/>
    <x v="8"/>
    <x v="132"/>
    <s v="Arkansas"/>
    <n v="1"/>
    <n v="25"/>
    <n v="102"/>
    <n v="55"/>
    <n v="12"/>
    <n v="4"/>
    <n v="0.45600000000000002"/>
    <n v="0"/>
    <n v="0.75"/>
    <n v="0"/>
    <n v="-2.1999999999999999E-2"/>
    <n v="1992"/>
    <n v="4.0999999999999996"/>
    <n v="2.2000000000000002"/>
    <n v="0.5"/>
    <n v="0.2"/>
    <x v="1"/>
    <x v="9"/>
    <n v="0"/>
  </r>
  <r>
    <x v="37"/>
    <x v="9"/>
    <x v="133"/>
    <s v="Notre Dame"/>
    <n v="3"/>
    <n v="21"/>
    <n v="159"/>
    <n v="48"/>
    <n v="10"/>
    <n v="22"/>
    <n v="0.34"/>
    <n v="0.27300000000000002"/>
    <n v="0.72199999999999998"/>
    <n v="-0.3"/>
    <n v="-9.5000000000000001E-2"/>
    <n v="1992"/>
    <n v="7.6"/>
    <n v="2.2999999999999998"/>
    <n v="0.5"/>
    <n v="1"/>
    <x v="1"/>
    <x v="10"/>
    <n v="0"/>
  </r>
  <r>
    <x v="38"/>
    <x v="20"/>
    <x v="134"/>
    <s v="Georgia"/>
    <n v="5"/>
    <n v="148"/>
    <n v="1189"/>
    <n v="423"/>
    <n v="75"/>
    <n v="182"/>
    <n v="0.42"/>
    <n v="7.6999999999999999E-2"/>
    <n v="0.66500000000000004"/>
    <n v="1.6"/>
    <n v="6.6000000000000003E-2"/>
    <n v="1992"/>
    <n v="8"/>
    <n v="2.9"/>
    <n v="0.5"/>
    <n v="1.2"/>
    <x v="1"/>
    <x v="11"/>
    <n v="0"/>
  </r>
  <r>
    <x v="40"/>
    <x v="11"/>
    <x v="135"/>
    <s v="Murray State"/>
    <n v="11"/>
    <n v="535"/>
    <n v="12579"/>
    <n v="3726"/>
    <n v="3981"/>
    <n v="696"/>
    <n v="0.44700000000000001"/>
    <n v="0.28100000000000003"/>
    <n v="0.751"/>
    <n v="22"/>
    <n v="8.4000000000000005E-2"/>
    <n v="1992"/>
    <n v="23.5"/>
    <n v="7"/>
    <n v="7.4"/>
    <n v="1.3"/>
    <x v="1"/>
    <x v="13"/>
    <n v="1"/>
  </r>
  <r>
    <x v="41"/>
    <x v="8"/>
    <x v="136"/>
    <s v="Georgia Tech"/>
    <n v="10"/>
    <n v="552"/>
    <n v="12221"/>
    <n v="5059"/>
    <n v="3158"/>
    <n v="388"/>
    <n v="0.499"/>
    <n v="0.23200000000000001"/>
    <n v="0.72799999999999998"/>
    <n v="28.4"/>
    <n v="0.112"/>
    <n v="1992"/>
    <n v="22.1"/>
    <n v="9.1999999999999993"/>
    <n v="5.7"/>
    <n v="0.7"/>
    <x v="1"/>
    <x v="14"/>
    <n v="1"/>
  </r>
  <r>
    <x v="42"/>
    <x v="10"/>
    <x v="137"/>
    <s v="NA"/>
    <n v="2"/>
    <n v="75"/>
    <n v="2331"/>
    <n v="957"/>
    <n v="182"/>
    <n v="149"/>
    <n v="0.439"/>
    <n v="0.379"/>
    <n v="0.78900000000000003"/>
    <n v="4.2"/>
    <n v="8.6999999999999994E-2"/>
    <n v="1992"/>
    <n v="31.1"/>
    <n v="12.8"/>
    <n v="2.4"/>
    <n v="2"/>
    <x v="1"/>
    <x v="15"/>
    <n v="0"/>
  </r>
  <r>
    <x v="44"/>
    <x v="1"/>
    <x v="138"/>
    <s v="Wake Forest"/>
    <n v="3"/>
    <n v="103"/>
    <n v="2058"/>
    <n v="693"/>
    <n v="311"/>
    <n v="116"/>
    <n v="0.42299999999999999"/>
    <n v="0.38300000000000001"/>
    <n v="0.63300000000000001"/>
    <n v="1"/>
    <n v="2.3E-2"/>
    <n v="1992"/>
    <n v="20"/>
    <n v="6.7"/>
    <n v="3"/>
    <n v="1.1000000000000001"/>
    <x v="1"/>
    <x v="17"/>
    <n v="0"/>
  </r>
  <r>
    <x v="45"/>
    <x v="2"/>
    <x v="139"/>
    <s v="St. John's"/>
    <n v="3"/>
    <n v="47"/>
    <n v="273"/>
    <n v="101"/>
    <n v="81"/>
    <n v="9"/>
    <n v="0.378"/>
    <n v="0"/>
    <n v="0.57399999999999995"/>
    <n v="0.1"/>
    <n v="2.5999999999999999E-2"/>
    <n v="1992"/>
    <n v="5.8"/>
    <n v="2.1"/>
    <n v="1.7"/>
    <n v="0.2"/>
    <x v="1"/>
    <x v="18"/>
    <n v="0"/>
  </r>
  <r>
    <x v="46"/>
    <x v="14"/>
    <x v="140"/>
    <s v="Pitt"/>
    <n v="1"/>
    <n v="23"/>
    <n v="367"/>
    <n v="96"/>
    <n v="81"/>
    <n v="15"/>
    <n v="0.47599999999999998"/>
    <n v="0"/>
    <n v="0.6"/>
    <n v="0.4"/>
    <n v="4.8000000000000001E-2"/>
    <n v="1992"/>
    <n v="16"/>
    <n v="4.2"/>
    <n v="3.5"/>
    <n v="0.7"/>
    <x v="1"/>
    <x v="19"/>
    <n v="0"/>
  </r>
  <r>
    <x v="47"/>
    <x v="15"/>
    <x v="141"/>
    <s v="Duke"/>
    <n v="1"/>
    <n v="68"/>
    <n v="374"/>
    <n v="131"/>
    <n v="55"/>
    <n v="22"/>
    <n v="0.317"/>
    <n v="0.33300000000000002"/>
    <n v="0.73499999999999999"/>
    <n v="0"/>
    <n v="0"/>
    <n v="1992"/>
    <n v="5.5"/>
    <n v="1.9"/>
    <n v="0.8"/>
    <n v="0.3"/>
    <x v="1"/>
    <x v="20"/>
    <n v="0"/>
  </r>
  <r>
    <x v="48"/>
    <x v="10"/>
    <x v="142"/>
    <s v="UNC Wilmington"/>
    <n v="3"/>
    <n v="50"/>
    <n v="512"/>
    <n v="177"/>
    <n v="110"/>
    <n v="25"/>
    <n v="0.5"/>
    <n v="0"/>
    <n v="0.625"/>
    <n v="0.6"/>
    <n v="5.8000000000000003E-2"/>
    <n v="1992"/>
    <n v="10.199999999999999"/>
    <n v="3.5"/>
    <n v="2.2000000000000002"/>
    <n v="0.5"/>
    <x v="1"/>
    <x v="22"/>
    <n v="0"/>
  </r>
  <r>
    <x v="50"/>
    <x v="20"/>
    <x v="143"/>
    <s v="Michigan State"/>
    <n v="1"/>
    <n v="2"/>
    <n v="12"/>
    <n v="3"/>
    <n v="3"/>
    <n v="2"/>
    <n v="0.25"/>
    <n v="0"/>
    <n v="0.5"/>
    <n v="0"/>
    <n v="-0.126"/>
    <n v="1992"/>
    <n v="6"/>
    <n v="1.5"/>
    <n v="1.5"/>
    <n v="1"/>
    <x v="1"/>
    <x v="24"/>
    <n v="0"/>
  </r>
  <r>
    <x v="0"/>
    <x v="3"/>
    <x v="144"/>
    <s v="Michigan"/>
    <n v="15"/>
    <n v="831"/>
    <n v="30847"/>
    <n v="17182"/>
    <n v="8124"/>
    <n v="3526"/>
    <n v="0.47899999999999998"/>
    <n v="0.29899999999999999"/>
    <n v="0.64900000000000002"/>
    <n v="84.7"/>
    <n v="0.13200000000000001"/>
    <n v="1993"/>
    <n v="37.1"/>
    <n v="20.7"/>
    <n v="9.8000000000000007"/>
    <n v="4.2"/>
    <x v="0"/>
    <x v="0"/>
    <n v="1"/>
  </r>
  <r>
    <x v="1"/>
    <x v="21"/>
    <x v="145"/>
    <s v="BYU"/>
    <n v="12"/>
    <n v="832"/>
    <n v="19531"/>
    <n v="6752"/>
    <n v="5268"/>
    <n v="573"/>
    <n v="0.45700000000000002"/>
    <n v="0.10299999999999999"/>
    <n v="0.71599999999999997"/>
    <n v="40.700000000000003"/>
    <n v="0.1"/>
    <n v="1993"/>
    <n v="23.5"/>
    <n v="8.1"/>
    <n v="6.3"/>
    <n v="0.7"/>
    <x v="0"/>
    <x v="1"/>
    <n v="1"/>
  </r>
  <r>
    <x v="2"/>
    <x v="10"/>
    <x v="146"/>
    <s v="Memphis"/>
    <n v="14"/>
    <n v="704"/>
    <n v="23711"/>
    <n v="10684"/>
    <n v="3146"/>
    <n v="3525"/>
    <n v="0.45800000000000002"/>
    <n v="0.316"/>
    <n v="0.77400000000000002"/>
    <n v="61.9"/>
    <n v="0.125"/>
    <n v="1993"/>
    <n v="33.700000000000003"/>
    <n v="15.2"/>
    <n v="4.5"/>
    <n v="5"/>
    <x v="0"/>
    <x v="2"/>
    <n v="1"/>
  </r>
  <r>
    <x v="3"/>
    <x v="26"/>
    <x v="147"/>
    <s v="Kentucky"/>
    <n v="11"/>
    <n v="611"/>
    <n v="22762"/>
    <n v="11644"/>
    <n v="3271"/>
    <n v="2414"/>
    <n v="0.41799999999999998"/>
    <n v="0.34499999999999997"/>
    <n v="0.76600000000000001"/>
    <n v="43.7"/>
    <n v="9.1999999999999998E-2"/>
    <n v="1993"/>
    <n v="37.299999999999997"/>
    <n v="19.100000000000001"/>
    <n v="5.4"/>
    <n v="4"/>
    <x v="0"/>
    <x v="3"/>
    <n v="1"/>
  </r>
  <r>
    <x v="4"/>
    <x v="5"/>
    <x v="148"/>
    <s v="UNLV"/>
    <n v="9"/>
    <n v="563"/>
    <n v="17851"/>
    <n v="9405"/>
    <n v="2166"/>
    <n v="1535"/>
    <n v="0.443"/>
    <n v="0.35199999999999998"/>
    <n v="0.81200000000000006"/>
    <n v="22.8"/>
    <n v="6.0999999999999999E-2"/>
    <n v="1993"/>
    <n v="31.7"/>
    <n v="16.7"/>
    <n v="3.8"/>
    <n v="2.7"/>
    <x v="0"/>
    <x v="4"/>
    <n v="1"/>
  </r>
  <r>
    <x v="5"/>
    <x v="23"/>
    <x v="149"/>
    <s v="Indiana"/>
    <n v="13"/>
    <n v="825"/>
    <n v="22007"/>
    <n v="7826"/>
    <n v="2610"/>
    <n v="1398"/>
    <n v="0.46600000000000003"/>
    <n v="0.29799999999999999"/>
    <n v="0.69099999999999995"/>
    <n v="23.1"/>
    <n v="0.05"/>
    <n v="1993"/>
    <n v="26.7"/>
    <n v="9.5"/>
    <n v="3.2"/>
    <n v="1.7"/>
    <x v="0"/>
    <x v="5"/>
    <n v="1"/>
  </r>
  <r>
    <x v="6"/>
    <x v="6"/>
    <x v="150"/>
    <s v="Duke"/>
    <n v="5"/>
    <n v="269"/>
    <n v="4170"/>
    <n v="1032"/>
    <n v="283"/>
    <n v="880"/>
    <n v="0.35299999999999998"/>
    <n v="0.27200000000000002"/>
    <n v="0.76900000000000002"/>
    <n v="-1.2"/>
    <n v="-1.4E-2"/>
    <n v="1993"/>
    <n v="15.5"/>
    <n v="3.8"/>
    <n v="1.1000000000000001"/>
    <n v="3.3"/>
    <x v="0"/>
    <x v="6"/>
    <n v="0"/>
  </r>
  <r>
    <x v="7"/>
    <x v="12"/>
    <x v="151"/>
    <s v="University of Hartford"/>
    <n v="13"/>
    <n v="791"/>
    <n v="25737"/>
    <n v="11839"/>
    <n v="5867"/>
    <n v="1509"/>
    <n v="0.48499999999999999"/>
    <n v="0.215"/>
    <n v="0.63800000000000001"/>
    <n v="47"/>
    <n v="8.7999999999999995E-2"/>
    <n v="1993"/>
    <n v="32.5"/>
    <n v="15"/>
    <n v="7.4"/>
    <n v="1.9"/>
    <x v="0"/>
    <x v="7"/>
    <n v="1"/>
  </r>
  <r>
    <x v="8"/>
    <x v="2"/>
    <x v="152"/>
    <s v="Wake Forest"/>
    <n v="12"/>
    <n v="866"/>
    <n v="21873"/>
    <n v="9468"/>
    <n v="3881"/>
    <n v="1722"/>
    <n v="0.45100000000000001"/>
    <n v="0.34699999999999998"/>
    <n v="0.69"/>
    <n v="38.799999999999997"/>
    <n v="8.5000000000000006E-2"/>
    <n v="1993"/>
    <n v="25.3"/>
    <n v="10.9"/>
    <n v="4.5"/>
    <n v="2"/>
    <x v="0"/>
    <x v="8"/>
    <n v="1"/>
  </r>
  <r>
    <x v="9"/>
    <x v="18"/>
    <x v="153"/>
    <s v="Jackson State University"/>
    <n v="17"/>
    <n v="937"/>
    <n v="23253"/>
    <n v="7956"/>
    <n v="2021"/>
    <n v="2506"/>
    <n v="0.38800000000000001"/>
    <n v="0.36"/>
    <n v="0.746"/>
    <n v="32.9"/>
    <n v="6.8000000000000005E-2"/>
    <n v="1993"/>
    <n v="24.8"/>
    <n v="8.5"/>
    <n v="2.2000000000000002"/>
    <n v="2.7"/>
    <x v="0"/>
    <x v="9"/>
    <n v="1"/>
  </r>
  <r>
    <x v="10"/>
    <x v="18"/>
    <x v="154"/>
    <s v="Tennessee"/>
    <n v="12"/>
    <n v="839"/>
    <n v="28311"/>
    <n v="14551"/>
    <n v="2434"/>
    <n v="1990"/>
    <n v="0.44400000000000001"/>
    <n v="0.40200000000000002"/>
    <n v="0.86299999999999999"/>
    <n v="55.3"/>
    <n v="9.4E-2"/>
    <n v="1993"/>
    <n v="33.700000000000003"/>
    <n v="17.3"/>
    <n v="2.9"/>
    <n v="2.4"/>
    <x v="0"/>
    <x v="10"/>
    <n v="1"/>
  </r>
  <r>
    <x v="11"/>
    <x v="19"/>
    <x v="155"/>
    <s v="UNC"/>
    <n v="12"/>
    <n v="774"/>
    <n v="17683"/>
    <n v="5109"/>
    <n v="3902"/>
    <n v="1121"/>
    <n v="0.44600000000000001"/>
    <n v="0.30599999999999999"/>
    <n v="0.65200000000000002"/>
    <n v="32.299999999999997"/>
    <n v="8.7999999999999995E-2"/>
    <n v="1993"/>
    <n v="22.8"/>
    <n v="6.6"/>
    <n v="5"/>
    <n v="1.4"/>
    <x v="0"/>
    <x v="11"/>
    <n v="1"/>
  </r>
  <r>
    <x v="12"/>
    <x v="7"/>
    <x v="156"/>
    <s v="Seton Hall"/>
    <n v="6"/>
    <n v="402"/>
    <n v="7305"/>
    <n v="3235"/>
    <n v="588"/>
    <n v="1034"/>
    <n v="0.41099999999999998"/>
    <n v="0.378"/>
    <n v="0.77900000000000003"/>
    <n v="7.3"/>
    <n v="4.8000000000000001E-2"/>
    <n v="1993"/>
    <n v="18.2"/>
    <n v="8"/>
    <n v="1.5"/>
    <n v="2.6"/>
    <x v="0"/>
    <x v="12"/>
    <n v="1"/>
  </r>
  <r>
    <x v="13"/>
    <x v="24"/>
    <x v="157"/>
    <s v="Oregon State"/>
    <n v="1"/>
    <n v="27"/>
    <n v="186"/>
    <n v="55"/>
    <n v="55"/>
    <n v="6"/>
    <n v="0.46700000000000003"/>
    <n v="0"/>
    <n v="0.68400000000000005"/>
    <n v="0.3"/>
    <n v="8.6999999999999994E-2"/>
    <n v="1993"/>
    <n v="6.9"/>
    <n v="2"/>
    <n v="2"/>
    <n v="0.2"/>
    <x v="0"/>
    <x v="13"/>
    <n v="0"/>
  </r>
  <r>
    <x v="14"/>
    <x v="9"/>
    <x v="158"/>
    <s v="Florida State"/>
    <n v="3"/>
    <n v="85"/>
    <n v="838"/>
    <n v="203"/>
    <n v="153"/>
    <n v="60"/>
    <n v="0.378"/>
    <n v="0"/>
    <n v="0.70899999999999996"/>
    <n v="0.2"/>
    <n v="1.2999999999999999E-2"/>
    <n v="1993"/>
    <n v="9.9"/>
    <n v="2.4"/>
    <n v="1.8"/>
    <n v="0.7"/>
    <x v="0"/>
    <x v="14"/>
    <n v="0"/>
  </r>
  <r>
    <x v="15"/>
    <x v="0"/>
    <x v="159"/>
    <s v="Kansas"/>
    <n v="7"/>
    <n v="335"/>
    <n v="4602"/>
    <n v="1547"/>
    <n v="403"/>
    <n v="569"/>
    <n v="0.441"/>
    <n v="0.36099999999999999"/>
    <n v="0.80900000000000005"/>
    <n v="6.3"/>
    <n v="6.6000000000000003E-2"/>
    <n v="1993"/>
    <n v="13.7"/>
    <n v="4.5999999999999996"/>
    <n v="1.2"/>
    <n v="1.7"/>
    <x v="0"/>
    <x v="15"/>
    <n v="1"/>
  </r>
  <r>
    <x v="16"/>
    <x v="4"/>
    <x v="160"/>
    <s v="Indiana"/>
    <n v="5"/>
    <n v="207"/>
    <n v="2530"/>
    <n v="938"/>
    <n v="219"/>
    <n v="201"/>
    <n v="0.40699999999999997"/>
    <n v="0.28999999999999998"/>
    <n v="0.77500000000000002"/>
    <n v="1.3"/>
    <n v="2.5000000000000001E-2"/>
    <n v="1993"/>
    <n v="12.2"/>
    <n v="4.5"/>
    <n v="1.1000000000000001"/>
    <n v="1"/>
    <x v="0"/>
    <x v="16"/>
    <n v="0"/>
  </r>
  <r>
    <x v="17"/>
    <x v="22"/>
    <x v="161"/>
    <s v="Seton Hall"/>
    <n v="1"/>
    <n v="15"/>
    <n v="92"/>
    <n v="19"/>
    <n v="10"/>
    <n v="0"/>
    <n v="0.34799999999999998"/>
    <n v="0"/>
    <n v="0.75"/>
    <n v="-0.1"/>
    <n v="-6.4000000000000001E-2"/>
    <n v="1993"/>
    <n v="6.1"/>
    <n v="1.3"/>
    <n v="0.7"/>
    <n v="0"/>
    <x v="0"/>
    <x v="17"/>
    <n v="0"/>
  </r>
  <r>
    <x v="18"/>
    <x v="14"/>
    <x v="162"/>
    <s v="Iowa"/>
    <n v="4"/>
    <n v="193"/>
    <n v="2512"/>
    <n v="980"/>
    <n v="517"/>
    <n v="61"/>
    <n v="0.40300000000000002"/>
    <n v="0"/>
    <n v="0.66700000000000004"/>
    <n v="0.3"/>
    <n v="5.0000000000000001E-3"/>
    <n v="1993"/>
    <n v="13"/>
    <n v="5.0999999999999996"/>
    <n v="2.7"/>
    <n v="0.3"/>
    <x v="0"/>
    <x v="18"/>
    <n v="0"/>
  </r>
  <r>
    <x v="19"/>
    <x v="4"/>
    <x v="163"/>
    <s v="UConn"/>
    <n v="8"/>
    <n v="383"/>
    <n v="7592"/>
    <n v="2647"/>
    <n v="1332"/>
    <n v="527"/>
    <n v="0.41799999999999998"/>
    <n v="0.373"/>
    <n v="0.72299999999999998"/>
    <n v="16.399999999999999"/>
    <n v="0.104"/>
    <n v="1993"/>
    <n v="19.8"/>
    <n v="6.9"/>
    <n v="3.5"/>
    <n v="1.4"/>
    <x v="0"/>
    <x v="19"/>
    <n v="1"/>
  </r>
  <r>
    <x v="20"/>
    <x v="17"/>
    <x v="164"/>
    <s v="Alabama"/>
    <n v="7"/>
    <n v="381"/>
    <n v="6935"/>
    <n v="2882"/>
    <n v="660"/>
    <n v="715"/>
    <n v="0.39400000000000002"/>
    <n v="0.34799999999999998"/>
    <n v="0.66600000000000004"/>
    <n v="5.8"/>
    <n v="0.04"/>
    <n v="1993"/>
    <n v="18.2"/>
    <n v="7.6"/>
    <n v="1.7"/>
    <n v="1.9"/>
    <x v="0"/>
    <x v="20"/>
    <n v="1"/>
  </r>
  <r>
    <x v="21"/>
    <x v="25"/>
    <x v="165"/>
    <s v="Arizona"/>
    <n v="10"/>
    <n v="568"/>
    <n v="17282"/>
    <n v="6357"/>
    <n v="2808"/>
    <n v="1063"/>
    <n v="0.432"/>
    <n v="0.35099999999999998"/>
    <n v="0.81699999999999995"/>
    <n v="37.700000000000003"/>
    <n v="0.105"/>
    <n v="1993"/>
    <n v="30.4"/>
    <n v="11.2"/>
    <n v="4.9000000000000004"/>
    <n v="1.9"/>
    <x v="0"/>
    <x v="21"/>
    <n v="1"/>
  </r>
  <r>
    <x v="22"/>
    <x v="1"/>
    <x v="166"/>
    <s v="New Orleans"/>
    <n v="13"/>
    <n v="845"/>
    <n v="16989"/>
    <n v="3473"/>
    <n v="5148"/>
    <n v="387"/>
    <n v="0.505"/>
    <n v="0.2"/>
    <n v="0.60499999999999998"/>
    <n v="37.799999999999997"/>
    <n v="0.107"/>
    <n v="1993"/>
    <n v="20.100000000000001"/>
    <n v="4.0999999999999996"/>
    <n v="6.1"/>
    <n v="0.5"/>
    <x v="0"/>
    <x v="22"/>
    <n v="1"/>
  </r>
  <r>
    <x v="23"/>
    <x v="11"/>
    <x v="167"/>
    <s v="Florida State"/>
    <n v="15"/>
    <n v="993"/>
    <n v="29812"/>
    <n v="15635"/>
    <n v="3221"/>
    <n v="5939"/>
    <n v="0.45400000000000001"/>
    <n v="0.33100000000000002"/>
    <n v="0.86099999999999999"/>
    <n v="87.5"/>
    <n v="0.14099999999999999"/>
    <n v="1993"/>
    <n v="30"/>
    <n v="15.7"/>
    <n v="3.2"/>
    <n v="6"/>
    <x v="0"/>
    <x v="23"/>
    <n v="1"/>
  </r>
  <r>
    <x v="24"/>
    <x v="20"/>
    <x v="168"/>
    <s v="Cincinnati"/>
    <n v="11"/>
    <n v="644"/>
    <n v="9925"/>
    <n v="2287"/>
    <n v="2690"/>
    <n v="460"/>
    <n v="0.47099999999999997"/>
    <n v="0.115"/>
    <n v="0.58699999999999997"/>
    <n v="18.2"/>
    <n v="8.7999999999999995E-2"/>
    <n v="1993"/>
    <n v="15.4"/>
    <n v="3.6"/>
    <n v="4.2"/>
    <n v="0.7"/>
    <x v="0"/>
    <x v="24"/>
    <n v="1"/>
  </r>
  <r>
    <x v="25"/>
    <x v="3"/>
    <x v="169"/>
    <s v="LSU"/>
    <n v="3"/>
    <n v="8"/>
    <n v="27"/>
    <n v="14"/>
    <n v="7"/>
    <n v="2"/>
    <n v="0.4"/>
    <n v="0"/>
    <n v="0.66700000000000004"/>
    <n v="0.1"/>
    <n v="8.8999999999999996E-2"/>
    <n v="1993"/>
    <n v="3.4"/>
    <n v="1.8"/>
    <n v="0.9"/>
    <n v="0.3"/>
    <x v="0"/>
    <x v="25"/>
    <n v="0"/>
  </r>
  <r>
    <x v="26"/>
    <x v="15"/>
    <x v="170"/>
    <s v="Georgia Tech"/>
    <n v="1"/>
    <n v="22"/>
    <n v="69"/>
    <n v="32"/>
    <n v="24"/>
    <n v="1"/>
    <n v="0.378"/>
    <n v="0"/>
    <n v="0.5"/>
    <n v="0.1"/>
    <n v="3.5999999999999997E-2"/>
    <n v="1993"/>
    <n v="3.1"/>
    <n v="1.5"/>
    <n v="1.1000000000000001"/>
    <n v="0"/>
    <x v="0"/>
    <x v="26"/>
    <n v="0"/>
  </r>
  <r>
    <x v="27"/>
    <x v="26"/>
    <x v="171"/>
    <s v="Cal State Long Beach"/>
    <n v="12"/>
    <n v="800"/>
    <n v="15701"/>
    <n v="5784"/>
    <n v="1864"/>
    <n v="1130"/>
    <n v="0.42599999999999999"/>
    <n v="0.34799999999999998"/>
    <n v="0.79"/>
    <n v="28.7"/>
    <n v="8.7999999999999995E-2"/>
    <n v="1993"/>
    <n v="19.600000000000001"/>
    <n v="7.2"/>
    <n v="2.2999999999999998"/>
    <n v="1.4"/>
    <x v="1"/>
    <x v="0"/>
    <n v="1"/>
  </r>
  <r>
    <x v="29"/>
    <x v="23"/>
    <x v="172"/>
    <s v="NA"/>
    <n v="6"/>
    <n v="307"/>
    <n v="6729"/>
    <n v="3020"/>
    <n v="1957"/>
    <n v="150"/>
    <n v="0.57299999999999995"/>
    <n v="0"/>
    <n v="0.64400000000000002"/>
    <n v="19"/>
    <n v="0.13600000000000001"/>
    <n v="1993"/>
    <n v="21.9"/>
    <n v="9.8000000000000007"/>
    <n v="6.4"/>
    <n v="0.5"/>
    <x v="1"/>
    <x v="2"/>
    <n v="1"/>
  </r>
  <r>
    <x v="30"/>
    <x v="6"/>
    <x v="173"/>
    <s v="Maryland"/>
    <n v="1"/>
    <n v="23"/>
    <n v="143"/>
    <n v="56"/>
    <n v="30"/>
    <n v="9"/>
    <n v="0.4"/>
    <n v="0"/>
    <n v="0.52200000000000002"/>
    <n v="0.1"/>
    <n v="0.02"/>
    <n v="1993"/>
    <n v="6.2"/>
    <n v="2.4"/>
    <n v="1.3"/>
    <n v="0.4"/>
    <x v="1"/>
    <x v="3"/>
    <n v="0"/>
  </r>
  <r>
    <x v="31"/>
    <x v="21"/>
    <x v="174"/>
    <s v="Mississippi Valley State University"/>
    <n v="2"/>
    <n v="11"/>
    <n v="114"/>
    <n v="35"/>
    <n v="20"/>
    <n v="10"/>
    <n v="0.308"/>
    <n v="0.1"/>
    <n v="0.5"/>
    <n v="-0.4"/>
    <n v="-0.153"/>
    <n v="1993"/>
    <n v="10.4"/>
    <n v="3.2"/>
    <n v="1.8"/>
    <n v="0.9"/>
    <x v="1"/>
    <x v="4"/>
    <n v="0"/>
  </r>
  <r>
    <x v="32"/>
    <x v="26"/>
    <x v="175"/>
    <s v="Michigan"/>
    <n v="5"/>
    <n v="186"/>
    <n v="1844"/>
    <n v="574"/>
    <n v="479"/>
    <n v="60"/>
    <n v="0.45600000000000002"/>
    <n v="0"/>
    <n v="0.70399999999999996"/>
    <n v="2.5"/>
    <n v="6.6000000000000003E-2"/>
    <n v="1993"/>
    <n v="9.9"/>
    <n v="3.1"/>
    <n v="2.6"/>
    <n v="0.3"/>
    <x v="1"/>
    <x v="5"/>
    <n v="0"/>
  </r>
  <r>
    <x v="33"/>
    <x v="10"/>
    <x v="176"/>
    <s v="Western Kentucky"/>
    <n v="2"/>
    <n v="40"/>
    <n v="293"/>
    <n v="76"/>
    <n v="36"/>
    <n v="18"/>
    <n v="0.312"/>
    <n v="0.222"/>
    <n v="0.44400000000000001"/>
    <n v="-0.1"/>
    <n v="-0.02"/>
    <n v="1993"/>
    <n v="7.3"/>
    <n v="1.9"/>
    <n v="0.9"/>
    <n v="0.5"/>
    <x v="1"/>
    <x v="6"/>
    <n v="0"/>
  </r>
  <r>
    <x v="34"/>
    <x v="8"/>
    <x v="177"/>
    <s v="Arizona"/>
    <n v="1"/>
    <n v="4"/>
    <n v="17"/>
    <n v="3"/>
    <n v="4"/>
    <n v="1"/>
    <n v="0.33300000000000002"/>
    <n v="0"/>
    <n v="0.5"/>
    <n v="0"/>
    <n v="-7.6999999999999999E-2"/>
    <n v="1993"/>
    <n v="4.3"/>
    <n v="0.8"/>
    <n v="1"/>
    <n v="0.3"/>
    <x v="1"/>
    <x v="7"/>
    <n v="0"/>
  </r>
  <r>
    <x v="36"/>
    <x v="19"/>
    <x v="178"/>
    <s v="Cincinnati"/>
    <n v="13"/>
    <n v="880"/>
    <n v="28969"/>
    <n v="12658"/>
    <n v="2545"/>
    <n v="5777"/>
    <n v="0.40500000000000003"/>
    <n v="0.35699999999999998"/>
    <n v="0.79400000000000004"/>
    <n v="55.9"/>
    <n v="9.2999999999999999E-2"/>
    <n v="1993"/>
    <n v="32.9"/>
    <n v="14.4"/>
    <n v="2.9"/>
    <n v="6.6"/>
    <x v="1"/>
    <x v="9"/>
    <n v="1"/>
  </r>
  <r>
    <x v="39"/>
    <x v="9"/>
    <x v="179"/>
    <s v="Washington"/>
    <n v="2"/>
    <n v="55"/>
    <n v="512"/>
    <n v="182"/>
    <n v="94"/>
    <n v="10"/>
    <n v="0.41499999999999998"/>
    <n v="0.4"/>
    <n v="0.64300000000000002"/>
    <n v="-0.3"/>
    <n v="-2.8000000000000001E-2"/>
    <n v="1993"/>
    <n v="9.3000000000000007"/>
    <n v="3.3"/>
    <n v="1.7"/>
    <n v="0.2"/>
    <x v="1"/>
    <x v="12"/>
    <n v="0"/>
  </r>
  <r>
    <x v="41"/>
    <x v="1"/>
    <x v="180"/>
    <s v="Kansas"/>
    <n v="2"/>
    <n v="10"/>
    <n v="97"/>
    <n v="21"/>
    <n v="6"/>
    <n v="22"/>
    <n v="0.29599999999999999"/>
    <n v="0.25"/>
    <n v="0.5"/>
    <n v="0"/>
    <n v="-1.4999999999999999E-2"/>
    <n v="1993"/>
    <n v="9.6999999999999993"/>
    <n v="2.1"/>
    <n v="0.6"/>
    <n v="2.2000000000000002"/>
    <x v="1"/>
    <x v="14"/>
    <n v="0"/>
  </r>
  <r>
    <x v="42"/>
    <x v="2"/>
    <x v="181"/>
    <s v="Utah"/>
    <n v="1"/>
    <n v="53"/>
    <n v="382"/>
    <n v="157"/>
    <n v="89"/>
    <n v="24"/>
    <n v="0.40400000000000003"/>
    <n v="0.27900000000000003"/>
    <n v="0.75900000000000001"/>
    <n v="0.5"/>
    <n v="0.06"/>
    <n v="1993"/>
    <n v="7.2"/>
    <n v="3"/>
    <n v="1.7"/>
    <n v="0.5"/>
    <x v="1"/>
    <x v="15"/>
    <n v="0"/>
  </r>
  <r>
    <x v="44"/>
    <x v="22"/>
    <x v="182"/>
    <s v="Cal State Long Beach"/>
    <n v="13"/>
    <n v="841"/>
    <n v="19805"/>
    <n v="6663"/>
    <n v="2914"/>
    <n v="1085"/>
    <n v="0.43099999999999999"/>
    <n v="0.36899999999999999"/>
    <n v="0.75"/>
    <n v="47.4"/>
    <n v="0.115"/>
    <n v="1993"/>
    <n v="23.5"/>
    <n v="7.9"/>
    <n v="3.5"/>
    <n v="1.3"/>
    <x v="1"/>
    <x v="17"/>
    <n v="1"/>
  </r>
  <r>
    <x v="45"/>
    <x v="11"/>
    <x v="183"/>
    <s v="UCLA"/>
    <n v="1"/>
    <n v="22"/>
    <n v="92"/>
    <n v="53"/>
    <n v="31"/>
    <n v="1"/>
    <n v="0.435"/>
    <n v="0.46700000000000003"/>
    <n v="0.75"/>
    <n v="0"/>
    <n v="-1.4E-2"/>
    <n v="1993"/>
    <n v="4.2"/>
    <n v="2.4"/>
    <n v="1.4"/>
    <n v="0"/>
    <x v="1"/>
    <x v="18"/>
    <n v="0"/>
  </r>
  <r>
    <x v="46"/>
    <x v="16"/>
    <x v="184"/>
    <s v="Clemson"/>
    <n v="11"/>
    <n v="579"/>
    <n v="10052"/>
    <n v="3738"/>
    <n v="815"/>
    <n v="1613"/>
    <n v="0.39500000000000002"/>
    <n v="0.36099999999999999"/>
    <n v="0.875"/>
    <n v="21.2"/>
    <n v="0.10100000000000001"/>
    <n v="1993"/>
    <n v="17.399999999999999"/>
    <n v="6.5"/>
    <n v="1.4"/>
    <n v="2.8"/>
    <x v="1"/>
    <x v="19"/>
    <n v="1"/>
  </r>
  <r>
    <x v="47"/>
    <x v="17"/>
    <x v="185"/>
    <s v="NC State"/>
    <n v="1"/>
    <n v="14"/>
    <n v="58"/>
    <n v="13"/>
    <n v="13"/>
    <n v="3"/>
    <n v="0.42899999999999999"/>
    <n v="0"/>
    <n v="0.5"/>
    <n v="0"/>
    <n v="-1.6E-2"/>
    <n v="1993"/>
    <n v="4.0999999999999996"/>
    <n v="0.9"/>
    <n v="0.9"/>
    <n v="0.2"/>
    <x v="1"/>
    <x v="20"/>
    <n v="0"/>
  </r>
  <r>
    <x v="50"/>
    <x v="6"/>
    <x v="186"/>
    <s v="Michigan State"/>
    <n v="3"/>
    <n v="68"/>
    <n v="705"/>
    <n v="194"/>
    <n v="176"/>
    <n v="26"/>
    <n v="0.55600000000000005"/>
    <n v="0"/>
    <n v="0.53100000000000003"/>
    <n v="1"/>
    <n v="6.7000000000000004E-2"/>
    <n v="1993"/>
    <n v="10.4"/>
    <n v="2.9"/>
    <n v="2.6"/>
    <n v="0.4"/>
    <x v="1"/>
    <x v="24"/>
    <n v="0"/>
  </r>
  <r>
    <x v="0"/>
    <x v="12"/>
    <x v="187"/>
    <s v="Purdue"/>
    <n v="11"/>
    <n v="688"/>
    <n v="25346"/>
    <n v="14234"/>
    <n v="4189"/>
    <n v="1879"/>
    <n v="0.45900000000000002"/>
    <n v="0.34"/>
    <n v="0.82"/>
    <n v="39.799999999999997"/>
    <n v="7.4999999999999997E-2"/>
    <n v="1994"/>
    <n v="36.799999999999997"/>
    <n v="20.7"/>
    <n v="6.1"/>
    <n v="2.7"/>
    <x v="0"/>
    <x v="0"/>
    <n v="1"/>
  </r>
  <r>
    <x v="1"/>
    <x v="26"/>
    <x v="188"/>
    <s v="California"/>
    <n v="19"/>
    <n v="1391"/>
    <n v="50111"/>
    <n v="17529"/>
    <n v="8725"/>
    <n v="12091"/>
    <n v="0.4"/>
    <n v="0.34899999999999998"/>
    <n v="0.78500000000000003"/>
    <n v="138.6"/>
    <n v="0.13300000000000001"/>
    <n v="1994"/>
    <n v="36"/>
    <n v="12.6"/>
    <n v="6.3"/>
    <n v="8.6999999999999993"/>
    <x v="0"/>
    <x v="1"/>
    <n v="1"/>
  </r>
  <r>
    <x v="2"/>
    <x v="18"/>
    <x v="189"/>
    <s v="Duke"/>
    <n v="18"/>
    <n v="1026"/>
    <n v="34776"/>
    <n v="17137"/>
    <n v="6169"/>
    <n v="4252"/>
    <n v="0.48299999999999998"/>
    <n v="0.314"/>
    <n v="0.76900000000000002"/>
    <n v="99.9"/>
    <n v="0.13800000000000001"/>
    <n v="1994"/>
    <n v="33.9"/>
    <n v="16.7"/>
    <n v="6"/>
    <n v="4.0999999999999996"/>
    <x v="0"/>
    <x v="2"/>
    <n v="1"/>
  </r>
  <r>
    <x v="3"/>
    <x v="5"/>
    <x v="190"/>
    <s v="UConn"/>
    <n v="15"/>
    <n v="957"/>
    <n v="25027"/>
    <n v="10716"/>
    <n v="6376"/>
    <n v="1305"/>
    <n v="0.435"/>
    <n v="0.35"/>
    <n v="0.73099999999999998"/>
    <n v="59"/>
    <n v="0.113"/>
    <n v="1994"/>
    <n v="26.2"/>
    <n v="11.2"/>
    <n v="6.7"/>
    <n v="1.4"/>
    <x v="0"/>
    <x v="3"/>
    <n v="1"/>
  </r>
  <r>
    <x v="4"/>
    <x v="23"/>
    <x v="191"/>
    <s v="Michigan"/>
    <n v="19"/>
    <n v="1208"/>
    <n v="36654"/>
    <n v="16159"/>
    <n v="7428"/>
    <n v="2663"/>
    <n v="0.46899999999999997"/>
    <n v="0.12"/>
    <n v="0.76400000000000001"/>
    <n v="59.4"/>
    <n v="7.8E-2"/>
    <n v="1994"/>
    <n v="30.3"/>
    <n v="13.4"/>
    <n v="6.1"/>
    <n v="2.2000000000000002"/>
    <x v="0"/>
    <x v="4"/>
    <n v="1"/>
  </r>
  <r>
    <x v="5"/>
    <x v="21"/>
    <x v="192"/>
    <s v="Clemson"/>
    <n v="4"/>
    <n v="203"/>
    <n v="4531"/>
    <n v="1974"/>
    <n v="1023"/>
    <n v="118"/>
    <n v="0.45600000000000002"/>
    <n v="8.3000000000000004E-2"/>
    <n v="0.61799999999999999"/>
    <n v="1.4"/>
    <n v="1.4999999999999999E-2"/>
    <n v="1994"/>
    <n v="22.3"/>
    <n v="9.6999999999999993"/>
    <n v="5"/>
    <n v="0.6"/>
    <x v="0"/>
    <x v="5"/>
    <n v="0"/>
  </r>
  <r>
    <x v="6"/>
    <x v="7"/>
    <x v="193"/>
    <s v="California"/>
    <n v="11"/>
    <n v="736"/>
    <n v="18477"/>
    <n v="8286"/>
    <n v="3033"/>
    <n v="978"/>
    <n v="0.43"/>
    <n v="0.36"/>
    <n v="0.75900000000000001"/>
    <n v="19.8"/>
    <n v="5.1999999999999998E-2"/>
    <n v="1994"/>
    <n v="25.1"/>
    <n v="11.3"/>
    <n v="4.0999999999999996"/>
    <n v="1.3"/>
    <x v="0"/>
    <x v="6"/>
    <n v="1"/>
  </r>
  <r>
    <x v="7"/>
    <x v="6"/>
    <x v="194"/>
    <s v="Xavier"/>
    <n v="12"/>
    <n v="756"/>
    <n v="21417"/>
    <n v="7933"/>
    <n v="5622"/>
    <n v="923"/>
    <n v="0.49"/>
    <n v="0.214"/>
    <n v="0.746"/>
    <n v="54.5"/>
    <n v="0.122"/>
    <n v="1994"/>
    <n v="28.3"/>
    <n v="10.5"/>
    <n v="7.4"/>
    <n v="1.2"/>
    <x v="0"/>
    <x v="7"/>
    <n v="1"/>
  </r>
  <r>
    <x v="8"/>
    <x v="14"/>
    <x v="195"/>
    <s v="UNC"/>
    <n v="8"/>
    <n v="465"/>
    <n v="8479"/>
    <n v="2071"/>
    <n v="2159"/>
    <n v="207"/>
    <n v="0.49"/>
    <n v="0"/>
    <n v="0.47799999999999998"/>
    <n v="8.5"/>
    <n v="4.8000000000000001E-2"/>
    <n v="1994"/>
    <n v="18.2"/>
    <n v="4.5"/>
    <n v="4.5999999999999996"/>
    <n v="0.4"/>
    <x v="0"/>
    <x v="8"/>
    <n v="1"/>
  </r>
  <r>
    <x v="9"/>
    <x v="19"/>
    <x v="196"/>
    <s v="Temple"/>
    <n v="14"/>
    <n v="954"/>
    <n v="32778"/>
    <n v="14155"/>
    <n v="3857"/>
    <n v="2812"/>
    <n v="0.437"/>
    <n v="0.373"/>
    <n v="0.80900000000000005"/>
    <n v="100.6"/>
    <n v="0.14699999999999999"/>
    <n v="1994"/>
    <n v="34.4"/>
    <n v="14.8"/>
    <n v="4"/>
    <n v="2.9"/>
    <x v="0"/>
    <x v="9"/>
    <n v="1"/>
  </r>
  <r>
    <x v="10"/>
    <x v="1"/>
    <x v="197"/>
    <s v="Tennessee State"/>
    <n v="8"/>
    <n v="298"/>
    <n v="5654"/>
    <n v="2196"/>
    <n v="1272"/>
    <n v="182"/>
    <n v="0.53600000000000003"/>
    <n v="0.25800000000000001"/>
    <n v="0.56200000000000006"/>
    <n v="11.1"/>
    <n v="9.5000000000000001E-2"/>
    <n v="1994"/>
    <n v="19"/>
    <n v="7.4"/>
    <n v="4.3"/>
    <n v="0.6"/>
    <x v="0"/>
    <x v="10"/>
    <n v="1"/>
  </r>
  <r>
    <x v="11"/>
    <x v="8"/>
    <x v="198"/>
    <s v="Arizona"/>
    <n v="6"/>
    <n v="277"/>
    <n v="5837"/>
    <n v="2167"/>
    <n v="580"/>
    <n v="886"/>
    <n v="0.41599999999999998"/>
    <n v="0.36299999999999999"/>
    <n v="0.74399999999999999"/>
    <n v="8.4"/>
    <n v="6.9000000000000006E-2"/>
    <n v="1994"/>
    <n v="21.1"/>
    <n v="7.8"/>
    <n v="2.1"/>
    <n v="3.2"/>
    <x v="0"/>
    <x v="11"/>
    <n v="1"/>
  </r>
  <r>
    <x v="12"/>
    <x v="2"/>
    <x v="199"/>
    <s v="Michigan"/>
    <n v="13"/>
    <n v="923"/>
    <n v="27925"/>
    <n v="13220"/>
    <n v="3193"/>
    <n v="3527"/>
    <n v="0.443"/>
    <n v="0.35499999999999998"/>
    <n v="0.80100000000000005"/>
    <n v="47.2"/>
    <n v="8.1000000000000003E-2"/>
    <n v="1994"/>
    <n v="30.3"/>
    <n v="14.3"/>
    <n v="3.5"/>
    <n v="3.8"/>
    <x v="0"/>
    <x v="12"/>
    <n v="1"/>
  </r>
  <r>
    <x v="13"/>
    <x v="0"/>
    <x v="200"/>
    <s v="George Washington"/>
    <n v="4"/>
    <n v="110"/>
    <n v="1002"/>
    <n v="233"/>
    <n v="281"/>
    <n v="4"/>
    <n v="0.39600000000000002"/>
    <n v="0"/>
    <n v="0.56999999999999995"/>
    <n v="-0.7"/>
    <n v="-3.3000000000000002E-2"/>
    <n v="1994"/>
    <n v="9.1"/>
    <n v="2.1"/>
    <n v="2.6"/>
    <n v="0"/>
    <x v="0"/>
    <x v="13"/>
    <n v="0"/>
  </r>
  <r>
    <x v="14"/>
    <x v="24"/>
    <x v="201"/>
    <s v="Nebraska"/>
    <n v="14"/>
    <n v="789"/>
    <n v="14613"/>
    <n v="5919"/>
    <n v="1716"/>
    <n v="778"/>
    <n v="0.434"/>
    <n v="0.39900000000000002"/>
    <n v="0.83899999999999997"/>
    <n v="31"/>
    <n v="0.10199999999999999"/>
    <n v="1994"/>
    <n v="18.5"/>
    <n v="7.5"/>
    <n v="2.2000000000000002"/>
    <n v="1"/>
    <x v="0"/>
    <x v="14"/>
    <n v="1"/>
  </r>
  <r>
    <x v="15"/>
    <x v="10"/>
    <x v="202"/>
    <s v="Louisville"/>
    <n v="4"/>
    <n v="173"/>
    <n v="2984"/>
    <n v="827"/>
    <n v="897"/>
    <n v="98"/>
    <n v="0.496"/>
    <n v="0.182"/>
    <n v="0.46500000000000002"/>
    <n v="3.9"/>
    <n v="6.3E-2"/>
    <n v="1994"/>
    <n v="17.2"/>
    <n v="4.8"/>
    <n v="5.2"/>
    <n v="0.6"/>
    <x v="0"/>
    <x v="15"/>
    <n v="0"/>
  </r>
  <r>
    <x v="16"/>
    <x v="17"/>
    <x v="203"/>
    <s v="Temple"/>
    <n v="13"/>
    <n v="793"/>
    <n v="19156"/>
    <n v="5871"/>
    <n v="2587"/>
    <n v="2126"/>
    <n v="0.438"/>
    <n v="0.35"/>
    <n v="0.77900000000000003"/>
    <n v="40"/>
    <n v="0.1"/>
    <n v="1994"/>
    <n v="24.2"/>
    <n v="7.4"/>
    <n v="3.3"/>
    <n v="2.7"/>
    <x v="0"/>
    <x v="16"/>
    <n v="1"/>
  </r>
  <r>
    <x v="17"/>
    <x v="12"/>
    <x v="204"/>
    <s v="Pitt"/>
    <n v="3"/>
    <n v="113"/>
    <n v="1570"/>
    <n v="440"/>
    <n v="351"/>
    <n v="57"/>
    <n v="0.54100000000000004"/>
    <n v="0.75"/>
    <n v="0.47499999999999998"/>
    <n v="1.1000000000000001"/>
    <n v="3.4000000000000002E-2"/>
    <n v="1994"/>
    <n v="13.9"/>
    <n v="3.9"/>
    <n v="3.1"/>
    <n v="0.5"/>
    <x v="0"/>
    <x v="17"/>
    <n v="0"/>
  </r>
  <r>
    <x v="18"/>
    <x v="26"/>
    <x v="205"/>
    <s v="Missouri-Kansas City"/>
    <n v="4"/>
    <n v="156"/>
    <n v="2222"/>
    <n v="1140"/>
    <n v="198"/>
    <n v="186"/>
    <n v="0.40400000000000003"/>
    <n v="0.32700000000000001"/>
    <n v="0.60799999999999998"/>
    <n v="1.3"/>
    <n v="2.7E-2"/>
    <n v="1994"/>
    <n v="14.2"/>
    <n v="7.3"/>
    <n v="1.3"/>
    <n v="1.2"/>
    <x v="0"/>
    <x v="18"/>
    <n v="0"/>
  </r>
  <r>
    <x v="19"/>
    <x v="21"/>
    <x v="206"/>
    <s v="Texas"/>
    <n v="1"/>
    <n v="55"/>
    <n v="809"/>
    <n v="195"/>
    <n v="62"/>
    <n v="174"/>
    <n v="0.38100000000000001"/>
    <n v="0.314"/>
    <n v="0.7"/>
    <n v="-0.7"/>
    <n v="-3.9E-2"/>
    <n v="1994"/>
    <n v="14.7"/>
    <n v="3.5"/>
    <n v="1.1000000000000001"/>
    <n v="3.2"/>
    <x v="0"/>
    <x v="19"/>
    <n v="0"/>
  </r>
  <r>
    <x v="20"/>
    <x v="20"/>
    <x v="207"/>
    <s v="Providence"/>
    <n v="7"/>
    <n v="327"/>
    <n v="5201"/>
    <n v="1388"/>
    <n v="1187"/>
    <n v="305"/>
    <n v="0.44"/>
    <n v="0.222"/>
    <n v="0.61799999999999999"/>
    <n v="4.7"/>
    <n v="4.3999999999999997E-2"/>
    <n v="1994"/>
    <n v="15.9"/>
    <n v="4.2"/>
    <n v="3.6"/>
    <n v="0.9"/>
    <x v="0"/>
    <x v="20"/>
    <n v="1"/>
  </r>
  <r>
    <x v="21"/>
    <x v="16"/>
    <x v="208"/>
    <s v="Boston College"/>
    <n v="5"/>
    <n v="147"/>
    <n v="1614"/>
    <n v="394"/>
    <n v="290"/>
    <n v="60"/>
    <n v="0.44400000000000001"/>
    <n v="0.222"/>
    <n v="0.74299999999999999"/>
    <n v="1.6"/>
    <n v="4.7E-2"/>
    <n v="1994"/>
    <n v="11"/>
    <n v="2.7"/>
    <n v="2"/>
    <n v="0.4"/>
    <x v="0"/>
    <x v="21"/>
    <n v="0"/>
  </r>
  <r>
    <x v="22"/>
    <x v="15"/>
    <x v="209"/>
    <s v="Auburn"/>
    <n v="11"/>
    <n v="733"/>
    <n v="20727"/>
    <n v="8192"/>
    <n v="2402"/>
    <n v="1234"/>
    <n v="0.45700000000000002"/>
    <n v="0.41799999999999998"/>
    <n v="0.77800000000000002"/>
    <n v="44"/>
    <n v="0.10199999999999999"/>
    <n v="1994"/>
    <n v="28.3"/>
    <n v="11.2"/>
    <n v="3.3"/>
    <n v="1.7"/>
    <x v="0"/>
    <x v="22"/>
    <n v="1"/>
  </r>
  <r>
    <x v="23"/>
    <x v="13"/>
    <x v="210"/>
    <s v="Notre Dame"/>
    <n v="9"/>
    <n v="456"/>
    <n v="7624"/>
    <n v="2884"/>
    <n v="1296"/>
    <n v="544"/>
    <n v="0.48099999999999998"/>
    <n v="0.111"/>
    <n v="0.66500000000000004"/>
    <n v="11.4"/>
    <n v="7.1999999999999995E-2"/>
    <n v="1994"/>
    <n v="16.7"/>
    <n v="6.3"/>
    <n v="2.8"/>
    <n v="1.2"/>
    <x v="0"/>
    <x v="23"/>
    <n v="1"/>
  </r>
  <r>
    <x v="24"/>
    <x v="7"/>
    <x v="211"/>
    <s v="Louisville"/>
    <n v="5"/>
    <n v="277"/>
    <n v="5144"/>
    <n v="1902"/>
    <n v="741"/>
    <n v="384"/>
    <n v="0.47799999999999998"/>
    <n v="0.22600000000000001"/>
    <n v="0.76700000000000002"/>
    <n v="8.1999999999999993"/>
    <n v="7.6999999999999999E-2"/>
    <n v="1994"/>
    <n v="18.600000000000001"/>
    <n v="6.9"/>
    <n v="2.7"/>
    <n v="1.4"/>
    <x v="0"/>
    <x v="24"/>
    <n v="0"/>
  </r>
  <r>
    <x v="25"/>
    <x v="13"/>
    <x v="212"/>
    <s v="Florida State"/>
    <n v="11"/>
    <n v="630"/>
    <n v="14080"/>
    <n v="3947"/>
    <n v="1648"/>
    <n v="2539"/>
    <n v="0.40799999999999997"/>
    <n v="0.36399999999999999"/>
    <n v="0.77100000000000002"/>
    <n v="33"/>
    <n v="0.113"/>
    <n v="1994"/>
    <n v="22.3"/>
    <n v="6.3"/>
    <n v="2.6"/>
    <n v="4"/>
    <x v="0"/>
    <x v="25"/>
    <n v="1"/>
  </r>
  <r>
    <x v="26"/>
    <x v="3"/>
    <x v="213"/>
    <s v="Oklahoma State"/>
    <n v="4"/>
    <n v="168"/>
    <n v="1714"/>
    <n v="760"/>
    <n v="158"/>
    <n v="281"/>
    <n v="0.40899999999999997"/>
    <n v="0.376"/>
    <n v="0.64700000000000002"/>
    <n v="2"/>
    <n v="5.7000000000000002E-2"/>
    <n v="1994"/>
    <n v="10.199999999999999"/>
    <n v="4.5"/>
    <n v="0.9"/>
    <n v="1.7"/>
    <x v="0"/>
    <x v="26"/>
    <n v="0"/>
  </r>
  <r>
    <x v="28"/>
    <x v="15"/>
    <x v="214"/>
    <s v="Duke"/>
    <n v="6"/>
    <n v="143"/>
    <n v="1395"/>
    <n v="329"/>
    <n v="210"/>
    <n v="50"/>
    <n v="0.45500000000000002"/>
    <n v="0"/>
    <n v="0.71899999999999997"/>
    <n v="1.7"/>
    <n v="5.7000000000000002E-2"/>
    <n v="1994"/>
    <n v="9.8000000000000007"/>
    <n v="2.2999999999999998"/>
    <n v="1.5"/>
    <n v="0.3"/>
    <x v="1"/>
    <x v="1"/>
    <n v="1"/>
  </r>
  <r>
    <x v="29"/>
    <x v="5"/>
    <x v="215"/>
    <s v="Boston College"/>
    <n v="12"/>
    <n v="786"/>
    <n v="16013"/>
    <n v="5116"/>
    <n v="1324"/>
    <n v="2748"/>
    <n v="0.40699999999999997"/>
    <n v="0.35"/>
    <n v="0.82699999999999996"/>
    <n v="19.5"/>
    <n v="5.8000000000000003E-2"/>
    <n v="1994"/>
    <n v="20.399999999999999"/>
    <n v="6.5"/>
    <n v="1.7"/>
    <n v="3.5"/>
    <x v="1"/>
    <x v="2"/>
    <n v="1"/>
  </r>
  <r>
    <x v="31"/>
    <x v="23"/>
    <x v="216"/>
    <s v="Marquette"/>
    <n v="7"/>
    <n v="401"/>
    <n v="5927"/>
    <n v="1072"/>
    <n v="1243"/>
    <n v="105"/>
    <n v="0.44600000000000001"/>
    <n v="0.1"/>
    <n v="0.55100000000000005"/>
    <n v="9.4"/>
    <n v="7.5999999999999998E-2"/>
    <n v="1994"/>
    <n v="14.8"/>
    <n v="2.7"/>
    <n v="3.1"/>
    <n v="0.3"/>
    <x v="1"/>
    <x v="4"/>
    <n v="1"/>
  </r>
  <r>
    <x v="32"/>
    <x v="21"/>
    <x v="217"/>
    <s v="Duquesne"/>
    <n v="3"/>
    <n v="139"/>
    <n v="2657"/>
    <n v="751"/>
    <n v="525"/>
    <n v="94"/>
    <n v="0.48899999999999999"/>
    <n v="0.14299999999999999"/>
    <n v="0.48699999999999999"/>
    <n v="2.6"/>
    <n v="4.7E-2"/>
    <n v="1994"/>
    <n v="19.100000000000001"/>
    <n v="5.4"/>
    <n v="3.8"/>
    <n v="0.7"/>
    <x v="1"/>
    <x v="5"/>
    <n v="0"/>
  </r>
  <r>
    <x v="33"/>
    <x v="9"/>
    <x v="218"/>
    <s v="Northwestern Oklahoma State University"/>
    <n v="1"/>
    <n v="4"/>
    <n v="42"/>
    <n v="15"/>
    <n v="5"/>
    <n v="1"/>
    <n v="0.33300000000000002"/>
    <n v="0"/>
    <n v="1"/>
    <n v="0.1"/>
    <n v="7.5999999999999998E-2"/>
    <n v="1994"/>
    <n v="10.5"/>
    <n v="3.8"/>
    <n v="1.3"/>
    <n v="0.3"/>
    <x v="1"/>
    <x v="6"/>
    <n v="0"/>
  </r>
  <r>
    <x v="34"/>
    <x v="6"/>
    <x v="219"/>
    <s v="Providence"/>
    <n v="7"/>
    <n v="449"/>
    <n v="10552"/>
    <n v="2527"/>
    <n v="3193"/>
    <n v="661"/>
    <n v="0.53800000000000003"/>
    <n v="0.14299999999999999"/>
    <n v="0.52900000000000003"/>
    <n v="23.4"/>
    <n v="0.107"/>
    <n v="1994"/>
    <n v="23.5"/>
    <n v="5.6"/>
    <n v="7.1"/>
    <n v="1.5"/>
    <x v="1"/>
    <x v="7"/>
    <n v="1"/>
  </r>
  <r>
    <x v="36"/>
    <x v="1"/>
    <x v="220"/>
    <s v="Cincinnati"/>
    <n v="4"/>
    <n v="114"/>
    <n v="1146"/>
    <n v="423"/>
    <n v="275"/>
    <n v="76"/>
    <n v="0.38900000000000001"/>
    <n v="0.309"/>
    <n v="0.72099999999999997"/>
    <n v="1.8"/>
    <n v="7.3999999999999996E-2"/>
    <n v="1994"/>
    <n v="10.1"/>
    <n v="3.7"/>
    <n v="2.4"/>
    <n v="0.7"/>
    <x v="1"/>
    <x v="9"/>
    <n v="0"/>
  </r>
  <r>
    <x v="37"/>
    <x v="4"/>
    <x v="221"/>
    <s v="Kansas"/>
    <n v="3"/>
    <n v="133"/>
    <n v="1395"/>
    <n v="467"/>
    <n v="169"/>
    <n v="89"/>
    <n v="0.53"/>
    <n v="0.33300000000000002"/>
    <n v="0.57899999999999996"/>
    <n v="1.1000000000000001"/>
    <n v="3.7999999999999999E-2"/>
    <n v="1994"/>
    <n v="10.5"/>
    <n v="3.5"/>
    <n v="1.3"/>
    <n v="0.7"/>
    <x v="1"/>
    <x v="10"/>
    <n v="0"/>
  </r>
  <r>
    <x v="38"/>
    <x v="10"/>
    <x v="222"/>
    <s v="Michigan State"/>
    <n v="8"/>
    <n v="181"/>
    <n v="1637"/>
    <n v="510"/>
    <n v="488"/>
    <n v="66"/>
    <n v="0.51"/>
    <n v="0.25"/>
    <n v="0.57599999999999996"/>
    <n v="3.8"/>
    <n v="0.11"/>
    <n v="1994"/>
    <n v="9"/>
    <n v="2.8"/>
    <n v="2.7"/>
    <n v="0.4"/>
    <x v="1"/>
    <x v="11"/>
    <n v="1"/>
  </r>
  <r>
    <x v="39"/>
    <x v="8"/>
    <x v="223"/>
    <s v="Oklahoma"/>
    <n v="1"/>
    <n v="11"/>
    <n v="58"/>
    <n v="18"/>
    <n v="7"/>
    <n v="3"/>
    <n v="0.34799999999999998"/>
    <n v="0.33300000000000002"/>
    <n v="0"/>
    <n v="0"/>
    <n v="-0.03"/>
    <n v="1994"/>
    <n v="5.3"/>
    <n v="1.6"/>
    <n v="0.6"/>
    <n v="0.3"/>
    <x v="1"/>
    <x v="12"/>
    <n v="0"/>
  </r>
  <r>
    <x v="42"/>
    <x v="17"/>
    <x v="224"/>
    <s v="St. John's"/>
    <n v="4"/>
    <n v="105"/>
    <n v="634"/>
    <n v="189"/>
    <n v="228"/>
    <n v="20"/>
    <n v="0.46400000000000002"/>
    <n v="0"/>
    <n v="0.46500000000000002"/>
    <n v="1.3"/>
    <n v="0.10100000000000001"/>
    <n v="1994"/>
    <n v="6"/>
    <n v="1.8"/>
    <n v="2.2000000000000002"/>
    <n v="0.2"/>
    <x v="1"/>
    <x v="15"/>
    <n v="0"/>
  </r>
  <r>
    <x v="44"/>
    <x v="10"/>
    <x v="225"/>
    <s v="Louisville"/>
    <n v="1"/>
    <n v="41"/>
    <n v="395"/>
    <n v="167"/>
    <n v="58"/>
    <n v="18"/>
    <n v="0.38800000000000001"/>
    <n v="0.36"/>
    <n v="0.68200000000000005"/>
    <n v="0.2"/>
    <n v="2.5000000000000001E-2"/>
    <n v="1994"/>
    <n v="9.6"/>
    <n v="4.0999999999999996"/>
    <n v="1.4"/>
    <n v="0.4"/>
    <x v="1"/>
    <x v="17"/>
    <n v="0"/>
  </r>
  <r>
    <x v="45"/>
    <x v="12"/>
    <x v="226"/>
    <s v="Minnesota"/>
    <n v="11"/>
    <n v="565"/>
    <n v="15349"/>
    <n v="6745"/>
    <n v="1609"/>
    <n v="1180"/>
    <n v="0.41499999999999998"/>
    <n v="0.38400000000000001"/>
    <n v="0.78700000000000003"/>
    <n v="29.6"/>
    <n v="9.2999999999999999E-2"/>
    <n v="1994"/>
    <n v="27.2"/>
    <n v="11.9"/>
    <n v="2.8"/>
    <n v="2.1"/>
    <x v="1"/>
    <x v="18"/>
    <n v="1"/>
  </r>
  <r>
    <x v="46"/>
    <x v="22"/>
    <x v="227"/>
    <s v="South Carolina"/>
    <n v="4"/>
    <n v="102"/>
    <n v="1248"/>
    <n v="323"/>
    <n v="149"/>
    <n v="117"/>
    <n v="0.46800000000000003"/>
    <n v="0.316"/>
    <n v="0.69399999999999995"/>
    <n v="1.2"/>
    <n v="4.4999999999999998E-2"/>
    <n v="1994"/>
    <n v="12.2"/>
    <n v="3.2"/>
    <n v="1.5"/>
    <n v="1.1000000000000001"/>
    <x v="1"/>
    <x v="19"/>
    <n v="0"/>
  </r>
  <r>
    <x v="48"/>
    <x v="15"/>
    <x v="228"/>
    <s v="Georgia"/>
    <n v="1"/>
    <n v="3"/>
    <n v="7"/>
    <n v="2"/>
    <n v="2"/>
    <n v="0"/>
    <n v="0.5"/>
    <n v="0"/>
    <n v="0"/>
    <n v="0"/>
    <n v="-0.17899999999999999"/>
    <n v="1994"/>
    <n v="2.2999999999999998"/>
    <n v="0.7"/>
    <n v="0.7"/>
    <n v="0"/>
    <x v="1"/>
    <x v="22"/>
    <n v="0"/>
  </r>
  <r>
    <x v="49"/>
    <x v="6"/>
    <x v="229"/>
    <s v="Ohio State"/>
    <n v="7"/>
    <n v="318"/>
    <n v="4726"/>
    <n v="2031"/>
    <n v="1142"/>
    <n v="183"/>
    <n v="0.50600000000000001"/>
    <n v="0.11799999999999999"/>
    <n v="0.67500000000000004"/>
    <n v="12.9"/>
    <n v="0.13100000000000001"/>
    <n v="1994"/>
    <n v="14.9"/>
    <n v="6.4"/>
    <n v="3.6"/>
    <n v="0.6"/>
    <x v="1"/>
    <x v="23"/>
    <n v="1"/>
  </r>
  <r>
    <x v="50"/>
    <x v="15"/>
    <x v="230"/>
    <s v="Houston"/>
    <n v="8"/>
    <n v="266"/>
    <n v="4951"/>
    <n v="1667"/>
    <n v="359"/>
    <n v="737"/>
    <n v="0.40699999999999997"/>
    <n v="0.38600000000000001"/>
    <n v="0.79200000000000004"/>
    <n v="6.4"/>
    <n v="6.2E-2"/>
    <n v="1994"/>
    <n v="18.600000000000001"/>
    <n v="6.3"/>
    <n v="1.3"/>
    <n v="2.8"/>
    <x v="1"/>
    <x v="24"/>
    <n v="1"/>
  </r>
  <r>
    <x v="51"/>
    <x v="1"/>
    <x v="231"/>
    <s v="NA"/>
    <n v="5"/>
    <n v="215"/>
    <n v="3280"/>
    <n v="1276"/>
    <n v="688"/>
    <n v="88"/>
    <n v="0.52700000000000002"/>
    <n v="0"/>
    <n v="0.79200000000000004"/>
    <n v="8.3000000000000007"/>
    <n v="0.121"/>
    <n v="1994"/>
    <n v="15.3"/>
    <n v="5.9"/>
    <n v="3.2"/>
    <n v="0.4"/>
    <x v="1"/>
    <x v="26"/>
    <n v="0"/>
  </r>
  <r>
    <x v="0"/>
    <x v="10"/>
    <x v="232"/>
    <s v="Maryland"/>
    <n v="16"/>
    <n v="1030"/>
    <n v="27022"/>
    <n v="11208"/>
    <n v="6575"/>
    <n v="1010"/>
    <n v="0.45500000000000002"/>
    <n v="0.23799999999999999"/>
    <n v="0.79"/>
    <n v="60.3"/>
    <n v="0.107"/>
    <n v="1995"/>
    <n v="26.2"/>
    <n v="10.9"/>
    <n v="6.4"/>
    <n v="1"/>
    <x v="0"/>
    <x v="0"/>
    <n v="1"/>
  </r>
  <r>
    <x v="1"/>
    <x v="7"/>
    <x v="233"/>
    <s v="Alabama"/>
    <n v="15"/>
    <n v="1015"/>
    <n v="28053"/>
    <n v="12227"/>
    <n v="7638"/>
    <n v="1300"/>
    <n v="0.497"/>
    <n v="0.11700000000000001"/>
    <n v="0.67"/>
    <n v="69.8"/>
    <n v="0.11899999999999999"/>
    <n v="1995"/>
    <n v="27.6"/>
    <n v="12"/>
    <n v="7.5"/>
    <n v="1.3"/>
    <x v="0"/>
    <x v="1"/>
    <n v="1"/>
  </r>
  <r>
    <x v="2"/>
    <x v="21"/>
    <x v="234"/>
    <s v="UNC"/>
    <n v="18"/>
    <n v="970"/>
    <n v="30222"/>
    <n v="16409"/>
    <n v="3067"/>
    <n v="3240"/>
    <n v="0.40899999999999997"/>
    <n v="0.309"/>
    <n v="0.82199999999999995"/>
    <n v="52.4"/>
    <n v="8.3000000000000004E-2"/>
    <n v="1995"/>
    <n v="31.2"/>
    <n v="16.899999999999999"/>
    <n v="3.2"/>
    <n v="3.3"/>
    <x v="0"/>
    <x v="2"/>
    <n v="1"/>
  </r>
  <r>
    <x v="3"/>
    <x v="23"/>
    <x v="235"/>
    <s v="UNC"/>
    <n v="16"/>
    <n v="1109"/>
    <n v="36243"/>
    <n v="16006"/>
    <n v="7404"/>
    <n v="1994"/>
    <n v="0.46700000000000003"/>
    <n v="0.33600000000000002"/>
    <n v="0.72099999999999997"/>
    <n v="105.1"/>
    <n v="0.13900000000000001"/>
    <n v="1995"/>
    <n v="32.700000000000003"/>
    <n v="14.4"/>
    <n v="6.7"/>
    <n v="1.8"/>
    <x v="0"/>
    <x v="3"/>
    <n v="1"/>
  </r>
  <r>
    <x v="4"/>
    <x v="5"/>
    <x v="236"/>
    <s v="NA"/>
    <n v="21"/>
    <n v="1462"/>
    <n v="50418"/>
    <n v="26071"/>
    <n v="14662"/>
    <n v="5445"/>
    <n v="0.497"/>
    <n v="0.27500000000000002"/>
    <n v="0.78900000000000003"/>
    <n v="191.4"/>
    <n v="0.182"/>
    <n v="1995"/>
    <n v="34.5"/>
    <n v="17.8"/>
    <n v="10"/>
    <n v="3.7"/>
    <x v="0"/>
    <x v="4"/>
    <n v="1"/>
  </r>
  <r>
    <x v="5"/>
    <x v="27"/>
    <x v="237"/>
    <s v="Oklahoma State"/>
    <n v="6"/>
    <n v="395"/>
    <n v="12071"/>
    <n v="4945"/>
    <n v="2745"/>
    <n v="623"/>
    <n v="0.47499999999999998"/>
    <n v="7.3999999999999996E-2"/>
    <n v="0.70299999999999996"/>
    <n v="13"/>
    <n v="5.1999999999999998E-2"/>
    <n v="1995"/>
    <n v="30.6"/>
    <n v="12.5"/>
    <n v="6.9"/>
    <n v="1.6"/>
    <x v="0"/>
    <x v="5"/>
    <n v="1"/>
  </r>
  <r>
    <x v="6"/>
    <x v="28"/>
    <x v="238"/>
    <s v="Arizona"/>
    <n v="13"/>
    <n v="878"/>
    <n v="29106"/>
    <n v="11763"/>
    <n v="3039"/>
    <n v="5371"/>
    <n v="0.40600000000000003"/>
    <n v="0.35699999999999998"/>
    <n v="0.83299999999999996"/>
    <n v="55.4"/>
    <n v="9.0999999999999998E-2"/>
    <n v="1995"/>
    <n v="33.200000000000003"/>
    <n v="13.4"/>
    <n v="3.5"/>
    <n v="6.1"/>
    <x v="0"/>
    <x v="6"/>
    <n v="1"/>
  </r>
  <r>
    <x v="7"/>
    <x v="17"/>
    <x v="239"/>
    <s v="Michigan State"/>
    <n v="4"/>
    <n v="172"/>
    <n v="2350"/>
    <n v="851"/>
    <n v="226"/>
    <n v="177"/>
    <n v="0.41399999999999998"/>
    <n v="0.34"/>
    <n v="0.81599999999999995"/>
    <n v="2.1"/>
    <n v="4.2999999999999997E-2"/>
    <n v="1995"/>
    <n v="13.7"/>
    <n v="4.9000000000000004"/>
    <n v="1.3"/>
    <n v="1"/>
    <x v="0"/>
    <x v="7"/>
    <n v="0"/>
  </r>
  <r>
    <x v="8"/>
    <x v="0"/>
    <x v="240"/>
    <s v="UCLA"/>
    <n v="2"/>
    <n v="128"/>
    <n v="2062"/>
    <n v="634"/>
    <n v="316"/>
    <n v="102"/>
    <n v="0.36699999999999999"/>
    <n v="0.222"/>
    <n v="0.755"/>
    <n v="1.1000000000000001"/>
    <n v="2.5000000000000001E-2"/>
    <n v="1995"/>
    <n v="16.100000000000001"/>
    <n v="5"/>
    <n v="2.5"/>
    <n v="0.8"/>
    <x v="0"/>
    <x v="8"/>
    <n v="0"/>
  </r>
  <r>
    <x v="9"/>
    <x v="8"/>
    <x v="241"/>
    <s v="TCU"/>
    <n v="18"/>
    <n v="1110"/>
    <n v="27160"/>
    <n v="8973"/>
    <n v="7328"/>
    <n v="1204"/>
    <n v="0.48599999999999999"/>
    <n v="0.28100000000000003"/>
    <n v="0.76"/>
    <n v="64.2"/>
    <n v="0.114"/>
    <n v="1995"/>
    <n v="24.5"/>
    <n v="8.1"/>
    <n v="6.6"/>
    <n v="1.1000000000000001"/>
    <x v="0"/>
    <x v="9"/>
    <n v="1"/>
  </r>
  <r>
    <x v="10"/>
    <x v="12"/>
    <x v="242"/>
    <s v="Ohio University"/>
    <n v="9"/>
    <n v="506"/>
    <n v="9866"/>
    <n v="4366"/>
    <n v="2276"/>
    <n v="504"/>
    <n v="0.501"/>
    <n v="0.08"/>
    <n v="0.64300000000000002"/>
    <n v="23.2"/>
    <n v="0.113"/>
    <n v="1995"/>
    <n v="19.5"/>
    <n v="8.6"/>
    <n v="4.5"/>
    <n v="1"/>
    <x v="0"/>
    <x v="10"/>
    <n v="1"/>
  </r>
  <r>
    <x v="11"/>
    <x v="26"/>
    <x v="243"/>
    <s v="Duke"/>
    <n v="9"/>
    <n v="472"/>
    <n v="7459"/>
    <n v="2056"/>
    <n v="1703"/>
    <n v="265"/>
    <n v="0.47"/>
    <n v="0.21099999999999999"/>
    <n v="0.63"/>
    <n v="11.8"/>
    <n v="7.5999999999999998E-2"/>
    <n v="1995"/>
    <n v="15.8"/>
    <n v="4.4000000000000004"/>
    <n v="3.6"/>
    <n v="0.6"/>
    <x v="0"/>
    <x v="11"/>
    <n v="1"/>
  </r>
  <r>
    <x v="12"/>
    <x v="6"/>
    <x v="244"/>
    <s v="Arkansas"/>
    <n v="12"/>
    <n v="822"/>
    <n v="18749"/>
    <n v="9147"/>
    <n v="3183"/>
    <n v="972"/>
    <n v="0.49"/>
    <n v="0.13600000000000001"/>
    <n v="0.71399999999999997"/>
    <n v="34.700000000000003"/>
    <n v="8.8999999999999996E-2"/>
    <n v="1995"/>
    <n v="22.8"/>
    <n v="11.1"/>
    <n v="3.9"/>
    <n v="1.2"/>
    <x v="0"/>
    <x v="12"/>
    <n v="1"/>
  </r>
  <r>
    <x v="13"/>
    <x v="14"/>
    <x v="245"/>
    <s v="Providence"/>
    <n v="12"/>
    <n v="658"/>
    <n v="15731"/>
    <n v="5642"/>
    <n v="2139"/>
    <n v="936"/>
    <n v="0.41499999999999998"/>
    <n v="0.318"/>
    <n v="0.73599999999999999"/>
    <n v="23.2"/>
    <n v="7.0999999999999994E-2"/>
    <n v="1995"/>
    <n v="23.9"/>
    <n v="8.6"/>
    <n v="3.3"/>
    <n v="1.4"/>
    <x v="0"/>
    <x v="13"/>
    <n v="1"/>
  </r>
  <r>
    <x v="14"/>
    <x v="2"/>
    <x v="246"/>
    <s v="Oregon State"/>
    <n v="14"/>
    <n v="912"/>
    <n v="23643"/>
    <n v="8488"/>
    <n v="2780"/>
    <n v="2892"/>
    <n v="0.46"/>
    <n v="0.40500000000000003"/>
    <n v="0.82299999999999995"/>
    <n v="70.5"/>
    <n v="0.14299999999999999"/>
    <n v="1995"/>
    <n v="25.9"/>
    <n v="9.3000000000000007"/>
    <n v="3"/>
    <n v="3.2"/>
    <x v="0"/>
    <x v="14"/>
    <n v="1"/>
  </r>
  <r>
    <x v="15"/>
    <x v="9"/>
    <x v="247"/>
    <s v="Indiana"/>
    <n v="12"/>
    <n v="652"/>
    <n v="13780"/>
    <n v="5094"/>
    <n v="3249"/>
    <n v="397"/>
    <n v="0.46899999999999997"/>
    <n v="0.192"/>
    <n v="0.63900000000000001"/>
    <n v="28"/>
    <n v="9.7000000000000003E-2"/>
    <n v="1995"/>
    <n v="21.1"/>
    <n v="7.8"/>
    <n v="5"/>
    <n v="0.6"/>
    <x v="0"/>
    <x v="15"/>
    <n v="1"/>
  </r>
  <r>
    <x v="16"/>
    <x v="25"/>
    <x v="248"/>
    <s v="Florida State"/>
    <n v="10"/>
    <n v="657"/>
    <n v="15597"/>
    <n v="5654"/>
    <n v="2240"/>
    <n v="2474"/>
    <n v="0.41399999999999998"/>
    <n v="0.32500000000000001"/>
    <n v="0.68899999999999995"/>
    <n v="28.3"/>
    <n v="8.6999999999999994E-2"/>
    <n v="1995"/>
    <n v="23.7"/>
    <n v="8.6"/>
    <n v="3.4"/>
    <n v="3.8"/>
    <x v="0"/>
    <x v="16"/>
    <n v="1"/>
  </r>
  <r>
    <x v="17"/>
    <x v="18"/>
    <x v="249"/>
    <s v="Wyoming"/>
    <n v="16"/>
    <n v="810"/>
    <n v="20500"/>
    <n v="5809"/>
    <n v="4596"/>
    <n v="465"/>
    <n v="0.496"/>
    <n v="0"/>
    <n v="0.71"/>
    <n v="47.9"/>
    <n v="0.112"/>
    <n v="1995"/>
    <n v="25.3"/>
    <n v="7.2"/>
    <n v="5.7"/>
    <n v="0.6"/>
    <x v="0"/>
    <x v="17"/>
    <n v="1"/>
  </r>
  <r>
    <x v="18"/>
    <x v="18"/>
    <x v="250"/>
    <s v="Wake Forest"/>
    <n v="2"/>
    <n v="51"/>
    <n v="405"/>
    <n v="124"/>
    <n v="25"/>
    <n v="49"/>
    <n v="0.32800000000000001"/>
    <n v="0.27300000000000002"/>
    <n v="0.8"/>
    <n v="-0.2"/>
    <n v="-2.5999999999999999E-2"/>
    <n v="1995"/>
    <n v="7.9"/>
    <n v="2.4"/>
    <n v="0.5"/>
    <n v="1"/>
    <x v="0"/>
    <x v="18"/>
    <n v="0"/>
  </r>
  <r>
    <x v="19"/>
    <x v="20"/>
    <x v="251"/>
    <s v="Alabama"/>
    <n v="8"/>
    <n v="462"/>
    <n v="9045"/>
    <n v="3368"/>
    <n v="2022"/>
    <n v="420"/>
    <n v="0.48099999999999998"/>
    <n v="0"/>
    <n v="0.63700000000000001"/>
    <n v="13.5"/>
    <n v="7.1999999999999995E-2"/>
    <n v="1995"/>
    <n v="19.600000000000001"/>
    <n v="7.3"/>
    <n v="4.4000000000000004"/>
    <n v="0.9"/>
    <x v="0"/>
    <x v="19"/>
    <n v="1"/>
  </r>
  <r>
    <x v="20"/>
    <x v="15"/>
    <x v="252"/>
    <s v="Wisconsin"/>
    <n v="15"/>
    <n v="1103"/>
    <n v="37996"/>
    <n v="17306"/>
    <n v="4804"/>
    <n v="3245"/>
    <n v="0.44400000000000001"/>
    <n v="0.375"/>
    <n v="0.81100000000000005"/>
    <n v="85.2"/>
    <n v="0.108"/>
    <n v="1995"/>
    <n v="34.4"/>
    <n v="15.7"/>
    <n v="4.4000000000000004"/>
    <n v="2.9"/>
    <x v="0"/>
    <x v="20"/>
    <n v="1"/>
  </r>
  <r>
    <x v="21"/>
    <x v="4"/>
    <x v="253"/>
    <s v="UCLA"/>
    <n v="3"/>
    <n v="135"/>
    <n v="1328"/>
    <n v="453"/>
    <n v="286"/>
    <n v="32"/>
    <n v="0.40799999999999997"/>
    <n v="0.25"/>
    <n v="0.78300000000000003"/>
    <n v="0.8"/>
    <n v="2.9000000000000001E-2"/>
    <n v="1995"/>
    <n v="9.8000000000000007"/>
    <n v="3.4"/>
    <n v="2.1"/>
    <n v="0.2"/>
    <x v="0"/>
    <x v="21"/>
    <n v="0"/>
  </r>
  <r>
    <x v="22"/>
    <x v="24"/>
    <x v="254"/>
    <s v="Georgia Tech"/>
    <n v="10"/>
    <n v="708"/>
    <n v="15150"/>
    <n v="5376"/>
    <n v="1249"/>
    <n v="2444"/>
    <n v="0.43099999999999999"/>
    <n v="0.34499999999999997"/>
    <n v="0.83499999999999996"/>
    <n v="30.9"/>
    <n v="9.8000000000000004E-2"/>
    <n v="1995"/>
    <n v="21.4"/>
    <n v="7.6"/>
    <n v="1.8"/>
    <n v="3.5"/>
    <x v="0"/>
    <x v="22"/>
    <n v="1"/>
  </r>
  <r>
    <x v="23"/>
    <x v="26"/>
    <x v="255"/>
    <s v="Iowa State"/>
    <n v="3"/>
    <n v="140"/>
    <n v="2044"/>
    <n v="645"/>
    <n v="480"/>
    <n v="77"/>
    <n v="0.432"/>
    <n v="0.34799999999999998"/>
    <n v="0.69599999999999995"/>
    <n v="0.5"/>
    <n v="1.2E-2"/>
    <n v="1995"/>
    <n v="14.6"/>
    <n v="4.5999999999999996"/>
    <n v="3.4"/>
    <n v="0.6"/>
    <x v="0"/>
    <x v="23"/>
    <n v="0"/>
  </r>
  <r>
    <x v="24"/>
    <x v="3"/>
    <x v="256"/>
    <s v="Memphis"/>
    <n v="4"/>
    <n v="118"/>
    <n v="1156"/>
    <n v="341"/>
    <n v="361"/>
    <n v="36"/>
    <n v="0.42299999999999999"/>
    <n v="0"/>
    <n v="0.63800000000000001"/>
    <n v="0.6"/>
    <n v="2.5999999999999999E-2"/>
    <n v="1995"/>
    <n v="9.8000000000000007"/>
    <n v="2.9"/>
    <n v="3.1"/>
    <n v="0.3"/>
    <x v="0"/>
    <x v="24"/>
    <n v="0"/>
  </r>
  <r>
    <x v="25"/>
    <x v="1"/>
    <x v="257"/>
    <s v="University of Illinois at Chicago"/>
    <n v="1"/>
    <n v="28"/>
    <n v="139"/>
    <n v="90"/>
    <n v="24"/>
    <n v="5"/>
    <n v="0.375"/>
    <n v="0.16"/>
    <n v="0.76500000000000001"/>
    <n v="0.4"/>
    <n v="0.124"/>
    <n v="1995"/>
    <n v="5"/>
    <n v="3.2"/>
    <n v="0.9"/>
    <n v="0.2"/>
    <x v="0"/>
    <x v="25"/>
    <n v="0"/>
  </r>
  <r>
    <x v="26"/>
    <x v="15"/>
    <x v="258"/>
    <s v="Arizona State"/>
    <n v="4"/>
    <n v="68"/>
    <n v="606"/>
    <n v="269"/>
    <n v="182"/>
    <n v="24"/>
    <n v="0.53400000000000003"/>
    <n v="0.33300000000000002"/>
    <n v="0.51100000000000001"/>
    <n v="1.9"/>
    <n v="0.153"/>
    <n v="1995"/>
    <n v="8.9"/>
    <n v="4"/>
    <n v="2.7"/>
    <n v="0.4"/>
    <x v="0"/>
    <x v="26"/>
    <n v="0"/>
  </r>
  <r>
    <x v="27"/>
    <x v="22"/>
    <x v="259"/>
    <s v="Kansas"/>
    <n v="11"/>
    <n v="756"/>
    <n v="14753"/>
    <n v="3512"/>
    <n v="4145"/>
    <n v="443"/>
    <n v="0.48599999999999999"/>
    <n v="0.1"/>
    <n v="0.56899999999999995"/>
    <n v="33.799999999999997"/>
    <n v="0.11"/>
    <n v="1995"/>
    <n v="19.5"/>
    <n v="4.5999999999999996"/>
    <n v="5.5"/>
    <n v="0.6"/>
    <x v="0"/>
    <x v="27"/>
    <n v="1"/>
  </r>
  <r>
    <x v="28"/>
    <x v="16"/>
    <x v="260"/>
    <s v="Virginia"/>
    <n v="7"/>
    <n v="307"/>
    <n v="4847"/>
    <n v="1677"/>
    <n v="481"/>
    <n v="834"/>
    <n v="0.38900000000000001"/>
    <n v="0.35399999999999998"/>
    <n v="0.75600000000000001"/>
    <n v="3"/>
    <n v="0.03"/>
    <n v="1995"/>
    <n v="15.8"/>
    <n v="5.5"/>
    <n v="1.6"/>
    <n v="2.7"/>
    <x v="0"/>
    <x v="28"/>
    <n v="1"/>
  </r>
  <r>
    <x v="29"/>
    <x v="18"/>
    <x v="261"/>
    <s v="UMass"/>
    <n v="2"/>
    <n v="66"/>
    <n v="479"/>
    <n v="130"/>
    <n v="92"/>
    <n v="21"/>
    <n v="0.33300000000000002"/>
    <n v="0.25"/>
    <n v="0.64700000000000002"/>
    <n v="0"/>
    <n v="-1E-3"/>
    <n v="1995"/>
    <n v="7.3"/>
    <n v="2"/>
    <n v="1.4"/>
    <n v="0.3"/>
    <x v="1"/>
    <x v="0"/>
    <n v="0"/>
  </r>
  <r>
    <x v="30"/>
    <x v="20"/>
    <x v="262"/>
    <s v="NA"/>
    <n v="1"/>
    <n v="43"/>
    <n v="598"/>
    <n v="103"/>
    <n v="122"/>
    <n v="31"/>
    <n v="0.39400000000000002"/>
    <n v="0"/>
    <n v="0.75800000000000001"/>
    <n v="-0.2"/>
    <n v="-1.6E-2"/>
    <n v="1995"/>
    <n v="13.9"/>
    <n v="2.4"/>
    <n v="2.8"/>
    <n v="0.7"/>
    <x v="1"/>
    <x v="1"/>
    <n v="0"/>
  </r>
  <r>
    <x v="31"/>
    <x v="23"/>
    <x v="263"/>
    <s v="Texas"/>
    <n v="1"/>
    <n v="36"/>
    <n v="405"/>
    <n v="106"/>
    <n v="44"/>
    <n v="54"/>
    <n v="0.33"/>
    <n v="0.31"/>
    <n v="0.67400000000000004"/>
    <n v="-0.2"/>
    <n v="-2.1000000000000001E-2"/>
    <n v="1995"/>
    <n v="11.3"/>
    <n v="2.9"/>
    <n v="1.2"/>
    <n v="1.5"/>
    <x v="1"/>
    <x v="2"/>
    <n v="0"/>
  </r>
  <r>
    <x v="32"/>
    <x v="14"/>
    <x v="264"/>
    <s v="Virginia"/>
    <n v="1"/>
    <n v="61"/>
    <n v="495"/>
    <n v="189"/>
    <n v="109"/>
    <n v="15"/>
    <n v="0.376"/>
    <n v="0"/>
    <n v="0.65600000000000003"/>
    <n v="-0.2"/>
    <n v="-1.7999999999999999E-2"/>
    <n v="1995"/>
    <n v="8.1"/>
    <n v="3.1"/>
    <n v="1.8"/>
    <n v="0.2"/>
    <x v="1"/>
    <x v="3"/>
    <n v="0"/>
  </r>
  <r>
    <x v="33"/>
    <x v="10"/>
    <x v="265"/>
    <s v="Florida"/>
    <n v="10"/>
    <n v="587"/>
    <n v="9847"/>
    <n v="2815"/>
    <n v="2488"/>
    <n v="339"/>
    <n v="0.50700000000000001"/>
    <n v="0"/>
    <n v="0.621"/>
    <n v="19.3"/>
    <n v="9.4E-2"/>
    <n v="1995"/>
    <n v="16.8"/>
    <n v="4.8"/>
    <n v="4.2"/>
    <n v="0.6"/>
    <x v="1"/>
    <x v="4"/>
    <n v="1"/>
  </r>
  <r>
    <x v="34"/>
    <x v="28"/>
    <x v="266"/>
    <s v="Michigan"/>
    <n v="2"/>
    <n v="64"/>
    <n v="890"/>
    <n v="285"/>
    <n v="112"/>
    <n v="90"/>
    <n v="0.42899999999999999"/>
    <n v="0.14699999999999999"/>
    <n v="0.69099999999999995"/>
    <n v="0"/>
    <n v="1E-3"/>
    <n v="1995"/>
    <n v="13.9"/>
    <n v="4.5"/>
    <n v="1.8"/>
    <n v="1.4"/>
    <x v="1"/>
    <x v="5"/>
    <n v="0"/>
  </r>
  <r>
    <x v="35"/>
    <x v="27"/>
    <x v="267"/>
    <s v="Syracuse"/>
    <n v="3"/>
    <n v="119"/>
    <n v="1814"/>
    <n v="747"/>
    <n v="181"/>
    <n v="182"/>
    <n v="0.40799999999999997"/>
    <n v="0.29899999999999999"/>
    <n v="0.65200000000000002"/>
    <n v="0"/>
    <n v="1E-3"/>
    <n v="1995"/>
    <n v="15.2"/>
    <n v="6.3"/>
    <n v="1.5"/>
    <n v="1.5"/>
    <x v="1"/>
    <x v="6"/>
    <n v="0"/>
  </r>
  <r>
    <x v="36"/>
    <x v="19"/>
    <x v="268"/>
    <s v="Western Carolina University"/>
    <n v="2"/>
    <n v="13"/>
    <n v="79"/>
    <n v="27"/>
    <n v="16"/>
    <n v="7"/>
    <n v="0.35699999999999998"/>
    <n v="0.33300000000000002"/>
    <n v="0.75"/>
    <n v="0"/>
    <n v="2.5000000000000001E-2"/>
    <n v="1995"/>
    <n v="6.1"/>
    <n v="2.1"/>
    <n v="1.2"/>
    <n v="0.5"/>
    <x v="1"/>
    <x v="7"/>
    <n v="0"/>
  </r>
  <r>
    <x v="38"/>
    <x v="25"/>
    <x v="269"/>
    <s v="UConn"/>
    <n v="5"/>
    <n v="119"/>
    <n v="919"/>
    <n v="293"/>
    <n v="121"/>
    <n v="36"/>
    <n v="0.32100000000000001"/>
    <n v="0.33600000000000002"/>
    <n v="0.68100000000000005"/>
    <n v="0.9"/>
    <n v="4.4999999999999998E-2"/>
    <n v="1995"/>
    <n v="7.7"/>
    <n v="2.5"/>
    <n v="1"/>
    <n v="0.3"/>
    <x v="1"/>
    <x v="9"/>
    <n v="0"/>
  </r>
  <r>
    <x v="39"/>
    <x v="10"/>
    <x v="270"/>
    <s v="Jackson State University"/>
    <n v="1"/>
    <n v="8"/>
    <n v="122"/>
    <n v="40"/>
    <n v="25"/>
    <n v="2"/>
    <n v="0.433"/>
    <n v="0"/>
    <n v="0.63600000000000001"/>
    <n v="0"/>
    <n v="0.01"/>
    <n v="1995"/>
    <n v="15.3"/>
    <n v="5"/>
    <n v="3.1"/>
    <n v="0.3"/>
    <x v="1"/>
    <x v="10"/>
    <n v="0"/>
  </r>
  <r>
    <x v="41"/>
    <x v="9"/>
    <x v="271"/>
    <s v="Colorado"/>
    <n v="2"/>
    <n v="30"/>
    <n v="195"/>
    <n v="79"/>
    <n v="25"/>
    <n v="16"/>
    <n v="0.34899999999999998"/>
    <n v="0.25"/>
    <n v="0.5"/>
    <n v="-0.3"/>
    <n v="-6.4000000000000001E-2"/>
    <n v="1995"/>
    <n v="6.5"/>
    <n v="2.6"/>
    <n v="0.8"/>
    <n v="0.5"/>
    <x v="1"/>
    <x v="12"/>
    <n v="0"/>
  </r>
  <r>
    <x v="42"/>
    <x v="12"/>
    <x v="272"/>
    <s v="Michigan State"/>
    <n v="13"/>
    <n v="846"/>
    <n v="23132"/>
    <n v="5791"/>
    <n v="2141"/>
    <n v="4245"/>
    <n v="0.42399999999999999"/>
    <n v="0.20799999999999999"/>
    <n v="0.76300000000000001"/>
    <n v="43.4"/>
    <n v="0.09"/>
    <n v="1995"/>
    <n v="27.3"/>
    <n v="6.8"/>
    <n v="2.5"/>
    <n v="5"/>
    <x v="1"/>
    <x v="13"/>
    <n v="1"/>
  </r>
  <r>
    <x v="46"/>
    <x v="6"/>
    <x v="273"/>
    <s v="UCLA"/>
    <n v="4"/>
    <n v="226"/>
    <n v="4743"/>
    <n v="1728"/>
    <n v="393"/>
    <n v="910"/>
    <n v="0.40500000000000003"/>
    <n v="0.32200000000000001"/>
    <n v="0.80600000000000005"/>
    <n v="6.8"/>
    <n v="6.8000000000000005E-2"/>
    <n v="1995"/>
    <n v="21"/>
    <n v="7.6"/>
    <n v="1.7"/>
    <n v="4"/>
    <x v="1"/>
    <x v="17"/>
    <n v="0"/>
  </r>
  <r>
    <x v="47"/>
    <x v="5"/>
    <x v="274"/>
    <s v="Texas Tech"/>
    <n v="5"/>
    <n v="230"/>
    <n v="3681"/>
    <n v="1261"/>
    <n v="697"/>
    <n v="294"/>
    <n v="0.442"/>
    <n v="0.246"/>
    <n v="0.65500000000000003"/>
    <n v="2.2999999999999998"/>
    <n v="0.03"/>
    <n v="1995"/>
    <n v="16"/>
    <n v="5.5"/>
    <n v="3"/>
    <n v="1.3"/>
    <x v="1"/>
    <x v="18"/>
    <n v="0"/>
  </r>
  <r>
    <x v="52"/>
    <x v="5"/>
    <x v="275"/>
    <s v="Penn"/>
    <n v="2"/>
    <n v="117"/>
    <n v="1305"/>
    <n v="336"/>
    <n v="123"/>
    <n v="201"/>
    <n v="0.35"/>
    <n v="0.317"/>
    <n v="0.63"/>
    <n v="0.2"/>
    <n v="6.0000000000000001E-3"/>
    <n v="1995"/>
    <n v="11.2"/>
    <n v="2.9"/>
    <n v="1.1000000000000001"/>
    <n v="1.7"/>
    <x v="1"/>
    <x v="19"/>
    <n v="0"/>
  </r>
  <r>
    <x v="48"/>
    <x v="10"/>
    <x v="276"/>
    <s v="Seward County Community College"/>
    <n v="2"/>
    <n v="25"/>
    <n v="239"/>
    <n v="89"/>
    <n v="35"/>
    <n v="7"/>
    <n v="0.47299999999999998"/>
    <n v="0.3"/>
    <n v="0.59299999999999997"/>
    <n v="0.1"/>
    <n v="2.5999999999999999E-2"/>
    <n v="1995"/>
    <n v="9.6"/>
    <n v="3.6"/>
    <n v="1.4"/>
    <n v="0.3"/>
    <x v="1"/>
    <x v="20"/>
    <n v="0"/>
  </r>
  <r>
    <x v="50"/>
    <x v="24"/>
    <x v="277"/>
    <s v="Iowa State"/>
    <n v="10"/>
    <n v="541"/>
    <n v="9978"/>
    <n v="2944"/>
    <n v="1438"/>
    <n v="846"/>
    <n v="0.43099999999999999"/>
    <n v="0.39600000000000002"/>
    <n v="0.85399999999999998"/>
    <n v="27.6"/>
    <n v="0.13300000000000001"/>
    <n v="1995"/>
    <n v="18.399999999999999"/>
    <n v="5.4"/>
    <n v="2.7"/>
    <n v="1.6"/>
    <x v="1"/>
    <x v="22"/>
    <n v="1"/>
  </r>
  <r>
    <x v="53"/>
    <x v="10"/>
    <x v="278"/>
    <s v="New Orleans"/>
    <n v="1"/>
    <n v="1"/>
    <n v="4"/>
    <n v="0"/>
    <n v="1"/>
    <n v="0"/>
    <n v="0"/>
    <n v="0"/>
    <n v="0"/>
    <n v="-0.1"/>
    <n v="-0.63800000000000001"/>
    <n v="1995"/>
    <n v="4"/>
    <n v="0"/>
    <n v="1"/>
    <n v="0"/>
    <x v="1"/>
    <x v="25"/>
    <n v="0"/>
  </r>
  <r>
    <x v="54"/>
    <x v="15"/>
    <x v="279"/>
    <s v="Southern Illinois"/>
    <n v="6"/>
    <n v="297"/>
    <n v="4505"/>
    <n v="1988"/>
    <n v="658"/>
    <n v="294"/>
    <n v="0.41599999999999998"/>
    <n v="0.33800000000000002"/>
    <n v="0.80700000000000005"/>
    <n v="3.9"/>
    <n v="4.2000000000000003E-2"/>
    <n v="1995"/>
    <n v="15.2"/>
    <n v="6.7"/>
    <n v="2.2000000000000002"/>
    <n v="1"/>
    <x v="1"/>
    <x v="26"/>
    <n v="1"/>
  </r>
  <r>
    <x v="55"/>
    <x v="9"/>
    <x v="280"/>
    <s v="Purdue"/>
    <n v="2"/>
    <n v="7"/>
    <n v="32"/>
    <n v="9"/>
    <n v="3"/>
    <n v="3"/>
    <n v="0.25"/>
    <n v="0.6"/>
    <n v="0"/>
    <n v="-0.1"/>
    <n v="-0.151"/>
    <n v="1995"/>
    <n v="4.5999999999999996"/>
    <n v="1.3"/>
    <n v="0.4"/>
    <n v="0.4"/>
    <x v="1"/>
    <x v="27"/>
    <n v="0"/>
  </r>
  <r>
    <x v="56"/>
    <x v="18"/>
    <x v="281"/>
    <s v="Georgetown"/>
    <n v="8"/>
    <n v="403"/>
    <n v="5374"/>
    <n v="1454"/>
    <n v="1169"/>
    <n v="143"/>
    <n v="0.53"/>
    <n v="0"/>
    <n v="0.65800000000000003"/>
    <n v="13.7"/>
    <n v="0.123"/>
    <n v="1995"/>
    <n v="13.3"/>
    <n v="3.6"/>
    <n v="2.9"/>
    <n v="0.4"/>
    <x v="1"/>
    <x v="28"/>
    <n v="1"/>
  </r>
  <r>
    <x v="0"/>
    <x v="21"/>
    <x v="282"/>
    <s v="Georgetown"/>
    <n v="14"/>
    <n v="914"/>
    <n v="37584"/>
    <n v="24368"/>
    <n v="3394"/>
    <n v="5624"/>
    <n v="0.42499999999999999"/>
    <n v="0.313"/>
    <n v="0.78"/>
    <n v="99"/>
    <n v="0.126"/>
    <n v="1996"/>
    <n v="41.1"/>
    <n v="26.7"/>
    <n v="3.7"/>
    <n v="6.2"/>
    <x v="0"/>
    <x v="0"/>
    <n v="1"/>
  </r>
  <r>
    <x v="1"/>
    <x v="28"/>
    <x v="283"/>
    <s v="UMass"/>
    <n v="17"/>
    <n v="973"/>
    <n v="28684"/>
    <n v="9262"/>
    <n v="9513"/>
    <n v="1837"/>
    <n v="0.46600000000000003"/>
    <n v="0.20499999999999999"/>
    <n v="0.67"/>
    <n v="81.599999999999994"/>
    <n v="0.13700000000000001"/>
    <n v="1996"/>
    <n v="29.5"/>
    <n v="9.5"/>
    <n v="9.8000000000000007"/>
    <n v="1.9"/>
    <x v="0"/>
    <x v="1"/>
    <n v="1"/>
  </r>
  <r>
    <x v="2"/>
    <x v="27"/>
    <x v="284"/>
    <s v="California"/>
    <n v="12"/>
    <n v="830"/>
    <n v="28882"/>
    <n v="15028"/>
    <n v="6239"/>
    <n v="2109"/>
    <n v="0.47199999999999998"/>
    <n v="0.29699999999999999"/>
    <n v="0.81"/>
    <n v="71.2"/>
    <n v="0.11799999999999999"/>
    <n v="1996"/>
    <n v="34.799999999999997"/>
    <n v="18.100000000000001"/>
    <n v="7.5"/>
    <n v="2.5"/>
    <x v="0"/>
    <x v="2"/>
    <n v="1"/>
  </r>
  <r>
    <x v="3"/>
    <x v="12"/>
    <x v="285"/>
    <s v="Georgia Tech"/>
    <n v="13"/>
    <n v="846"/>
    <n v="31891"/>
    <n v="16297"/>
    <n v="2516"/>
    <n v="6471"/>
    <n v="0.433"/>
    <n v="0.32500000000000001"/>
    <n v="0.78400000000000003"/>
    <n v="77.5"/>
    <n v="0.11700000000000001"/>
    <n v="1996"/>
    <n v="37.700000000000003"/>
    <n v="19.3"/>
    <n v="3"/>
    <n v="7.6"/>
    <x v="0"/>
    <x v="3"/>
    <n v="1"/>
  </r>
  <r>
    <x v="4"/>
    <x v="5"/>
    <x v="286"/>
    <s v="UConn"/>
    <n v="18"/>
    <n v="1300"/>
    <n v="46344"/>
    <n v="24505"/>
    <n v="5272"/>
    <n v="4361"/>
    <n v="0.45200000000000001"/>
    <n v="0.4"/>
    <n v="0.89400000000000002"/>
    <n v="145.1"/>
    <n v="0.15"/>
    <n v="1996"/>
    <n v="35.6"/>
    <n v="18.899999999999999"/>
    <n v="4.0999999999999996"/>
    <n v="3.4"/>
    <x v="0"/>
    <x v="4"/>
    <n v="1"/>
  </r>
  <r>
    <x v="5"/>
    <x v="14"/>
    <x v="287"/>
    <s v="Kentucky"/>
    <n v="12"/>
    <n v="893"/>
    <n v="31531"/>
    <n v="15647"/>
    <n v="6891"/>
    <n v="3170"/>
    <n v="0.41399999999999998"/>
    <n v="0.32500000000000001"/>
    <n v="0.63300000000000001"/>
    <n v="38.1"/>
    <n v="5.8000000000000003E-2"/>
    <n v="1996"/>
    <n v="35.299999999999997"/>
    <n v="17.5"/>
    <n v="7.7"/>
    <n v="3.5"/>
    <x v="0"/>
    <x v="5"/>
    <n v="1"/>
  </r>
  <r>
    <x v="6"/>
    <x v="7"/>
    <x v="288"/>
    <s v="Memphis"/>
    <n v="13"/>
    <n v="778"/>
    <n v="18535"/>
    <n v="6191"/>
    <n v="4943"/>
    <n v="622"/>
    <n v="0.45900000000000002"/>
    <n v="6.9000000000000006E-2"/>
    <n v="0.64500000000000002"/>
    <n v="30.5"/>
    <n v="7.9000000000000001E-2"/>
    <n v="1996"/>
    <n v="23.8"/>
    <n v="8"/>
    <n v="6.4"/>
    <n v="0.8"/>
    <x v="0"/>
    <x v="6"/>
    <n v="1"/>
  </r>
  <r>
    <x v="7"/>
    <x v="0"/>
    <x v="289"/>
    <s v="Villanova"/>
    <n v="8"/>
    <n v="507"/>
    <n v="16929"/>
    <n v="7165"/>
    <n v="1983"/>
    <n v="1295"/>
    <n v="0.439"/>
    <n v="0.378"/>
    <n v="0.78"/>
    <n v="44.8"/>
    <n v="0.127"/>
    <n v="1996"/>
    <n v="33.4"/>
    <n v="14.1"/>
    <n v="3.9"/>
    <n v="2.6"/>
    <x v="0"/>
    <x v="7"/>
    <n v="1"/>
  </r>
  <r>
    <x v="8"/>
    <x v="26"/>
    <x v="290"/>
    <s v="Louisville"/>
    <n v="10"/>
    <n v="445"/>
    <n v="7612"/>
    <n v="2376"/>
    <n v="2089"/>
    <n v="252"/>
    <n v="0.46200000000000002"/>
    <n v="0.111"/>
    <n v="0.63"/>
    <n v="14.2"/>
    <n v="8.8999999999999996E-2"/>
    <n v="1996"/>
    <n v="17.100000000000001"/>
    <n v="5.3"/>
    <n v="4.7"/>
    <n v="0.6"/>
    <x v="0"/>
    <x v="8"/>
    <n v="1"/>
  </r>
  <r>
    <x v="9"/>
    <x v="24"/>
    <x v="291"/>
    <s v="Mississippi State"/>
    <n v="16"/>
    <n v="987"/>
    <n v="24003"/>
    <n v="7309"/>
    <n v="7005"/>
    <n v="817"/>
    <n v="0.498"/>
    <n v="0.125"/>
    <n v="0.626"/>
    <n v="52.7"/>
    <n v="0.105"/>
    <n v="1996"/>
    <n v="24.3"/>
    <n v="7.4"/>
    <n v="7.1"/>
    <n v="0.8"/>
    <x v="0"/>
    <x v="9"/>
    <n v="1"/>
  </r>
  <r>
    <x v="10"/>
    <x v="10"/>
    <x v="292"/>
    <s v="NC State"/>
    <n v="5"/>
    <n v="225"/>
    <n v="2500"/>
    <n v="835"/>
    <n v="674"/>
    <n v="46"/>
    <n v="0.42199999999999999"/>
    <n v="0"/>
    <n v="0.66800000000000004"/>
    <n v="2.2000000000000002"/>
    <n v="4.1000000000000002E-2"/>
    <n v="1996"/>
    <n v="11.1"/>
    <n v="3.7"/>
    <n v="3"/>
    <n v="0.2"/>
    <x v="0"/>
    <x v="10"/>
    <n v="0"/>
  </r>
  <r>
    <x v="11"/>
    <x v="25"/>
    <x v="293"/>
    <s v="Wright State University"/>
    <n v="11"/>
    <n v="610"/>
    <n v="11608"/>
    <n v="3995"/>
    <n v="2725"/>
    <n v="418"/>
    <n v="0.47899999999999998"/>
    <n v="0.16700000000000001"/>
    <n v="0.69399999999999995"/>
    <n v="15.5"/>
    <n v="6.4000000000000001E-2"/>
    <n v="1996"/>
    <n v="19"/>
    <n v="6.5"/>
    <n v="4.5"/>
    <n v="0.7"/>
    <x v="0"/>
    <x v="11"/>
    <n v="1"/>
  </r>
  <r>
    <x v="12"/>
    <x v="4"/>
    <x v="294"/>
    <s v="NA"/>
    <n v="20"/>
    <n v="1346"/>
    <n v="48637"/>
    <n v="33643"/>
    <n v="7047"/>
    <n v="6306"/>
    <n v="0.44700000000000001"/>
    <n v="0.32900000000000001"/>
    <n v="0.83699999999999997"/>
    <n v="172.7"/>
    <n v="0.17"/>
    <n v="1996"/>
    <n v="36.1"/>
    <n v="25"/>
    <n v="5.2"/>
    <n v="4.7"/>
    <x v="0"/>
    <x v="12"/>
    <n v="1"/>
  </r>
  <r>
    <x v="13"/>
    <x v="6"/>
    <x v="295"/>
    <s v="NA"/>
    <n v="13"/>
    <n v="804"/>
    <n v="26966"/>
    <n v="13647"/>
    <n v="3782"/>
    <n v="1408"/>
    <n v="0.45"/>
    <n v="0.40100000000000002"/>
    <n v="0.89500000000000002"/>
    <n v="82.6"/>
    <n v="0.14699999999999999"/>
    <n v="1996"/>
    <n v="33.5"/>
    <n v="17"/>
    <n v="4.7"/>
    <n v="1.8"/>
    <x v="0"/>
    <x v="13"/>
    <n v="1"/>
  </r>
  <r>
    <x v="14"/>
    <x v="15"/>
    <x v="296"/>
    <s v="Santa Clara"/>
    <n v="18"/>
    <n v="1217"/>
    <n v="38069"/>
    <n v="17387"/>
    <n v="3642"/>
    <n v="10335"/>
    <n v="0.49"/>
    <n v="0.42799999999999999"/>
    <n v="0.90400000000000003"/>
    <n v="129.69999999999999"/>
    <n v="0.16400000000000001"/>
    <n v="1996"/>
    <n v="31.3"/>
    <n v="14.3"/>
    <n v="3"/>
    <n v="8.5"/>
    <x v="0"/>
    <x v="14"/>
    <n v="1"/>
  </r>
  <r>
    <x v="15"/>
    <x v="4"/>
    <x v="297"/>
    <s v="Kentucky"/>
    <n v="10"/>
    <n v="545"/>
    <n v="11702"/>
    <n v="4957"/>
    <n v="1351"/>
    <n v="1024"/>
    <n v="0.40799999999999997"/>
    <n v="0.34300000000000003"/>
    <n v="0.76900000000000002"/>
    <n v="19.5"/>
    <n v="0.08"/>
    <n v="1996"/>
    <n v="21.5"/>
    <n v="9.1"/>
    <n v="2.5"/>
    <n v="1.9"/>
    <x v="0"/>
    <x v="15"/>
    <n v="1"/>
  </r>
  <r>
    <x v="16"/>
    <x v="17"/>
    <x v="298"/>
    <s v="NA"/>
    <n v="18"/>
    <n v="1011"/>
    <n v="27364"/>
    <n v="13309"/>
    <n v="7261"/>
    <n v="1369"/>
    <n v="0.46700000000000003"/>
    <n v="0.14699999999999999"/>
    <n v="0.71499999999999997"/>
    <n v="66"/>
    <n v="0.11600000000000001"/>
    <n v="1996"/>
    <n v="27.1"/>
    <n v="13.2"/>
    <n v="7.2"/>
    <n v="1.4"/>
    <x v="0"/>
    <x v="16"/>
    <n v="1"/>
  </r>
  <r>
    <x v="17"/>
    <x v="13"/>
    <x v="299"/>
    <s v="Syracuse"/>
    <n v="7"/>
    <n v="381"/>
    <n v="6143"/>
    <n v="2901"/>
    <n v="1061"/>
    <n v="281"/>
    <n v="0.46200000000000002"/>
    <n v="0.3"/>
    <n v="0.74"/>
    <n v="6.4"/>
    <n v="0.05"/>
    <n v="1996"/>
    <n v="16.100000000000001"/>
    <n v="7.6"/>
    <n v="2.8"/>
    <n v="0.7"/>
    <x v="0"/>
    <x v="17"/>
    <n v="1"/>
  </r>
  <r>
    <x v="18"/>
    <x v="13"/>
    <x v="300"/>
    <s v="Kentucky"/>
    <n v="10"/>
    <n v="593"/>
    <n v="10374"/>
    <n v="3056"/>
    <n v="1554"/>
    <n v="670"/>
    <n v="0.39200000000000002"/>
    <n v="0.34599999999999997"/>
    <n v="0.69799999999999995"/>
    <n v="13.7"/>
    <n v="6.4000000000000001E-2"/>
    <n v="1996"/>
    <n v="17.5"/>
    <n v="5.2"/>
    <n v="2.6"/>
    <n v="1.1000000000000001"/>
    <x v="0"/>
    <x v="18"/>
    <n v="1"/>
  </r>
  <r>
    <x v="19"/>
    <x v="25"/>
    <x v="301"/>
    <s v="NA"/>
    <n v="13"/>
    <n v="843"/>
    <n v="22965"/>
    <n v="10976"/>
    <n v="6191"/>
    <n v="955"/>
    <n v="0.47599999999999998"/>
    <n v="0.31"/>
    <n v="0.78"/>
    <n v="66.3"/>
    <n v="0.13900000000000001"/>
    <n v="1996"/>
    <n v="27.2"/>
    <n v="13"/>
    <n v="7.3"/>
    <n v="1.1000000000000001"/>
    <x v="0"/>
    <x v="19"/>
    <n v="1"/>
  </r>
  <r>
    <x v="20"/>
    <x v="13"/>
    <x v="302"/>
    <s v="Mississippi State"/>
    <n v="1"/>
    <n v="15"/>
    <n v="91"/>
    <n v="44"/>
    <n v="9"/>
    <n v="5"/>
    <n v="0.33300000000000002"/>
    <n v="0.26100000000000001"/>
    <n v="0"/>
    <n v="-0.3"/>
    <n v="-0.17499999999999999"/>
    <n v="1996"/>
    <n v="6.1"/>
    <n v="2.9"/>
    <n v="0.6"/>
    <n v="0.3"/>
    <x v="0"/>
    <x v="20"/>
    <n v="0"/>
  </r>
  <r>
    <x v="21"/>
    <x v="27"/>
    <x v="303"/>
    <s v="Alabama"/>
    <n v="3"/>
    <n v="137"/>
    <n v="2309"/>
    <n v="652"/>
    <n v="483"/>
    <n v="57"/>
    <n v="0.48299999999999998"/>
    <n v="0.5"/>
    <n v="0.53200000000000003"/>
    <n v="1.7"/>
    <n v="3.5000000000000003E-2"/>
    <n v="1996"/>
    <n v="16.899999999999999"/>
    <n v="4.8"/>
    <n v="3.5"/>
    <n v="0.4"/>
    <x v="0"/>
    <x v="21"/>
    <n v="0"/>
  </r>
  <r>
    <x v="22"/>
    <x v="2"/>
    <x v="304"/>
    <s v="NA"/>
    <n v="1"/>
    <n v="35"/>
    <n v="144"/>
    <n v="52"/>
    <n v="26"/>
    <n v="7"/>
    <n v="0.33900000000000002"/>
    <n v="0.5"/>
    <n v="0.88900000000000001"/>
    <n v="0.2"/>
    <n v="5.8000000000000003E-2"/>
    <n v="1996"/>
    <n v="4.0999999999999996"/>
    <n v="1.5"/>
    <n v="0.7"/>
    <n v="0.2"/>
    <x v="0"/>
    <x v="22"/>
    <n v="0"/>
  </r>
  <r>
    <x v="23"/>
    <x v="19"/>
    <x v="305"/>
    <s v="Little Rock"/>
    <n v="18"/>
    <n v="1287"/>
    <n v="32719"/>
    <n v="10713"/>
    <n v="2658"/>
    <n v="3804"/>
    <n v="0.39900000000000002"/>
    <n v="0.374"/>
    <n v="0.81699999999999995"/>
    <n v="62.3"/>
    <n v="9.0999999999999998E-2"/>
    <n v="1996"/>
    <n v="25.4"/>
    <n v="8.3000000000000007"/>
    <n v="2.1"/>
    <n v="3"/>
    <x v="0"/>
    <x v="23"/>
    <n v="1"/>
  </r>
  <r>
    <x v="24"/>
    <x v="22"/>
    <x v="306"/>
    <s v="NA"/>
    <n v="2"/>
    <n v="83"/>
    <n v="951"/>
    <n v="389"/>
    <n v="181"/>
    <n v="50"/>
    <n v="0.42499999999999999"/>
    <n v="0.32300000000000001"/>
    <n v="0.69299999999999995"/>
    <n v="2"/>
    <n v="0.1"/>
    <n v="1996"/>
    <n v="11.5"/>
    <n v="4.7"/>
    <n v="2.2000000000000002"/>
    <n v="0.6"/>
    <x v="0"/>
    <x v="24"/>
    <n v="0"/>
  </r>
  <r>
    <x v="25"/>
    <x v="18"/>
    <x v="307"/>
    <s v="Georgetown"/>
    <n v="9"/>
    <n v="587"/>
    <n v="12755"/>
    <n v="3865"/>
    <n v="3743"/>
    <n v="474"/>
    <n v="0.502"/>
    <n v="3.7999999999999999E-2"/>
    <n v="0.64500000000000002"/>
    <n v="37.9"/>
    <n v="0.14299999999999999"/>
    <n v="1996"/>
    <n v="21.7"/>
    <n v="6.6"/>
    <n v="6.4"/>
    <n v="0.8"/>
    <x v="0"/>
    <x v="25"/>
    <n v="1"/>
  </r>
  <r>
    <x v="26"/>
    <x v="3"/>
    <x v="308"/>
    <s v="Indiana"/>
    <n v="3"/>
    <n v="102"/>
    <n v="1097"/>
    <n v="375"/>
    <n v="164"/>
    <n v="77"/>
    <n v="0.38100000000000001"/>
    <n v="0.34300000000000003"/>
    <n v="0.82"/>
    <n v="1.7"/>
    <n v="7.5999999999999998E-2"/>
    <n v="1996"/>
    <n v="10.8"/>
    <n v="3.7"/>
    <n v="1.6"/>
    <n v="0.8"/>
    <x v="0"/>
    <x v="26"/>
    <n v="0"/>
  </r>
  <r>
    <x v="27"/>
    <x v="9"/>
    <x v="309"/>
    <s v="Central State University"/>
    <n v="2"/>
    <n v="74"/>
    <n v="525"/>
    <n v="255"/>
    <n v="143"/>
    <n v="33"/>
    <n v="0.47199999999999998"/>
    <n v="0"/>
    <n v="0.55400000000000005"/>
    <n v="-0.8"/>
    <n v="-7.3999999999999996E-2"/>
    <n v="1996"/>
    <n v="7.1"/>
    <n v="3.4"/>
    <n v="1.9"/>
    <n v="0.4"/>
    <x v="0"/>
    <x v="27"/>
    <n v="0"/>
  </r>
  <r>
    <x v="28"/>
    <x v="20"/>
    <x v="310"/>
    <s v="UConn"/>
    <n v="7"/>
    <n v="371"/>
    <n v="4566"/>
    <n v="1276"/>
    <n v="1160"/>
    <n v="224"/>
    <n v="0.438"/>
    <n v="0.25900000000000001"/>
    <n v="0.69599999999999995"/>
    <n v="7.9"/>
    <n v="8.3000000000000004E-2"/>
    <n v="1996"/>
    <n v="12.3"/>
    <n v="3.4"/>
    <n v="3.1"/>
    <n v="0.6"/>
    <x v="0"/>
    <x v="28"/>
    <n v="1"/>
  </r>
  <r>
    <x v="29"/>
    <x v="11"/>
    <x v="311"/>
    <s v="Georgetown"/>
    <n v="12"/>
    <n v="709"/>
    <n v="13924"/>
    <n v="5212"/>
    <n v="3130"/>
    <n v="443"/>
    <n v="0.505"/>
    <n v="0"/>
    <n v="0.73799999999999999"/>
    <n v="23.1"/>
    <n v="0.08"/>
    <n v="1996"/>
    <n v="19.600000000000001"/>
    <n v="7.4"/>
    <n v="4.4000000000000004"/>
    <n v="0.6"/>
    <x v="1"/>
    <x v="0"/>
    <n v="1"/>
  </r>
  <r>
    <x v="30"/>
    <x v="21"/>
    <x v="312"/>
    <s v="Washington State"/>
    <n v="4"/>
    <n v="114"/>
    <n v="1508"/>
    <n v="381"/>
    <n v="316"/>
    <n v="63"/>
    <n v="0.41599999999999998"/>
    <n v="0.16700000000000001"/>
    <n v="0.80300000000000005"/>
    <n v="2.1"/>
    <n v="6.7000000000000004E-2"/>
    <n v="1996"/>
    <n v="13.2"/>
    <n v="3.3"/>
    <n v="2.8"/>
    <n v="0.6"/>
    <x v="1"/>
    <x v="1"/>
    <n v="0"/>
  </r>
  <r>
    <x v="32"/>
    <x v="12"/>
    <x v="313"/>
    <s v="University of West Florida"/>
    <n v="9"/>
    <n v="445"/>
    <n v="7640"/>
    <n v="2272"/>
    <n v="868"/>
    <n v="1233"/>
    <n v="0.40100000000000002"/>
    <n v="0.28599999999999998"/>
    <n v="0.74"/>
    <n v="10"/>
    <n v="6.3E-2"/>
    <n v="1996"/>
    <n v="17.2"/>
    <n v="5.0999999999999996"/>
    <n v="2"/>
    <n v="2.8"/>
    <x v="1"/>
    <x v="3"/>
    <n v="1"/>
  </r>
  <r>
    <x v="36"/>
    <x v="2"/>
    <x v="314"/>
    <s v="UNC"/>
    <n v="11"/>
    <n v="576"/>
    <n v="15927"/>
    <n v="5396"/>
    <n v="1170"/>
    <n v="2514"/>
    <n v="0.43099999999999999"/>
    <n v="0.32800000000000001"/>
    <n v="0.79600000000000004"/>
    <n v="23.1"/>
    <n v="7.0000000000000007E-2"/>
    <n v="1996"/>
    <n v="27.7"/>
    <n v="9.4"/>
    <n v="2"/>
    <n v="4.4000000000000004"/>
    <x v="1"/>
    <x v="7"/>
    <n v="1"/>
  </r>
  <r>
    <x v="37"/>
    <x v="14"/>
    <x v="315"/>
    <s v="Tennessee"/>
    <n v="1"/>
    <n v="35"/>
    <n v="268"/>
    <n v="76"/>
    <n v="60"/>
    <n v="7"/>
    <n v="0.52600000000000002"/>
    <n v="0"/>
    <n v="0.55200000000000005"/>
    <n v="0.2"/>
    <n v="3.1E-2"/>
    <n v="1996"/>
    <n v="7.7"/>
    <n v="2.2000000000000002"/>
    <n v="1.7"/>
    <n v="0.2"/>
    <x v="1"/>
    <x v="8"/>
    <n v="0"/>
  </r>
  <r>
    <x v="40"/>
    <x v="6"/>
    <x v="316"/>
    <s v="Texas Tech"/>
    <n v="2"/>
    <n v="14"/>
    <n v="108"/>
    <n v="30"/>
    <n v="15"/>
    <n v="4"/>
    <n v="0.41199999999999998"/>
    <n v="0.33300000000000002"/>
    <n v="0.5"/>
    <n v="0"/>
    <n v="-1.4E-2"/>
    <n v="1996"/>
    <n v="7.7"/>
    <n v="2.1"/>
    <n v="1.1000000000000001"/>
    <n v="0.3"/>
    <x v="1"/>
    <x v="11"/>
    <n v="0"/>
  </r>
  <r>
    <x v="41"/>
    <x v="11"/>
    <x v="317"/>
    <s v="LSU"/>
    <n v="11"/>
    <n v="203"/>
    <n v="2684"/>
    <n v="773"/>
    <n v="282"/>
    <n v="415"/>
    <n v="0.40600000000000003"/>
    <n v="0.35099999999999998"/>
    <n v="0.77100000000000002"/>
    <n v="2.2999999999999998"/>
    <n v="4.1000000000000002E-2"/>
    <n v="1996"/>
    <n v="13.2"/>
    <n v="3.8"/>
    <n v="1.4"/>
    <n v="2"/>
    <x v="1"/>
    <x v="12"/>
    <n v="1"/>
  </r>
  <r>
    <x v="42"/>
    <x v="15"/>
    <x v="318"/>
    <s v="Arizona"/>
    <n v="4"/>
    <n v="40"/>
    <n v="154"/>
    <n v="54"/>
    <n v="53"/>
    <n v="5"/>
    <n v="0.35599999999999998"/>
    <n v="0"/>
    <n v="0.46200000000000002"/>
    <n v="0.1"/>
    <n v="0.04"/>
    <n v="1996"/>
    <n v="3.9"/>
    <n v="1.4"/>
    <n v="1.3"/>
    <n v="0.1"/>
    <x v="1"/>
    <x v="13"/>
    <n v="0"/>
  </r>
  <r>
    <x v="43"/>
    <x v="4"/>
    <x v="319"/>
    <s v="Drexel"/>
    <n v="13"/>
    <n v="813"/>
    <n v="13404"/>
    <n v="5003"/>
    <n v="3371"/>
    <n v="684"/>
    <n v="0.437"/>
    <n v="0.17699999999999999"/>
    <n v="0.74299999999999999"/>
    <n v="26.5"/>
    <n v="9.5000000000000001E-2"/>
    <n v="1996"/>
    <n v="16.5"/>
    <n v="6.2"/>
    <n v="4.0999999999999996"/>
    <n v="0.8"/>
    <x v="1"/>
    <x v="14"/>
    <n v="1"/>
  </r>
  <r>
    <x v="45"/>
    <x v="17"/>
    <x v="320"/>
    <s v="Murray State"/>
    <n v="2"/>
    <n v="27"/>
    <n v="229"/>
    <n v="92"/>
    <n v="22"/>
    <n v="23"/>
    <n v="0.38100000000000001"/>
    <n v="0.33300000000000002"/>
    <n v="0.71399999999999997"/>
    <n v="0.3"/>
    <n v="6.6000000000000003E-2"/>
    <n v="1996"/>
    <n v="8.5"/>
    <n v="3.4"/>
    <n v="0.8"/>
    <n v="0.9"/>
    <x v="1"/>
    <x v="16"/>
    <n v="0"/>
  </r>
  <r>
    <x v="47"/>
    <x v="21"/>
    <x v="321"/>
    <s v="Michigan State"/>
    <n v="5"/>
    <n v="201"/>
    <n v="4316"/>
    <n v="911"/>
    <n v="1437"/>
    <n v="139"/>
    <n v="0.42399999999999999"/>
    <n v="0.4"/>
    <n v="0.629"/>
    <n v="8.1999999999999993"/>
    <n v="9.0999999999999998E-2"/>
    <n v="1996"/>
    <n v="21.5"/>
    <n v="4.5"/>
    <n v="7.1"/>
    <n v="0.7"/>
    <x v="1"/>
    <x v="18"/>
    <n v="0"/>
  </r>
  <r>
    <x v="52"/>
    <x v="3"/>
    <x v="322"/>
    <s v="Marquette"/>
    <n v="4"/>
    <n v="114"/>
    <n v="968"/>
    <n v="204"/>
    <n v="213"/>
    <n v="36"/>
    <n v="0.377"/>
    <n v="0"/>
    <n v="0.60899999999999999"/>
    <n v="0.5"/>
    <n v="2.4E-2"/>
    <n v="1996"/>
    <n v="8.5"/>
    <n v="1.8"/>
    <n v="1.9"/>
    <n v="0.3"/>
    <x v="1"/>
    <x v="19"/>
    <n v="0"/>
  </r>
  <r>
    <x v="49"/>
    <x v="27"/>
    <x v="323"/>
    <s v="Western Kentucky"/>
    <n v="2"/>
    <n v="76"/>
    <n v="1095"/>
    <n v="350"/>
    <n v="117"/>
    <n v="104"/>
    <n v="0.376"/>
    <n v="0.374"/>
    <n v="0.57099999999999995"/>
    <n v="-0.1"/>
    <n v="-3.0000000000000001E-3"/>
    <n v="1996"/>
    <n v="14.4"/>
    <n v="4.5999999999999996"/>
    <n v="1.5"/>
    <n v="1.4"/>
    <x v="1"/>
    <x v="21"/>
    <n v="0"/>
  </r>
  <r>
    <x v="50"/>
    <x v="24"/>
    <x v="324"/>
    <s v="Kentucky"/>
    <n v="6"/>
    <n v="153"/>
    <n v="1634"/>
    <n v="285"/>
    <n v="261"/>
    <n v="63"/>
    <n v="0.40100000000000002"/>
    <n v="0.17899999999999999"/>
    <n v="0.57299999999999995"/>
    <n v="1.3"/>
    <n v="3.7999999999999999E-2"/>
    <n v="1996"/>
    <n v="10.7"/>
    <n v="1.9"/>
    <n v="1.7"/>
    <n v="0.4"/>
    <x v="1"/>
    <x v="22"/>
    <n v="1"/>
  </r>
  <r>
    <x v="57"/>
    <x v="12"/>
    <x v="325"/>
    <s v="Green Bay"/>
    <n v="1"/>
    <n v="13"/>
    <n v="48"/>
    <n v="18"/>
    <n v="14"/>
    <n v="3"/>
    <n v="0.27800000000000002"/>
    <n v="0"/>
    <n v="0.88900000000000001"/>
    <n v="0"/>
    <n v="4.2999999999999997E-2"/>
    <n v="1996"/>
    <n v="3.7"/>
    <n v="1.4"/>
    <n v="1.1000000000000001"/>
    <n v="0.2"/>
    <x v="1"/>
    <x v="23"/>
    <n v="0"/>
  </r>
  <r>
    <x v="51"/>
    <x v="22"/>
    <x v="326"/>
    <s v="Georgia"/>
    <n v="10"/>
    <n v="719"/>
    <n v="15946"/>
    <n v="5327"/>
    <n v="2252"/>
    <n v="1007"/>
    <n v="0.45700000000000002"/>
    <n v="0.316"/>
    <n v="0.73899999999999999"/>
    <n v="23.6"/>
    <n v="7.0999999999999994E-2"/>
    <n v="1996"/>
    <n v="22.2"/>
    <n v="7.4"/>
    <n v="3.1"/>
    <n v="1.4"/>
    <x v="1"/>
    <x v="24"/>
    <n v="1"/>
  </r>
  <r>
    <x v="54"/>
    <x v="25"/>
    <x v="327"/>
    <s v="Arizona"/>
    <n v="2"/>
    <n v="101"/>
    <n v="931"/>
    <n v="209"/>
    <n v="82"/>
    <n v="110"/>
    <n v="0.34399999999999997"/>
    <n v="0.32800000000000001"/>
    <n v="0.49299999999999999"/>
    <n v="0.6"/>
    <n v="3.2000000000000001E-2"/>
    <n v="1996"/>
    <n v="9.1999999999999993"/>
    <n v="2.1"/>
    <n v="0.8"/>
    <n v="1.1000000000000001"/>
    <x v="1"/>
    <x v="26"/>
    <n v="0"/>
  </r>
  <r>
    <x v="55"/>
    <x v="1"/>
    <x v="328"/>
    <s v="Georgia Tech"/>
    <n v="3"/>
    <n v="60"/>
    <n v="598"/>
    <n v="134"/>
    <n v="67"/>
    <n v="111"/>
    <n v="0.41699999999999998"/>
    <n v="0.38100000000000001"/>
    <n v="0.77400000000000002"/>
    <n v="0.6"/>
    <n v="5.0999999999999997E-2"/>
    <n v="1996"/>
    <n v="10"/>
    <n v="2.2000000000000002"/>
    <n v="1.1000000000000001"/>
    <n v="1.9"/>
    <x v="1"/>
    <x v="27"/>
    <n v="0"/>
  </r>
  <r>
    <x v="0"/>
    <x v="16"/>
    <x v="329"/>
    <s v="Wake Forest"/>
    <n v="19"/>
    <n v="1392"/>
    <n v="47368"/>
    <n v="26496"/>
    <n v="15091"/>
    <n v="4225"/>
    <n v="0.50600000000000001"/>
    <n v="0.17899999999999999"/>
    <n v="0.69599999999999995"/>
    <n v="206.4"/>
    <n v="0.20899999999999999"/>
    <n v="1997"/>
    <n v="34"/>
    <n v="19"/>
    <n v="10.8"/>
    <n v="3"/>
    <x v="0"/>
    <x v="0"/>
    <n v="1"/>
  </r>
  <r>
    <x v="1"/>
    <x v="21"/>
    <x v="330"/>
    <s v="Utah"/>
    <n v="9"/>
    <n v="575"/>
    <n v="18150"/>
    <n v="9206"/>
    <n v="3909"/>
    <n v="900"/>
    <n v="0.443"/>
    <n v="0.36099999999999999"/>
    <n v="0.83499999999999996"/>
    <n v="41.7"/>
    <n v="0.11"/>
    <n v="1997"/>
    <n v="31.6"/>
    <n v="16"/>
    <n v="6.8"/>
    <n v="1.6"/>
    <x v="0"/>
    <x v="1"/>
    <n v="1"/>
  </r>
  <r>
    <x v="2"/>
    <x v="14"/>
    <x v="331"/>
    <s v="Colorado"/>
    <n v="17"/>
    <n v="1043"/>
    <n v="33008"/>
    <n v="15802"/>
    <n v="2992"/>
    <n v="5636"/>
    <n v="0.41499999999999998"/>
    <n v="0.38700000000000001"/>
    <n v="0.89400000000000002"/>
    <n v="120.8"/>
    <n v="0.17599999999999999"/>
    <n v="1997"/>
    <n v="31.6"/>
    <n v="15.2"/>
    <n v="2.9"/>
    <n v="5.4"/>
    <x v="0"/>
    <x v="2"/>
    <n v="1"/>
  </r>
  <r>
    <x v="3"/>
    <x v="27"/>
    <x v="332"/>
    <s v="Bowling Green"/>
    <n v="13"/>
    <n v="872"/>
    <n v="19671"/>
    <n v="6623"/>
    <n v="1613"/>
    <n v="2934"/>
    <n v="0.44400000000000001"/>
    <n v="0.311"/>
    <n v="0.79300000000000004"/>
    <n v="47"/>
    <n v="0.115"/>
    <n v="1997"/>
    <n v="22.6"/>
    <n v="7.6"/>
    <n v="1.8"/>
    <n v="3.4"/>
    <x v="0"/>
    <x v="3"/>
    <n v="1"/>
  </r>
  <r>
    <x v="4"/>
    <x v="2"/>
    <x v="333"/>
    <s v="Texas Tech"/>
    <n v="14"/>
    <n v="837"/>
    <n v="17649"/>
    <n v="5082"/>
    <n v="4287"/>
    <n v="522"/>
    <n v="0.48799999999999999"/>
    <n v="0.16200000000000001"/>
    <n v="0.69"/>
    <n v="36.4"/>
    <n v="9.9000000000000005E-2"/>
    <n v="1997"/>
    <n v="21.1"/>
    <n v="6.1"/>
    <n v="5.0999999999999996"/>
    <n v="0.6"/>
    <x v="0"/>
    <x v="4"/>
    <n v="1"/>
  </r>
  <r>
    <x v="5"/>
    <x v="14"/>
    <x v="334"/>
    <s v="Kentucky"/>
    <n v="8"/>
    <n v="432"/>
    <n v="13418"/>
    <n v="5892"/>
    <n v="1342"/>
    <n v="921"/>
    <n v="0.42899999999999999"/>
    <n v="0.25"/>
    <n v="0.80800000000000005"/>
    <n v="9.4"/>
    <n v="3.4000000000000002E-2"/>
    <n v="1997"/>
    <n v="31.1"/>
    <n v="13.6"/>
    <n v="3.1"/>
    <n v="2.1"/>
    <x v="0"/>
    <x v="5"/>
    <n v="1"/>
  </r>
  <r>
    <x v="6"/>
    <x v="0"/>
    <x v="335"/>
    <s v="Villanova"/>
    <n v="13"/>
    <n v="824"/>
    <n v="21336"/>
    <n v="9454"/>
    <n v="3379"/>
    <n v="1272"/>
    <n v="0.437"/>
    <n v="0.36899999999999999"/>
    <n v="0.75800000000000001"/>
    <n v="35.200000000000003"/>
    <n v="7.9000000000000001E-2"/>
    <n v="1997"/>
    <n v="25.9"/>
    <n v="11.5"/>
    <n v="4.0999999999999996"/>
    <n v="1.5"/>
    <x v="0"/>
    <x v="6"/>
    <n v="1"/>
  </r>
  <r>
    <x v="7"/>
    <x v="10"/>
    <x v="336"/>
    <s v="Colgate"/>
    <n v="12"/>
    <n v="733"/>
    <n v="13060"/>
    <n v="2989"/>
    <n v="3461"/>
    <n v="344"/>
    <n v="0.47699999999999998"/>
    <n v="0"/>
    <n v="0.499"/>
    <n v="18.7"/>
    <n v="6.9000000000000006E-2"/>
    <n v="1997"/>
    <n v="17.8"/>
    <n v="4.0999999999999996"/>
    <n v="4.7"/>
    <n v="0.5"/>
    <x v="0"/>
    <x v="7"/>
    <n v="1"/>
  </r>
  <r>
    <x v="8"/>
    <x v="28"/>
    <x v="337"/>
    <s v="NA"/>
    <n v="15"/>
    <n v="938"/>
    <n v="30658"/>
    <n v="18381"/>
    <n v="5276"/>
    <n v="4161"/>
    <n v="0.435"/>
    <n v="0.33800000000000002"/>
    <n v="0.746"/>
    <n v="97.3"/>
    <n v="0.152"/>
    <n v="1997"/>
    <n v="32.700000000000003"/>
    <n v="19.600000000000001"/>
    <n v="5.6"/>
    <n v="4.4000000000000004"/>
    <x v="0"/>
    <x v="8"/>
    <n v="1"/>
  </r>
  <r>
    <x v="9"/>
    <x v="12"/>
    <x v="338"/>
    <s v="Cincinnati"/>
    <n v="10"/>
    <n v="440"/>
    <n v="8832"/>
    <n v="3615"/>
    <n v="3184"/>
    <n v="301"/>
    <n v="0.47199999999999998"/>
    <n v="0.16700000000000001"/>
    <n v="0.78500000000000003"/>
    <n v="22.3"/>
    <n v="0.121"/>
    <n v="1997"/>
    <n v="20.100000000000001"/>
    <n v="8.1999999999999993"/>
    <n v="7.2"/>
    <n v="0.7"/>
    <x v="0"/>
    <x v="9"/>
    <n v="1"/>
  </r>
  <r>
    <x v="10"/>
    <x v="6"/>
    <x v="339"/>
    <s v="San Jose State"/>
    <n v="6"/>
    <n v="236"/>
    <n v="4807"/>
    <n v="1830"/>
    <n v="776"/>
    <n v="266"/>
    <n v="0.41699999999999998"/>
    <n v="0.23699999999999999"/>
    <n v="0.70299999999999996"/>
    <n v="3.5"/>
    <n v="3.5000000000000003E-2"/>
    <n v="1997"/>
    <n v="20.399999999999999"/>
    <n v="7.8"/>
    <n v="3.3"/>
    <n v="1.1000000000000001"/>
    <x v="0"/>
    <x v="10"/>
    <n v="1"/>
  </r>
  <r>
    <x v="11"/>
    <x v="24"/>
    <x v="340"/>
    <s v="Providence"/>
    <n v="12"/>
    <n v="659"/>
    <n v="11480"/>
    <n v="4475"/>
    <n v="2649"/>
    <n v="627"/>
    <n v="0.40699999999999997"/>
    <n v="0.34"/>
    <n v="0.86099999999999999"/>
    <n v="27.6"/>
    <n v="0.115"/>
    <n v="1997"/>
    <n v="17.399999999999999"/>
    <n v="6.8"/>
    <n v="4"/>
    <n v="1"/>
    <x v="0"/>
    <x v="11"/>
    <n v="1"/>
  </r>
  <r>
    <x v="12"/>
    <x v="25"/>
    <x v="341"/>
    <s v="Kentucky"/>
    <n v="11"/>
    <n v="615"/>
    <n v="17975"/>
    <n v="7357"/>
    <n v="1988"/>
    <n v="2083"/>
    <n v="0.40799999999999997"/>
    <n v="0.34100000000000003"/>
    <n v="0.85299999999999998"/>
    <n v="43.9"/>
    <n v="0.11700000000000001"/>
    <n v="1997"/>
    <n v="29.2"/>
    <n v="12"/>
    <n v="3.2"/>
    <n v="3.4"/>
    <x v="0"/>
    <x v="12"/>
    <n v="1"/>
  </r>
  <r>
    <x v="13"/>
    <x v="7"/>
    <x v="342"/>
    <s v="Michigan"/>
    <n v="9"/>
    <n v="534"/>
    <n v="13324"/>
    <n v="5889"/>
    <n v="2452"/>
    <n v="623"/>
    <n v="0.46600000000000003"/>
    <n v="0.152"/>
    <n v="0.71099999999999997"/>
    <n v="9.9"/>
    <n v="3.5999999999999997E-2"/>
    <n v="1997"/>
    <n v="25"/>
    <n v="11"/>
    <n v="4.5999999999999996"/>
    <n v="1.2"/>
    <x v="0"/>
    <x v="13"/>
    <n v="1"/>
  </r>
  <r>
    <x v="14"/>
    <x v="26"/>
    <x v="343"/>
    <s v="Iowa State"/>
    <n v="10"/>
    <n v="541"/>
    <n v="10617"/>
    <n v="2960"/>
    <n v="2874"/>
    <n v="244"/>
    <n v="0.50700000000000001"/>
    <n v="7.6999999999999999E-2"/>
    <n v="0.64400000000000002"/>
    <n v="28.6"/>
    <n v="0.129"/>
    <n v="1997"/>
    <n v="19.600000000000001"/>
    <n v="5.5"/>
    <n v="5.3"/>
    <n v="0.5"/>
    <x v="0"/>
    <x v="14"/>
    <n v="1"/>
  </r>
  <r>
    <x v="15"/>
    <x v="25"/>
    <x v="344"/>
    <s v="Stanford"/>
    <n v="12"/>
    <n v="729"/>
    <n v="18176"/>
    <n v="5342"/>
    <n v="1785"/>
    <n v="4481"/>
    <n v="0.41199999999999998"/>
    <n v="0.13400000000000001"/>
    <n v="0.78900000000000003"/>
    <n v="32.6"/>
    <n v="8.5999999999999993E-2"/>
    <n v="1997"/>
    <n v="24.9"/>
    <n v="7.3"/>
    <n v="2.4"/>
    <n v="6.1"/>
    <x v="0"/>
    <x v="15"/>
    <n v="1"/>
  </r>
  <r>
    <x v="16"/>
    <x v="3"/>
    <x v="345"/>
    <s v="Chattanooga"/>
    <n v="3"/>
    <n v="54"/>
    <n v="866"/>
    <n v="256"/>
    <n v="120"/>
    <n v="26"/>
    <n v="0.40200000000000002"/>
    <n v="0.39400000000000002"/>
    <n v="0.71799999999999997"/>
    <n v="0.1"/>
    <n v="7.0000000000000001E-3"/>
    <n v="1997"/>
    <n v="16"/>
    <n v="4.7"/>
    <n v="2.2000000000000002"/>
    <n v="0.5"/>
    <x v="0"/>
    <x v="16"/>
    <n v="0"/>
  </r>
  <r>
    <x v="17"/>
    <x v="17"/>
    <x v="346"/>
    <s v="NA"/>
    <n v="3"/>
    <n v="155"/>
    <n v="2157"/>
    <n v="813"/>
    <n v="534"/>
    <n v="127"/>
    <n v="0.41299999999999998"/>
    <n v="0.13800000000000001"/>
    <n v="0.755"/>
    <n v="2.8"/>
    <n v="6.2E-2"/>
    <n v="1997"/>
    <n v="13.9"/>
    <n v="5.2"/>
    <n v="3.4"/>
    <n v="0.8"/>
    <x v="0"/>
    <x v="17"/>
    <n v="0"/>
  </r>
  <r>
    <x v="18"/>
    <x v="18"/>
    <x v="347"/>
    <s v="Kansas"/>
    <n v="11"/>
    <n v="506"/>
    <n v="8372"/>
    <n v="2222"/>
    <n v="2351"/>
    <n v="220"/>
    <n v="0.49399999999999999"/>
    <n v="0"/>
    <n v="0.70899999999999996"/>
    <n v="26.6"/>
    <n v="0.153"/>
    <n v="1997"/>
    <n v="16.5"/>
    <n v="4.4000000000000004"/>
    <n v="4.5999999999999996"/>
    <n v="0.4"/>
    <x v="0"/>
    <x v="18"/>
    <n v="1"/>
  </r>
  <r>
    <x v="19"/>
    <x v="5"/>
    <x v="348"/>
    <s v="Wisconsin"/>
    <n v="2"/>
    <n v="16"/>
    <n v="111"/>
    <n v="29"/>
    <n v="18"/>
    <n v="3"/>
    <n v="0.44800000000000001"/>
    <n v="0"/>
    <n v="0.375"/>
    <n v="-0.1"/>
    <n v="-4.2999999999999997E-2"/>
    <n v="1997"/>
    <n v="6.9"/>
    <n v="1.8"/>
    <n v="1.1000000000000001"/>
    <n v="0.2"/>
    <x v="0"/>
    <x v="19"/>
    <n v="0"/>
  </r>
  <r>
    <x v="20"/>
    <x v="0"/>
    <x v="349"/>
    <s v="Bradley"/>
    <n v="9"/>
    <n v="494"/>
    <n v="13752"/>
    <n v="4478"/>
    <n v="1574"/>
    <n v="1129"/>
    <n v="0.44400000000000001"/>
    <n v="0.40400000000000003"/>
    <n v="0.79400000000000004"/>
    <n v="24.5"/>
    <n v="8.5000000000000006E-2"/>
    <n v="1997"/>
    <n v="27.8"/>
    <n v="9.1"/>
    <n v="3.2"/>
    <n v="2.2999999999999998"/>
    <x v="0"/>
    <x v="20"/>
    <n v="1"/>
  </r>
  <r>
    <x v="21"/>
    <x v="9"/>
    <x v="350"/>
    <s v="California"/>
    <n v="2"/>
    <n v="60"/>
    <n v="809"/>
    <n v="373"/>
    <n v="73"/>
    <n v="46"/>
    <n v="0.33900000000000002"/>
    <n v="0.34100000000000003"/>
    <n v="0.81399999999999995"/>
    <n v="0.1"/>
    <n v="8.9999999999999993E-3"/>
    <n v="1997"/>
    <n v="13.5"/>
    <n v="6.2"/>
    <n v="1.2"/>
    <n v="0.8"/>
    <x v="0"/>
    <x v="21"/>
    <n v="0"/>
  </r>
  <r>
    <x v="22"/>
    <x v="1"/>
    <x v="351"/>
    <s v="Minnesota"/>
    <n v="12"/>
    <n v="755"/>
    <n v="16790"/>
    <n v="7344"/>
    <n v="2347"/>
    <n v="1945"/>
    <n v="0.41699999999999998"/>
    <n v="0.35399999999999998"/>
    <n v="0.79300000000000004"/>
    <n v="31.4"/>
    <n v="0.09"/>
    <n v="1997"/>
    <n v="22.2"/>
    <n v="9.6999999999999993"/>
    <n v="3.1"/>
    <n v="2.6"/>
    <x v="0"/>
    <x v="22"/>
    <n v="1"/>
  </r>
  <r>
    <x v="23"/>
    <x v="11"/>
    <x v="352"/>
    <s v="USC"/>
    <n v="3"/>
    <n v="72"/>
    <n v="1234"/>
    <n v="380"/>
    <n v="88"/>
    <n v="121"/>
    <n v="0.34699999999999998"/>
    <n v="0.2"/>
    <n v="0.62"/>
    <n v="-1.6"/>
    <n v="-6.4000000000000001E-2"/>
    <n v="1997"/>
    <n v="17.100000000000001"/>
    <n v="5.3"/>
    <n v="1.2"/>
    <n v="1.7"/>
    <x v="0"/>
    <x v="23"/>
    <n v="0"/>
  </r>
  <r>
    <x v="24"/>
    <x v="13"/>
    <x v="353"/>
    <s v="Minnesota"/>
    <n v="5"/>
    <n v="208"/>
    <n v="2253"/>
    <n v="560"/>
    <n v="432"/>
    <n v="60"/>
    <n v="0.502"/>
    <n v="0"/>
    <n v="0.59099999999999997"/>
    <n v="3.2"/>
    <n v="6.7000000000000004E-2"/>
    <n v="1997"/>
    <n v="10.8"/>
    <n v="2.7"/>
    <n v="2.1"/>
    <n v="0.3"/>
    <x v="0"/>
    <x v="24"/>
    <n v="0"/>
  </r>
  <r>
    <x v="25"/>
    <x v="8"/>
    <x v="354"/>
    <s v="New Mexico"/>
    <n v="5"/>
    <n v="142"/>
    <n v="1973"/>
    <n v="729"/>
    <n v="200"/>
    <n v="124"/>
    <n v="0.40899999999999997"/>
    <n v="0.28799999999999998"/>
    <n v="0.60599999999999998"/>
    <n v="1.5"/>
    <n v="3.5999999999999997E-2"/>
    <n v="1997"/>
    <n v="13.9"/>
    <n v="5.0999999999999996"/>
    <n v="1.4"/>
    <n v="0.9"/>
    <x v="0"/>
    <x v="25"/>
    <n v="0"/>
  </r>
  <r>
    <x v="26"/>
    <x v="22"/>
    <x v="355"/>
    <s v="Kansas"/>
    <n v="12"/>
    <n v="776"/>
    <n v="12658"/>
    <n v="3463"/>
    <n v="1028"/>
    <n v="1919"/>
    <n v="0.42899999999999999"/>
    <n v="0.35199999999999998"/>
    <n v="0.77900000000000003"/>
    <n v="15.4"/>
    <n v="5.8000000000000003E-2"/>
    <n v="1997"/>
    <n v="16.3"/>
    <n v="4.5"/>
    <n v="1.3"/>
    <n v="2.5"/>
    <x v="0"/>
    <x v="26"/>
    <n v="1"/>
  </r>
  <r>
    <x v="27"/>
    <x v="20"/>
    <x v="356"/>
    <s v="Maryland"/>
    <n v="2"/>
    <n v="45"/>
    <n v="449"/>
    <n v="130"/>
    <n v="97"/>
    <n v="39"/>
    <n v="0.32500000000000001"/>
    <n v="9.0999999999999998E-2"/>
    <n v="0.56299999999999994"/>
    <n v="-0.8"/>
    <n v="-0.08"/>
    <n v="1997"/>
    <n v="10"/>
    <n v="2.9"/>
    <n v="2.2000000000000002"/>
    <n v="0.9"/>
    <x v="0"/>
    <x v="27"/>
    <n v="0"/>
  </r>
  <r>
    <x v="30"/>
    <x v="18"/>
    <x v="357"/>
    <s v="UCLA"/>
    <n v="2"/>
    <n v="48"/>
    <n v="399"/>
    <n v="120"/>
    <n v="67"/>
    <n v="29"/>
    <n v="0.4"/>
    <n v="0"/>
    <n v="0.87"/>
    <n v="0.6"/>
    <n v="7.0000000000000007E-2"/>
    <n v="1997"/>
    <n v="8.3000000000000007"/>
    <n v="2.5"/>
    <n v="1.4"/>
    <n v="0.6"/>
    <x v="1"/>
    <x v="2"/>
    <n v="0"/>
  </r>
  <r>
    <x v="31"/>
    <x v="2"/>
    <x v="358"/>
    <s v="Cal State Long Beach"/>
    <n v="2"/>
    <n v="19"/>
    <n v="92"/>
    <n v="49"/>
    <n v="16"/>
    <n v="0"/>
    <n v="0.35899999999999999"/>
    <n v="0"/>
    <n v="0.77800000000000002"/>
    <n v="0"/>
    <n v="8.0000000000000002E-3"/>
    <n v="1997"/>
    <n v="4.8"/>
    <n v="2.6"/>
    <n v="0.8"/>
    <n v="0"/>
    <x v="1"/>
    <x v="3"/>
    <n v="0"/>
  </r>
  <r>
    <x v="32"/>
    <x v="21"/>
    <x v="359"/>
    <s v="NA"/>
    <n v="2"/>
    <n v="44"/>
    <n v="216"/>
    <n v="108"/>
    <n v="30"/>
    <n v="14"/>
    <n v="0.56000000000000005"/>
    <n v="0.42899999999999999"/>
    <n v="0.64700000000000002"/>
    <n v="0.2"/>
    <n v="4.7E-2"/>
    <n v="1997"/>
    <n v="4.9000000000000004"/>
    <n v="2.5"/>
    <n v="0.7"/>
    <n v="0.3"/>
    <x v="1"/>
    <x v="4"/>
    <n v="0"/>
  </r>
  <r>
    <x v="33"/>
    <x v="26"/>
    <x v="360"/>
    <s v="Austin Peay State University"/>
    <n v="1"/>
    <n v="39"/>
    <n v="395"/>
    <n v="128"/>
    <n v="68"/>
    <n v="34"/>
    <n v="0.41399999999999998"/>
    <n v="0.16700000000000001"/>
    <n v="0.72099999999999997"/>
    <n v="0.1"/>
    <n v="1.2999999999999999E-2"/>
    <n v="1997"/>
    <n v="10.1"/>
    <n v="3.3"/>
    <n v="1.7"/>
    <n v="0.9"/>
    <x v="1"/>
    <x v="5"/>
    <n v="0"/>
  </r>
  <r>
    <x v="34"/>
    <x v="21"/>
    <x v="361"/>
    <s v="Cal State-Bakersfield"/>
    <n v="1"/>
    <n v="15"/>
    <n v="110"/>
    <n v="40"/>
    <n v="31"/>
    <n v="2"/>
    <n v="0.46200000000000002"/>
    <n v="0"/>
    <n v="0.64"/>
    <n v="0.2"/>
    <n v="9.8000000000000004E-2"/>
    <n v="1997"/>
    <n v="7.3"/>
    <n v="2.7"/>
    <n v="2.1"/>
    <n v="0.1"/>
    <x v="1"/>
    <x v="6"/>
    <n v="0"/>
  </r>
  <r>
    <x v="35"/>
    <x v="21"/>
    <x v="362"/>
    <s v="Florida State"/>
    <n v="1"/>
    <n v="23"/>
    <n v="103"/>
    <n v="59"/>
    <n v="14"/>
    <n v="3"/>
    <n v="0.38200000000000001"/>
    <n v="0.45"/>
    <n v="0.57099999999999995"/>
    <n v="0"/>
    <n v="8.0000000000000002E-3"/>
    <n v="1997"/>
    <n v="4.5"/>
    <n v="2.6"/>
    <n v="0.6"/>
    <n v="0.1"/>
    <x v="1"/>
    <x v="7"/>
    <n v="0"/>
  </r>
  <r>
    <x v="36"/>
    <x v="10"/>
    <x v="363"/>
    <s v="Temple"/>
    <n v="7"/>
    <n v="387"/>
    <n v="7572"/>
    <n v="3238"/>
    <n v="1655"/>
    <n v="311"/>
    <n v="0.44600000000000001"/>
    <n v="0.22600000000000001"/>
    <n v="0.81399999999999995"/>
    <n v="13"/>
    <n v="8.2000000000000003E-2"/>
    <n v="1997"/>
    <n v="19.600000000000001"/>
    <n v="8.4"/>
    <n v="4.3"/>
    <n v="0.8"/>
    <x v="1"/>
    <x v="8"/>
    <n v="1"/>
  </r>
  <r>
    <x v="37"/>
    <x v="12"/>
    <x v="364"/>
    <s v="Tulane"/>
    <n v="2"/>
    <n v="54"/>
    <n v="632"/>
    <n v="275"/>
    <n v="105"/>
    <n v="36"/>
    <n v="0.39100000000000001"/>
    <n v="0.36199999999999999"/>
    <n v="0.63200000000000001"/>
    <n v="0.3"/>
    <n v="0.02"/>
    <n v="1997"/>
    <n v="11.7"/>
    <n v="5.0999999999999996"/>
    <n v="1.9"/>
    <n v="0.7"/>
    <x v="1"/>
    <x v="9"/>
    <n v="0"/>
  </r>
  <r>
    <x v="38"/>
    <x v="6"/>
    <x v="365"/>
    <s v="College of Charleston"/>
    <n v="13"/>
    <n v="793"/>
    <n v="15552"/>
    <n v="4432"/>
    <n v="1358"/>
    <n v="2274"/>
    <n v="0.41399999999999998"/>
    <n v="0.35599999999999998"/>
    <n v="0.745"/>
    <n v="23.2"/>
    <n v="7.1999999999999995E-2"/>
    <n v="1997"/>
    <n v="19.600000000000001"/>
    <n v="5.6"/>
    <n v="1.7"/>
    <n v="2.9"/>
    <x v="1"/>
    <x v="10"/>
    <n v="1"/>
  </r>
  <r>
    <x v="40"/>
    <x v="2"/>
    <x v="366"/>
    <s v="Villanova"/>
    <n v="1"/>
    <n v="17"/>
    <n v="80"/>
    <n v="26"/>
    <n v="27"/>
    <n v="5"/>
    <n v="0.6"/>
    <n v="0"/>
    <n v="0.8"/>
    <n v="0.5"/>
    <n v="0.28000000000000003"/>
    <n v="1997"/>
    <n v="4.7"/>
    <n v="1.5"/>
    <n v="1.6"/>
    <n v="0.3"/>
    <x v="1"/>
    <x v="12"/>
    <n v="0"/>
  </r>
  <r>
    <x v="41"/>
    <x v="15"/>
    <x v="367"/>
    <s v="Butler County Community College"/>
    <n v="14"/>
    <n v="858"/>
    <n v="27398"/>
    <n v="12976"/>
    <n v="3328"/>
    <n v="2634"/>
    <n v="0.41399999999999998"/>
    <n v="0.33300000000000002"/>
    <n v="0.79800000000000004"/>
    <n v="36.1"/>
    <n v="6.3E-2"/>
    <n v="1997"/>
    <n v="31.9"/>
    <n v="15.1"/>
    <n v="3.9"/>
    <n v="3.1"/>
    <x v="1"/>
    <x v="13"/>
    <n v="1"/>
  </r>
  <r>
    <x v="43"/>
    <x v="25"/>
    <x v="368"/>
    <s v="Memphis"/>
    <n v="5"/>
    <n v="260"/>
    <n v="6182"/>
    <n v="1885"/>
    <n v="755"/>
    <n v="419"/>
    <n v="0.436"/>
    <n v="0.14000000000000001"/>
    <n v="0.71499999999999997"/>
    <n v="3.3"/>
    <n v="2.5999999999999999E-2"/>
    <n v="1997"/>
    <n v="23.8"/>
    <n v="7.3"/>
    <n v="2.9"/>
    <n v="1.6"/>
    <x v="1"/>
    <x v="15"/>
    <n v="0"/>
  </r>
  <r>
    <x v="44"/>
    <x v="23"/>
    <x v="369"/>
    <s v="Providence"/>
    <n v="1"/>
    <n v="20"/>
    <n v="146"/>
    <n v="61"/>
    <n v="7"/>
    <n v="36"/>
    <n v="0.32800000000000001"/>
    <n v="0"/>
    <n v="0.76700000000000002"/>
    <n v="-0.1"/>
    <n v="-4.9000000000000002E-2"/>
    <n v="1997"/>
    <n v="7.3"/>
    <n v="3.1"/>
    <n v="0.4"/>
    <n v="1.8"/>
    <x v="1"/>
    <x v="16"/>
    <n v="0"/>
  </r>
  <r>
    <x v="45"/>
    <x v="3"/>
    <x v="370"/>
    <s v="Alabama"/>
    <n v="2"/>
    <n v="104"/>
    <n v="2300"/>
    <n v="716"/>
    <n v="216"/>
    <n v="108"/>
    <n v="0.40200000000000002"/>
    <n v="0.34599999999999997"/>
    <n v="0.75700000000000001"/>
    <n v="0.1"/>
    <n v="2E-3"/>
    <n v="1997"/>
    <n v="22.1"/>
    <n v="6.9"/>
    <n v="2.1"/>
    <n v="1"/>
    <x v="1"/>
    <x v="17"/>
    <n v="0"/>
  </r>
  <r>
    <x v="46"/>
    <x v="17"/>
    <x v="371"/>
    <s v="Villanova"/>
    <n v="9"/>
    <n v="460"/>
    <n v="12610"/>
    <n v="4161"/>
    <n v="1140"/>
    <n v="1877"/>
    <n v="0.42099999999999999"/>
    <n v="0.313"/>
    <n v="0.76"/>
    <n v="21.7"/>
    <n v="8.2000000000000003E-2"/>
    <n v="1997"/>
    <n v="27.4"/>
    <n v="9"/>
    <n v="2.5"/>
    <n v="4.0999999999999996"/>
    <x v="1"/>
    <x v="18"/>
    <n v="1"/>
  </r>
  <r>
    <x v="47"/>
    <x v="23"/>
    <x v="372"/>
    <s v="NA"/>
    <n v="4"/>
    <n v="278"/>
    <n v="5542"/>
    <n v="2187"/>
    <n v="973"/>
    <n v="225"/>
    <n v="0.42499999999999999"/>
    <n v="0.34"/>
    <n v="0.79900000000000004"/>
    <n v="5.6"/>
    <n v="4.8000000000000001E-2"/>
    <n v="1997"/>
    <n v="19.899999999999999"/>
    <n v="7.9"/>
    <n v="3.5"/>
    <n v="0.8"/>
    <x v="1"/>
    <x v="19"/>
    <n v="0"/>
  </r>
  <r>
    <x v="48"/>
    <x v="9"/>
    <x v="373"/>
    <s v="Marquette"/>
    <n v="7"/>
    <n v="252"/>
    <n v="3985"/>
    <n v="1654"/>
    <n v="547"/>
    <n v="154"/>
    <n v="0.437"/>
    <n v="0.34699999999999998"/>
    <n v="0.82399999999999995"/>
    <n v="6.5"/>
    <n v="7.8E-2"/>
    <n v="1997"/>
    <n v="15.8"/>
    <n v="6.6"/>
    <n v="2.2000000000000002"/>
    <n v="0.6"/>
    <x v="1"/>
    <x v="21"/>
    <n v="1"/>
  </r>
  <r>
    <x v="49"/>
    <x v="19"/>
    <x v="374"/>
    <s v="Louisville"/>
    <n v="2"/>
    <n v="80"/>
    <n v="740"/>
    <n v="265"/>
    <n v="56"/>
    <n v="127"/>
    <n v="0.38300000000000001"/>
    <n v="0.39"/>
    <n v="0.7"/>
    <n v="0.5"/>
    <n v="3.4000000000000002E-2"/>
    <n v="1997"/>
    <n v="9.3000000000000007"/>
    <n v="3.3"/>
    <n v="0.7"/>
    <n v="1.6"/>
    <x v="1"/>
    <x v="22"/>
    <n v="0"/>
  </r>
  <r>
    <x v="51"/>
    <x v="1"/>
    <x v="375"/>
    <s v="Pitt"/>
    <n v="9"/>
    <n v="605"/>
    <n v="13981"/>
    <n v="4941"/>
    <n v="2784"/>
    <n v="513"/>
    <n v="0.504"/>
    <n v="0.35899999999999999"/>
    <n v="0.72299999999999998"/>
    <n v="18.8"/>
    <n v="6.5000000000000002E-2"/>
    <n v="1997"/>
    <n v="23.1"/>
    <n v="8.1999999999999993"/>
    <n v="4.5999999999999996"/>
    <n v="0.8"/>
    <x v="1"/>
    <x v="25"/>
    <n v="1"/>
  </r>
  <r>
    <x v="0"/>
    <x v="7"/>
    <x v="376"/>
    <s v="University of the Pacific"/>
    <n v="9"/>
    <n v="500"/>
    <n v="13129"/>
    <n v="4135"/>
    <n v="3414"/>
    <n v="327"/>
    <n v="0.435"/>
    <n v="0"/>
    <n v="0.59699999999999998"/>
    <n v="2.5"/>
    <n v="8.9999999999999993E-3"/>
    <n v="1998"/>
    <n v="26.3"/>
    <n v="8.3000000000000007"/>
    <n v="6.8"/>
    <n v="0.7"/>
    <x v="0"/>
    <x v="0"/>
    <n v="1"/>
  </r>
  <r>
    <x v="1"/>
    <x v="27"/>
    <x v="377"/>
    <s v="Arizona"/>
    <n v="14"/>
    <n v="1001"/>
    <n v="33962"/>
    <n v="14698"/>
    <n v="3103"/>
    <n v="5517"/>
    <n v="0.436"/>
    <n v="0.379"/>
    <n v="0.80200000000000005"/>
    <n v="73.2"/>
    <n v="0.104"/>
    <n v="1998"/>
    <n v="33.9"/>
    <n v="14.7"/>
    <n v="3.1"/>
    <n v="5.5"/>
    <x v="0"/>
    <x v="1"/>
    <n v="1"/>
  </r>
  <r>
    <x v="2"/>
    <x v="2"/>
    <x v="378"/>
    <s v="Kansas"/>
    <n v="10"/>
    <n v="563"/>
    <n v="14545"/>
    <n v="5690"/>
    <n v="3423"/>
    <n v="606"/>
    <n v="0.46600000000000003"/>
    <n v="0.36299999999999999"/>
    <n v="0.71099999999999997"/>
    <n v="39.4"/>
    <n v="0.13"/>
    <n v="1998"/>
    <n v="25.8"/>
    <n v="10.1"/>
    <n v="6.1"/>
    <n v="1.1000000000000001"/>
    <x v="0"/>
    <x v="2"/>
    <n v="1"/>
  </r>
  <r>
    <x v="3"/>
    <x v="28"/>
    <x v="379"/>
    <s v="UNC"/>
    <n v="16"/>
    <n v="1083"/>
    <n v="37638"/>
    <n v="20042"/>
    <n v="8157"/>
    <n v="1761"/>
    <n v="0.45100000000000001"/>
    <n v="0.34599999999999997"/>
    <n v="0.72399999999999998"/>
    <n v="87.8"/>
    <n v="0.112"/>
    <n v="1998"/>
    <n v="34.799999999999997"/>
    <n v="18.5"/>
    <n v="7.5"/>
    <n v="1.6"/>
    <x v="0"/>
    <x v="3"/>
    <n v="1"/>
  </r>
  <r>
    <x v="4"/>
    <x v="10"/>
    <x v="380"/>
    <s v="UNC"/>
    <n v="22"/>
    <n v="1541"/>
    <n v="46367"/>
    <n v="25728"/>
    <n v="6606"/>
    <n v="4714"/>
    <n v="0.435"/>
    <n v="0.371"/>
    <n v="0.79800000000000004"/>
    <n v="125.3"/>
    <n v="0.13"/>
    <n v="1998"/>
    <n v="30.1"/>
    <n v="16.7"/>
    <n v="4.3"/>
    <n v="3.1"/>
    <x v="0"/>
    <x v="4"/>
    <n v="1"/>
  </r>
  <r>
    <x v="5"/>
    <x v="26"/>
    <x v="381"/>
    <s v="Michigan"/>
    <n v="7"/>
    <n v="438"/>
    <n v="6243"/>
    <n v="2085"/>
    <n v="1640"/>
    <n v="312"/>
    <n v="0.47399999999999998"/>
    <n v="0.16700000000000001"/>
    <n v="0.57699999999999996"/>
    <n v="13.3"/>
    <n v="0.10199999999999999"/>
    <n v="1998"/>
    <n v="14.3"/>
    <n v="4.8"/>
    <n v="3.7"/>
    <n v="0.7"/>
    <x v="0"/>
    <x v="5"/>
    <n v="1"/>
  </r>
  <r>
    <x v="6"/>
    <x v="6"/>
    <x v="382"/>
    <s v="Florida"/>
    <n v="12"/>
    <n v="788"/>
    <n v="23188"/>
    <n v="8266"/>
    <n v="1810"/>
    <n v="4611"/>
    <n v="0.39800000000000002"/>
    <n v="0.32700000000000001"/>
    <n v="0.81299999999999994"/>
    <n v="38.5"/>
    <n v="0.08"/>
    <n v="1998"/>
    <n v="29.4"/>
    <n v="10.5"/>
    <n v="2.2999999999999998"/>
    <n v="5.9"/>
    <x v="0"/>
    <x v="6"/>
    <n v="1"/>
  </r>
  <r>
    <x v="7"/>
    <x v="21"/>
    <x v="383"/>
    <s v="Saint Louis"/>
    <n v="13"/>
    <n v="727"/>
    <n v="22368"/>
    <n v="10242"/>
    <n v="3039"/>
    <n v="2290"/>
    <n v="0.40600000000000003"/>
    <n v="0.309"/>
    <n v="0.75700000000000001"/>
    <n v="32.299999999999997"/>
    <n v="6.9000000000000006E-2"/>
    <n v="1998"/>
    <n v="30.8"/>
    <n v="14.1"/>
    <n v="4.2"/>
    <n v="3.1"/>
    <x v="0"/>
    <x v="7"/>
    <n v="1"/>
  </r>
  <r>
    <x v="8"/>
    <x v="12"/>
    <x v="384"/>
    <s v="NA"/>
    <n v="21"/>
    <n v="1522"/>
    <n v="51368"/>
    <n v="31560"/>
    <n v="11489"/>
    <n v="3651"/>
    <n v="0.47099999999999997"/>
    <n v="0.38"/>
    <n v="0.879"/>
    <n v="206.3"/>
    <n v="0.193"/>
    <n v="1998"/>
    <n v="33.799999999999997"/>
    <n v="20.7"/>
    <n v="7.5"/>
    <n v="2.4"/>
    <x v="0"/>
    <x v="8"/>
    <n v="1"/>
  </r>
  <r>
    <x v="9"/>
    <x v="14"/>
    <x v="385"/>
    <s v="Kansas"/>
    <n v="19"/>
    <n v="1343"/>
    <n v="45880"/>
    <n v="26397"/>
    <n v="7527"/>
    <n v="4708"/>
    <n v="0.44500000000000001"/>
    <n v="0.36799999999999999"/>
    <n v="0.80600000000000005"/>
    <n v="150"/>
    <n v="0.157"/>
    <n v="1998"/>
    <n v="34.200000000000003"/>
    <n v="19.7"/>
    <n v="5.6"/>
    <n v="3.5"/>
    <x v="0"/>
    <x v="9"/>
    <n v="1"/>
  </r>
  <r>
    <x v="10"/>
    <x v="18"/>
    <x v="386"/>
    <s v="Ball State University"/>
    <n v="10"/>
    <n v="591"/>
    <n v="15133"/>
    <n v="7147"/>
    <n v="2737"/>
    <n v="1249"/>
    <n v="0.46"/>
    <n v="0.32700000000000001"/>
    <n v="0.69699999999999995"/>
    <n v="29.4"/>
    <n v="9.2999999999999999E-2"/>
    <n v="1998"/>
    <n v="25.6"/>
    <n v="12.1"/>
    <n v="4.5999999999999996"/>
    <n v="2.1"/>
    <x v="0"/>
    <x v="10"/>
    <n v="1"/>
  </r>
  <r>
    <x v="11"/>
    <x v="3"/>
    <x v="387"/>
    <s v="Utah"/>
    <n v="10"/>
    <n v="587"/>
    <n v="8789"/>
    <n v="2882"/>
    <n v="1955"/>
    <n v="343"/>
    <n v="0.439"/>
    <n v="0.125"/>
    <n v="0.79100000000000004"/>
    <n v="12.7"/>
    <n v="7.0000000000000007E-2"/>
    <n v="1998"/>
    <n v="15"/>
    <n v="4.9000000000000004"/>
    <n v="3.3"/>
    <n v="0.6"/>
    <x v="0"/>
    <x v="11"/>
    <n v="1"/>
  </r>
  <r>
    <x v="12"/>
    <x v="3"/>
    <x v="388"/>
    <s v="UNLV"/>
    <n v="6"/>
    <n v="353"/>
    <n v="7971"/>
    <n v="2882"/>
    <n v="2096"/>
    <n v="322"/>
    <n v="0.5"/>
    <n v="5.2999999999999999E-2"/>
    <n v="0.64500000000000002"/>
    <n v="18.2"/>
    <n v="0.11"/>
    <n v="1998"/>
    <n v="22.6"/>
    <n v="8.1999999999999993"/>
    <n v="5.9"/>
    <n v="0.9"/>
    <x v="0"/>
    <x v="12"/>
    <n v="1"/>
  </r>
  <r>
    <x v="13"/>
    <x v="11"/>
    <x v="389"/>
    <s v="Arizona"/>
    <n v="5"/>
    <n v="212"/>
    <n v="7490"/>
    <n v="3257"/>
    <n v="609"/>
    <n v="553"/>
    <n v="0.432"/>
    <n v="0.40200000000000002"/>
    <n v="0.78400000000000003"/>
    <n v="9.6"/>
    <n v="6.0999999999999999E-2"/>
    <n v="1998"/>
    <n v="35.299999999999997"/>
    <n v="15.4"/>
    <n v="2.9"/>
    <n v="2.6"/>
    <x v="0"/>
    <x v="13"/>
    <n v="0"/>
  </r>
  <r>
    <x v="14"/>
    <x v="3"/>
    <x v="390"/>
    <s v="Georgia Tech"/>
    <n v="11"/>
    <n v="665"/>
    <n v="17584"/>
    <n v="7645"/>
    <n v="3366"/>
    <n v="907"/>
    <n v="0.48099999999999998"/>
    <n v="0.33300000000000002"/>
    <n v="0.753"/>
    <n v="41.9"/>
    <n v="0.114"/>
    <n v="1998"/>
    <n v="26.4"/>
    <n v="11.5"/>
    <n v="5.0999999999999996"/>
    <n v="1.4"/>
    <x v="0"/>
    <x v="14"/>
    <n v="1"/>
  </r>
  <r>
    <x v="15"/>
    <x v="11"/>
    <x v="391"/>
    <s v="Valparaiso"/>
    <n v="6"/>
    <n v="243"/>
    <n v="3970"/>
    <n v="1081"/>
    <n v="295"/>
    <n v="524"/>
    <n v="0.38200000000000001"/>
    <n v="0.371"/>
    <n v="0.83"/>
    <n v="2.4"/>
    <n v="0.03"/>
    <n v="1998"/>
    <n v="16.3"/>
    <n v="4.4000000000000004"/>
    <n v="1.2"/>
    <n v="2.2000000000000002"/>
    <x v="0"/>
    <x v="15"/>
    <n v="1"/>
  </r>
  <r>
    <x v="16"/>
    <x v="5"/>
    <x v="392"/>
    <s v="NA"/>
    <n v="12"/>
    <n v="811"/>
    <n v="17983"/>
    <n v="5519"/>
    <n v="4143"/>
    <n v="836"/>
    <n v="0.502"/>
    <n v="7.6999999999999999E-2"/>
    <n v="0.58499999999999996"/>
    <n v="39.9"/>
    <n v="0.107"/>
    <n v="1998"/>
    <n v="22.2"/>
    <n v="6.8"/>
    <n v="5.0999999999999996"/>
    <n v="1"/>
    <x v="0"/>
    <x v="16"/>
    <n v="1"/>
  </r>
  <r>
    <x v="17"/>
    <x v="11"/>
    <x v="393"/>
    <s v="NA"/>
    <n v="1"/>
    <n v="17"/>
    <n v="90"/>
    <n v="33"/>
    <n v="33"/>
    <n v="5"/>
    <n v="0.36799999999999999"/>
    <n v="0"/>
    <n v="0.625"/>
    <n v="0"/>
    <n v="-1.9E-2"/>
    <n v="1998"/>
    <n v="5.3"/>
    <n v="1.9"/>
    <n v="1.9"/>
    <n v="0.3"/>
    <x v="0"/>
    <x v="17"/>
    <n v="0"/>
  </r>
  <r>
    <x v="18"/>
    <x v="12"/>
    <x v="394"/>
    <s v="Notre Dame"/>
    <n v="10"/>
    <n v="552"/>
    <n v="11062"/>
    <n v="4017"/>
    <n v="1457"/>
    <n v="443"/>
    <n v="0.41699999999999998"/>
    <n v="0.39800000000000002"/>
    <n v="0.80600000000000005"/>
    <n v="18.7"/>
    <n v="8.1000000000000003E-2"/>
    <n v="1998"/>
    <n v="20"/>
    <n v="7.3"/>
    <n v="2.6"/>
    <n v="0.8"/>
    <x v="0"/>
    <x v="18"/>
    <n v="1"/>
  </r>
  <r>
    <x v="19"/>
    <x v="9"/>
    <x v="395"/>
    <s v="Duke"/>
    <n v="3"/>
    <n v="113"/>
    <n v="2130"/>
    <n v="817"/>
    <n v="308"/>
    <n v="124"/>
    <n v="0.40899999999999997"/>
    <n v="0.111"/>
    <n v="0.81899999999999995"/>
    <n v="0.2"/>
    <n v="4.0000000000000001E-3"/>
    <n v="1998"/>
    <n v="18.8"/>
    <n v="7.2"/>
    <n v="2.7"/>
    <n v="1.1000000000000001"/>
    <x v="0"/>
    <x v="19"/>
    <n v="0"/>
  </r>
  <r>
    <x v="20"/>
    <x v="4"/>
    <x v="396"/>
    <s v="Iowa"/>
    <n v="12"/>
    <n v="736"/>
    <n v="21927"/>
    <n v="9912"/>
    <n v="2550"/>
    <n v="2426"/>
    <n v="0.44600000000000001"/>
    <n v="0.36099999999999999"/>
    <n v="0.78100000000000003"/>
    <n v="28"/>
    <n v="6.0999999999999999E-2"/>
    <n v="1998"/>
    <n v="29.8"/>
    <n v="13.5"/>
    <n v="3.5"/>
    <n v="3.3"/>
    <x v="0"/>
    <x v="20"/>
    <n v="1"/>
  </r>
  <r>
    <x v="21"/>
    <x v="7"/>
    <x v="397"/>
    <s v="Baylor"/>
    <n v="14"/>
    <n v="608"/>
    <n v="10910"/>
    <n v="2876"/>
    <n v="2841"/>
    <n v="288"/>
    <n v="0.49399999999999999"/>
    <n v="0.33300000000000002"/>
    <n v="0.56599999999999995"/>
    <n v="15.8"/>
    <n v="7.0000000000000007E-2"/>
    <n v="1998"/>
    <n v="17.899999999999999"/>
    <n v="4.7"/>
    <n v="4.7"/>
    <n v="0.5"/>
    <x v="0"/>
    <x v="21"/>
    <n v="1"/>
  </r>
  <r>
    <x v="22"/>
    <x v="2"/>
    <x v="398"/>
    <s v="Nebraska"/>
    <n v="11"/>
    <n v="554"/>
    <n v="12564"/>
    <n v="4710"/>
    <n v="943"/>
    <n v="1727"/>
    <n v="0.437"/>
    <n v="0.39100000000000001"/>
    <n v="0.82899999999999996"/>
    <n v="19.7"/>
    <n v="7.4999999999999997E-2"/>
    <n v="1998"/>
    <n v="22.7"/>
    <n v="8.5"/>
    <n v="1.7"/>
    <n v="3.1"/>
    <x v="0"/>
    <x v="22"/>
    <n v="1"/>
  </r>
  <r>
    <x v="23"/>
    <x v="16"/>
    <x v="399"/>
    <s v="St. John's"/>
    <n v="4"/>
    <n v="249"/>
    <n v="4145"/>
    <n v="1448"/>
    <n v="604"/>
    <n v="252"/>
    <n v="0.432"/>
    <n v="0.32700000000000001"/>
    <n v="0.65900000000000003"/>
    <n v="3.1"/>
    <n v="3.5999999999999997E-2"/>
    <n v="1998"/>
    <n v="16.600000000000001"/>
    <n v="5.8"/>
    <n v="2.4"/>
    <n v="1"/>
    <x v="0"/>
    <x v="23"/>
    <n v="0"/>
  </r>
  <r>
    <x v="24"/>
    <x v="24"/>
    <x v="400"/>
    <s v="NA"/>
    <n v="16"/>
    <n v="981"/>
    <n v="28009"/>
    <n v="13237"/>
    <n v="5482"/>
    <n v="1649"/>
    <n v="0.44400000000000001"/>
    <n v="0.35199999999999998"/>
    <n v="0.72699999999999998"/>
    <n v="42.5"/>
    <n v="7.2999999999999995E-2"/>
    <n v="1998"/>
    <n v="28.6"/>
    <n v="13.5"/>
    <n v="5.6"/>
    <n v="1.7"/>
    <x v="0"/>
    <x v="24"/>
    <n v="1"/>
  </r>
  <r>
    <x v="25"/>
    <x v="19"/>
    <x v="401"/>
    <s v="Minnesota"/>
    <n v="3"/>
    <n v="68"/>
    <n v="752"/>
    <n v="283"/>
    <n v="80"/>
    <n v="36"/>
    <n v="0.51100000000000001"/>
    <n v="0.36"/>
    <n v="0.73899999999999999"/>
    <n v="1.1000000000000001"/>
    <n v="7.0999999999999994E-2"/>
    <n v="1998"/>
    <n v="11.1"/>
    <n v="4.2"/>
    <n v="1.2"/>
    <n v="0.5"/>
    <x v="0"/>
    <x v="25"/>
    <n v="0"/>
  </r>
  <r>
    <x v="26"/>
    <x v="1"/>
    <x v="402"/>
    <s v="NA"/>
    <n v="6"/>
    <n v="270"/>
    <n v="3726"/>
    <n v="1118"/>
    <n v="1180"/>
    <n v="94"/>
    <n v="0.42499999999999999"/>
    <n v="0.13300000000000001"/>
    <n v="0.53600000000000003"/>
    <n v="5.2"/>
    <n v="6.7000000000000004E-2"/>
    <n v="1998"/>
    <n v="13.8"/>
    <n v="4.0999999999999996"/>
    <n v="4.4000000000000004"/>
    <n v="0.3"/>
    <x v="0"/>
    <x v="26"/>
    <n v="1"/>
  </r>
  <r>
    <x v="27"/>
    <x v="20"/>
    <x v="403"/>
    <s v="Oregon State"/>
    <n v="4"/>
    <n v="153"/>
    <n v="2191"/>
    <n v="835"/>
    <n v="259"/>
    <n v="143"/>
    <n v="0.39"/>
    <n v="0.28899999999999998"/>
    <n v="0.65200000000000002"/>
    <n v="-0.9"/>
    <n v="-1.9E-2"/>
    <n v="1998"/>
    <n v="14.3"/>
    <n v="5.5"/>
    <n v="1.7"/>
    <n v="0.9"/>
    <x v="0"/>
    <x v="27"/>
    <n v="0"/>
  </r>
  <r>
    <x v="28"/>
    <x v="22"/>
    <x v="404"/>
    <s v="Kentucky"/>
    <n v="18"/>
    <n v="1005"/>
    <n v="15891"/>
    <n v="5827"/>
    <n v="4708"/>
    <n v="375"/>
    <n v="0.48599999999999999"/>
    <n v="0"/>
    <n v="0.64"/>
    <n v="34.299999999999997"/>
    <n v="0.104"/>
    <n v="1998"/>
    <n v="15.8"/>
    <n v="5.8"/>
    <n v="4.7"/>
    <n v="0.4"/>
    <x v="0"/>
    <x v="28"/>
    <n v="1"/>
  </r>
  <r>
    <x v="29"/>
    <x v="26"/>
    <x v="405"/>
    <s v="Ole Miss"/>
    <n v="4"/>
    <n v="127"/>
    <n v="1301"/>
    <n v="401"/>
    <n v="223"/>
    <n v="62"/>
    <n v="0.434"/>
    <n v="0.27600000000000002"/>
    <n v="0.64"/>
    <n v="1.4"/>
    <n v="5.0999999999999997E-2"/>
    <n v="1998"/>
    <n v="10.199999999999999"/>
    <n v="3.2"/>
    <n v="1.8"/>
    <n v="0.5"/>
    <x v="1"/>
    <x v="0"/>
    <n v="0"/>
  </r>
  <r>
    <x v="30"/>
    <x v="19"/>
    <x v="406"/>
    <s v="Cincinnati"/>
    <n v="10"/>
    <n v="649"/>
    <n v="15955"/>
    <n v="6953"/>
    <n v="2697"/>
    <n v="1150"/>
    <n v="0.51700000000000002"/>
    <n v="0.17899999999999999"/>
    <n v="0.64100000000000001"/>
    <n v="35.1"/>
    <n v="0.106"/>
    <n v="1998"/>
    <n v="24.6"/>
    <n v="10.7"/>
    <n v="4.2"/>
    <n v="1.8"/>
    <x v="1"/>
    <x v="1"/>
    <n v="1"/>
  </r>
  <r>
    <x v="31"/>
    <x v="1"/>
    <x v="407"/>
    <s v="NA"/>
    <n v="16"/>
    <n v="1049"/>
    <n v="33541"/>
    <n v="15579"/>
    <n v="5433"/>
    <n v="1765"/>
    <n v="0.45200000000000001"/>
    <n v="0.38600000000000001"/>
    <n v="0.80500000000000005"/>
    <n v="90.9"/>
    <n v="0.13"/>
    <n v="1998"/>
    <n v="32"/>
    <n v="14.9"/>
    <n v="5.2"/>
    <n v="1.7"/>
    <x v="1"/>
    <x v="2"/>
    <n v="1"/>
  </r>
  <r>
    <x v="32"/>
    <x v="1"/>
    <x v="408"/>
    <s v="UCLA"/>
    <n v="8"/>
    <n v="260"/>
    <n v="3824"/>
    <n v="1200"/>
    <n v="921"/>
    <n v="135"/>
    <n v="0.53900000000000003"/>
    <n v="0"/>
    <n v="0.49"/>
    <n v="5.0999999999999996"/>
    <n v="6.4000000000000001E-2"/>
    <n v="1998"/>
    <n v="14.7"/>
    <n v="4.5999999999999996"/>
    <n v="3.5"/>
    <n v="0.5"/>
    <x v="1"/>
    <x v="3"/>
    <n v="1"/>
  </r>
  <r>
    <x v="33"/>
    <x v="20"/>
    <x v="409"/>
    <s v="UNC"/>
    <n v="7"/>
    <n v="325"/>
    <n v="5351"/>
    <n v="1892"/>
    <n v="518"/>
    <n v="765"/>
    <n v="0.40100000000000002"/>
    <n v="0.36599999999999999"/>
    <n v="0.79800000000000004"/>
    <n v="8.8000000000000007"/>
    <n v="7.9000000000000001E-2"/>
    <n v="1998"/>
    <n v="16.5"/>
    <n v="5.8"/>
    <n v="1.6"/>
    <n v="2.4"/>
    <x v="1"/>
    <x v="4"/>
    <n v="1"/>
  </r>
  <r>
    <x v="34"/>
    <x v="26"/>
    <x v="410"/>
    <s v="NA"/>
    <n v="7"/>
    <n v="102"/>
    <n v="524"/>
    <n v="173"/>
    <n v="107"/>
    <n v="18"/>
    <n v="0.35599999999999998"/>
    <n v="0.20799999999999999"/>
    <n v="0.52600000000000002"/>
    <n v="-0.7"/>
    <n v="-6.2E-2"/>
    <n v="1998"/>
    <n v="5.0999999999999996"/>
    <n v="1.7"/>
    <n v="1"/>
    <n v="0.2"/>
    <x v="1"/>
    <x v="5"/>
    <n v="1"/>
  </r>
  <r>
    <x v="35"/>
    <x v="6"/>
    <x v="411"/>
    <s v="Florida A&amp;M"/>
    <n v="9"/>
    <n v="358"/>
    <n v="4771"/>
    <n v="1540"/>
    <n v="1099"/>
    <n v="118"/>
    <n v="0.48499999999999999"/>
    <n v="0"/>
    <n v="0.61699999999999999"/>
    <n v="2.9"/>
    <n v="2.9000000000000001E-2"/>
    <n v="1998"/>
    <n v="13.3"/>
    <n v="4.3"/>
    <n v="3.1"/>
    <n v="0.3"/>
    <x v="1"/>
    <x v="6"/>
    <n v="1"/>
  </r>
  <r>
    <x v="36"/>
    <x v="21"/>
    <x v="412"/>
    <s v="Toledo"/>
    <n v="1"/>
    <n v="9"/>
    <n v="14"/>
    <n v="2"/>
    <n v="3"/>
    <n v="0"/>
    <n v="0.125"/>
    <n v="0"/>
    <n v="0"/>
    <n v="-0.1"/>
    <n v="-0.498"/>
    <n v="1998"/>
    <n v="1.6"/>
    <n v="0.2"/>
    <n v="0.3"/>
    <n v="0"/>
    <x v="1"/>
    <x v="7"/>
    <n v="0"/>
  </r>
  <r>
    <x v="37"/>
    <x v="13"/>
    <x v="413"/>
    <s v="UNC Charlotte"/>
    <n v="1"/>
    <n v="5"/>
    <n v="37"/>
    <n v="6"/>
    <n v="7"/>
    <n v="0"/>
    <n v="0.33300000000000002"/>
    <n v="0"/>
    <n v="0"/>
    <n v="-0.1"/>
    <n v="-9.0999999999999998E-2"/>
    <n v="1998"/>
    <n v="7.4"/>
    <n v="1.2"/>
    <n v="1.4"/>
    <n v="0"/>
    <x v="1"/>
    <x v="8"/>
    <n v="0"/>
  </r>
  <r>
    <x v="38"/>
    <x v="12"/>
    <x v="414"/>
    <s v="Fresno State"/>
    <n v="11"/>
    <n v="671"/>
    <n v="19392"/>
    <n v="6799"/>
    <n v="1891"/>
    <n v="3202"/>
    <n v="0.38300000000000001"/>
    <n v="0.35399999999999998"/>
    <n v="0.72899999999999998"/>
    <n v="32.9"/>
    <n v="8.1000000000000003E-2"/>
    <n v="1998"/>
    <n v="28.9"/>
    <n v="10.1"/>
    <n v="2.8"/>
    <n v="4.8"/>
    <x v="1"/>
    <x v="9"/>
    <n v="1"/>
  </r>
  <r>
    <x v="39"/>
    <x v="18"/>
    <x v="415"/>
    <s v="NA"/>
    <n v="1"/>
    <n v="3"/>
    <n v="15"/>
    <n v="13"/>
    <n v="4"/>
    <n v="1"/>
    <n v="0.5"/>
    <n v="0.25"/>
    <n v="1"/>
    <n v="0.1"/>
    <n v="0.28000000000000003"/>
    <n v="1998"/>
    <n v="5"/>
    <n v="4.3"/>
    <n v="1.3"/>
    <n v="0.3"/>
    <x v="1"/>
    <x v="10"/>
    <n v="0"/>
  </r>
  <r>
    <x v="40"/>
    <x v="11"/>
    <x v="416"/>
    <s v="Rhode Island"/>
    <n v="11"/>
    <n v="747"/>
    <n v="27618"/>
    <n v="11964"/>
    <n v="2902"/>
    <n v="2015"/>
    <n v="0.433"/>
    <n v="0.378"/>
    <n v="0.83499999999999996"/>
    <n v="52.2"/>
    <n v="9.0999999999999998E-2"/>
    <n v="1998"/>
    <n v="37"/>
    <n v="16"/>
    <n v="3.9"/>
    <n v="2.7"/>
    <x v="1"/>
    <x v="11"/>
    <n v="1"/>
  </r>
  <r>
    <x v="41"/>
    <x v="3"/>
    <x v="417"/>
    <s v="Arizona"/>
    <n v="1"/>
    <n v="5"/>
    <n v="19"/>
    <n v="2"/>
    <n v="2"/>
    <n v="0"/>
    <n v="0.2"/>
    <n v="0"/>
    <n v="0"/>
    <n v="-0.1"/>
    <n v="-0.28899999999999998"/>
    <n v="1998"/>
    <n v="3.8"/>
    <n v="0.4"/>
    <n v="0.4"/>
    <n v="0"/>
    <x v="1"/>
    <x v="12"/>
    <n v="0"/>
  </r>
  <r>
    <x v="42"/>
    <x v="23"/>
    <x v="418"/>
    <s v="Georgetown"/>
    <n v="7"/>
    <n v="334"/>
    <n v="5913"/>
    <n v="1954"/>
    <n v="1944"/>
    <n v="63"/>
    <n v="0.51"/>
    <n v="0"/>
    <n v="0.53400000000000003"/>
    <n v="10.4"/>
    <n v="8.5000000000000006E-2"/>
    <n v="1998"/>
    <n v="17.7"/>
    <n v="5.9"/>
    <n v="5.8"/>
    <n v="0.2"/>
    <x v="1"/>
    <x v="13"/>
    <n v="1"/>
  </r>
  <r>
    <x v="43"/>
    <x v="13"/>
    <x v="419"/>
    <s v="California"/>
    <n v="11"/>
    <n v="230"/>
    <n v="2275"/>
    <n v="638"/>
    <n v="501"/>
    <n v="50"/>
    <n v="0.44800000000000001"/>
    <n v="0.2"/>
    <n v="0.66500000000000004"/>
    <n v="2.6"/>
    <n v="5.5E-2"/>
    <n v="1998"/>
    <n v="9.9"/>
    <n v="2.8"/>
    <n v="2.2000000000000002"/>
    <n v="0.2"/>
    <x v="1"/>
    <x v="14"/>
    <n v="1"/>
  </r>
  <r>
    <x v="44"/>
    <x v="19"/>
    <x v="420"/>
    <s v="UCLA"/>
    <n v="2"/>
    <n v="73"/>
    <n v="698"/>
    <n v="241"/>
    <n v="126"/>
    <n v="43"/>
    <n v="0.40699999999999997"/>
    <n v="0.2"/>
    <n v="0.69199999999999995"/>
    <n v="1"/>
    <n v="7.1999999999999995E-2"/>
    <n v="1998"/>
    <n v="9.6"/>
    <n v="3.3"/>
    <n v="1.7"/>
    <n v="0.6"/>
    <x v="1"/>
    <x v="15"/>
    <n v="0"/>
  </r>
  <r>
    <x v="45"/>
    <x v="5"/>
    <x v="421"/>
    <s v="Indiana"/>
    <n v="2"/>
    <n v="40"/>
    <n v="304"/>
    <n v="120"/>
    <n v="67"/>
    <n v="16"/>
    <n v="0.45500000000000002"/>
    <n v="0"/>
    <n v="0.77800000000000002"/>
    <n v="0.7"/>
    <n v="0.114"/>
    <n v="1998"/>
    <n v="7.6"/>
    <n v="3"/>
    <n v="1.7"/>
    <n v="0.4"/>
    <x v="1"/>
    <x v="16"/>
    <n v="0"/>
  </r>
  <r>
    <x v="46"/>
    <x v="28"/>
    <x v="422"/>
    <s v="Rhode Island"/>
    <n v="1"/>
    <n v="1"/>
    <n v="3"/>
    <n v="4"/>
    <n v="0"/>
    <n v="2"/>
    <n v="1"/>
    <n v="1"/>
    <n v="0.5"/>
    <n v="0.1"/>
    <n v="1.367"/>
    <n v="1998"/>
    <n v="3"/>
    <n v="4"/>
    <n v="0"/>
    <n v="2"/>
    <x v="1"/>
    <x v="17"/>
    <n v="0"/>
  </r>
  <r>
    <x v="47"/>
    <x v="25"/>
    <x v="423"/>
    <s v="South Carolina"/>
    <n v="2"/>
    <n v="43"/>
    <n v="397"/>
    <n v="99"/>
    <n v="79"/>
    <n v="10"/>
    <n v="0.35199999999999998"/>
    <n v="0"/>
    <n v="0.78700000000000003"/>
    <n v="0.2"/>
    <n v="2.8000000000000001E-2"/>
    <n v="1998"/>
    <n v="9.1999999999999993"/>
    <n v="2.2999999999999998"/>
    <n v="1.8"/>
    <n v="0.2"/>
    <x v="1"/>
    <x v="18"/>
    <n v="0"/>
  </r>
  <r>
    <x v="52"/>
    <x v="9"/>
    <x v="424"/>
    <s v="Texas Tech"/>
    <n v="1"/>
    <n v="42"/>
    <n v="624"/>
    <n v="171"/>
    <n v="49"/>
    <n v="66"/>
    <n v="0.32900000000000001"/>
    <n v="0.16700000000000001"/>
    <n v="0.75"/>
    <n v="-1.2"/>
    <n v="-8.8999999999999996E-2"/>
    <n v="1998"/>
    <n v="14.9"/>
    <n v="4.0999999999999996"/>
    <n v="1.2"/>
    <n v="1.6"/>
    <x v="1"/>
    <x v="19"/>
    <n v="0"/>
  </r>
  <r>
    <x v="50"/>
    <x v="16"/>
    <x v="425"/>
    <s v="Eastern Michigan"/>
    <n v="4"/>
    <n v="82"/>
    <n v="687"/>
    <n v="253"/>
    <n v="133"/>
    <n v="63"/>
    <n v="0.372"/>
    <n v="0.19"/>
    <n v="0.67200000000000004"/>
    <n v="0.6"/>
    <n v="4.4999999999999998E-2"/>
    <n v="1998"/>
    <n v="8.4"/>
    <n v="3.1"/>
    <n v="1.6"/>
    <n v="0.8"/>
    <x v="1"/>
    <x v="22"/>
    <n v="0"/>
  </r>
  <r>
    <x v="57"/>
    <x v="26"/>
    <x v="426"/>
    <s v="Clemson"/>
    <n v="10"/>
    <n v="570"/>
    <n v="10895"/>
    <n v="2878"/>
    <n v="1593"/>
    <n v="719"/>
    <n v="0.45"/>
    <n v="0.33400000000000002"/>
    <n v="0.75700000000000001"/>
    <n v="20.9"/>
    <n v="9.1999999999999998E-2"/>
    <n v="1998"/>
    <n v="19.100000000000001"/>
    <n v="5"/>
    <n v="2.8"/>
    <n v="1.3"/>
    <x v="1"/>
    <x v="23"/>
    <n v="1"/>
  </r>
  <r>
    <x v="51"/>
    <x v="2"/>
    <x v="427"/>
    <s v="Fresno State"/>
    <n v="4"/>
    <n v="103"/>
    <n v="1233"/>
    <n v="301"/>
    <n v="228"/>
    <n v="54"/>
    <n v="0.40899999999999997"/>
    <n v="0.2"/>
    <n v="0.79100000000000004"/>
    <n v="2.1"/>
    <n v="0.08"/>
    <n v="1998"/>
    <n v="12"/>
    <n v="2.9"/>
    <n v="2.2000000000000002"/>
    <n v="0.5"/>
    <x v="1"/>
    <x v="24"/>
    <n v="0"/>
  </r>
  <r>
    <x v="53"/>
    <x v="2"/>
    <x v="428"/>
    <s v="Iowa"/>
    <n v="10"/>
    <n v="507"/>
    <n v="6502"/>
    <n v="1319"/>
    <n v="1060"/>
    <n v="250"/>
    <n v="0.45600000000000002"/>
    <n v="0.20599999999999999"/>
    <n v="0.69299999999999995"/>
    <n v="12.4"/>
    <n v="9.1999999999999998E-2"/>
    <n v="1998"/>
    <n v="12.8"/>
    <n v="2.6"/>
    <n v="2.1"/>
    <n v="0.5"/>
    <x v="1"/>
    <x v="25"/>
    <n v="1"/>
  </r>
  <r>
    <x v="54"/>
    <x v="27"/>
    <x v="429"/>
    <s v="UCLA"/>
    <n v="1"/>
    <n v="30"/>
    <n v="331"/>
    <n v="97"/>
    <n v="47"/>
    <n v="22"/>
    <n v="0.36499999999999999"/>
    <n v="0.4"/>
    <n v="0.55600000000000005"/>
    <n v="-0.2"/>
    <n v="-2.5000000000000001E-2"/>
    <n v="1998"/>
    <n v="11"/>
    <n v="3.2"/>
    <n v="1.6"/>
    <n v="0.7"/>
    <x v="1"/>
    <x v="26"/>
    <n v="0"/>
  </r>
  <r>
    <x v="55"/>
    <x v="22"/>
    <x v="430"/>
    <s v="Xavier"/>
    <n v="2"/>
    <n v="22"/>
    <n v="178"/>
    <n v="46"/>
    <n v="51"/>
    <n v="7"/>
    <n v="0.47499999999999998"/>
    <n v="0"/>
    <n v="0.66700000000000004"/>
    <n v="0.3"/>
    <n v="7.0999999999999994E-2"/>
    <n v="1998"/>
    <n v="8.1"/>
    <n v="2.1"/>
    <n v="2.2999999999999998"/>
    <n v="0.3"/>
    <x v="1"/>
    <x v="27"/>
    <n v="0"/>
  </r>
  <r>
    <x v="56"/>
    <x v="20"/>
    <x v="431"/>
    <s v="Michigan"/>
    <n v="4"/>
    <n v="105"/>
    <n v="831"/>
    <n v="286"/>
    <n v="175"/>
    <n v="26"/>
    <n v="0.61599999999999999"/>
    <n v="0.375"/>
    <n v="0.74"/>
    <n v="2.2999999999999998"/>
    <n v="0.13400000000000001"/>
    <n v="1998"/>
    <n v="7.9"/>
    <n v="2.7"/>
    <n v="1.7"/>
    <n v="0.2"/>
    <x v="1"/>
    <x v="28"/>
    <n v="0"/>
  </r>
  <r>
    <x v="0"/>
    <x v="20"/>
    <x v="432"/>
    <s v="Duke"/>
    <n v="17"/>
    <n v="1058"/>
    <n v="34910"/>
    <n v="16827"/>
    <n v="9040"/>
    <n v="2184"/>
    <n v="0.5"/>
    <n v="9.5000000000000001E-2"/>
    <n v="0.73599999999999999"/>
    <n v="109.6"/>
    <n v="0.151"/>
    <n v="1999"/>
    <n v="33"/>
    <n v="15.9"/>
    <n v="8.5"/>
    <n v="2.1"/>
    <x v="0"/>
    <x v="0"/>
    <n v="1"/>
  </r>
  <r>
    <x v="1"/>
    <x v="27"/>
    <x v="433"/>
    <s v="Maryland"/>
    <n v="9"/>
    <n v="576"/>
    <n v="21632"/>
    <n v="10446"/>
    <n v="3215"/>
    <n v="3473"/>
    <n v="0.42899999999999999"/>
    <n v="0.34100000000000003"/>
    <n v="0.79700000000000004"/>
    <n v="54.1"/>
    <n v="0.12"/>
    <n v="1999"/>
    <n v="37.6"/>
    <n v="18.100000000000001"/>
    <n v="5.6"/>
    <n v="6"/>
    <x v="0"/>
    <x v="1"/>
    <n v="1"/>
  </r>
  <r>
    <x v="2"/>
    <x v="4"/>
    <x v="434"/>
    <s v="UCLA"/>
    <n v="13"/>
    <n v="835"/>
    <n v="28592"/>
    <n v="13447"/>
    <n v="3183"/>
    <n v="6025"/>
    <n v="0.40899999999999997"/>
    <n v="0.32"/>
    <n v="0.71099999999999997"/>
    <n v="63.1"/>
    <n v="0.106"/>
    <n v="1999"/>
    <n v="34.200000000000003"/>
    <n v="16.100000000000001"/>
    <n v="3.8"/>
    <n v="7.2"/>
    <x v="0"/>
    <x v="2"/>
    <n v="1"/>
  </r>
  <r>
    <x v="3"/>
    <x v="7"/>
    <x v="435"/>
    <s v="Rhode Island"/>
    <n v="14"/>
    <n v="961"/>
    <n v="32131"/>
    <n v="12781"/>
    <n v="8059"/>
    <n v="3554"/>
    <n v="0.46300000000000002"/>
    <n v="0.312"/>
    <n v="0.69299999999999995"/>
    <n v="77"/>
    <n v="0.115"/>
    <n v="1999"/>
    <n v="33.4"/>
    <n v="13.3"/>
    <n v="8.4"/>
    <n v="3.7"/>
    <x v="0"/>
    <x v="3"/>
    <n v="1"/>
  </r>
  <r>
    <x v="4"/>
    <x v="28"/>
    <x v="436"/>
    <s v="NA"/>
    <n v="8"/>
    <n v="262"/>
    <n v="3847"/>
    <n v="1453"/>
    <n v="582"/>
    <n v="170"/>
    <n v="0.41699999999999998"/>
    <n v="0.34"/>
    <n v="0.76300000000000001"/>
    <n v="3.8"/>
    <n v="4.7E-2"/>
    <n v="1999"/>
    <n v="14.7"/>
    <n v="5.5"/>
    <n v="2.2000000000000002"/>
    <n v="0.6"/>
    <x v="0"/>
    <x v="4"/>
    <n v="1"/>
  </r>
  <r>
    <x v="5"/>
    <x v="5"/>
    <x v="437"/>
    <s v="Miami University"/>
    <n v="10"/>
    <n v="651"/>
    <n v="20052"/>
    <n v="9195"/>
    <n v="2602"/>
    <n v="1532"/>
    <n v="0.48499999999999999"/>
    <n v="0.40600000000000003"/>
    <n v="0.86"/>
    <n v="53.3"/>
    <n v="0.127"/>
    <n v="1999"/>
    <n v="30.8"/>
    <n v="14.1"/>
    <n v="4"/>
    <n v="2.4"/>
    <x v="0"/>
    <x v="5"/>
    <n v="1"/>
  </r>
  <r>
    <x v="6"/>
    <x v="23"/>
    <x v="438"/>
    <s v="UConn"/>
    <n v="14"/>
    <n v="921"/>
    <n v="29559"/>
    <n v="15708"/>
    <n v="2852"/>
    <n v="3125"/>
    <n v="0.44900000000000001"/>
    <n v="0.34599999999999997"/>
    <n v="0.85199999999999998"/>
    <n v="62.8"/>
    <n v="0.10199999999999999"/>
    <n v="1999"/>
    <n v="32.1"/>
    <n v="17.100000000000001"/>
    <n v="3.1"/>
    <n v="3.4"/>
    <x v="0"/>
    <x v="6"/>
    <n v="1"/>
  </r>
  <r>
    <x v="7"/>
    <x v="25"/>
    <x v="439"/>
    <s v="Utah"/>
    <n v="17"/>
    <n v="1304"/>
    <n v="40268"/>
    <n v="16278"/>
    <n v="4795"/>
    <n v="8524"/>
    <n v="0.46100000000000002"/>
    <n v="0.217"/>
    <n v="0.80700000000000005"/>
    <n v="100.8"/>
    <n v="0.12"/>
    <n v="1999"/>
    <n v="30.9"/>
    <n v="12.5"/>
    <n v="3.7"/>
    <n v="6.5"/>
    <x v="0"/>
    <x v="7"/>
    <n v="1"/>
  </r>
  <r>
    <x v="8"/>
    <x v="15"/>
    <x v="440"/>
    <s v="UNLV"/>
    <n v="16"/>
    <n v="1163"/>
    <n v="40097"/>
    <n v="17700"/>
    <n v="10101"/>
    <n v="2198"/>
    <n v="0.48399999999999999"/>
    <n v="0.33100000000000002"/>
    <n v="0.81"/>
    <n v="124.9"/>
    <n v="0.15"/>
    <n v="1999"/>
    <n v="34.5"/>
    <n v="15.2"/>
    <n v="8.6999999999999993"/>
    <n v="1.9"/>
    <x v="0"/>
    <x v="8"/>
    <n v="1"/>
  </r>
  <r>
    <x v="9"/>
    <x v="9"/>
    <x v="441"/>
    <s v="Arizona"/>
    <n v="19"/>
    <n v="1410"/>
    <n v="42034"/>
    <n v="18881"/>
    <n v="3274"/>
    <n v="5415"/>
    <n v="0.44400000000000001"/>
    <n v="0.38"/>
    <n v="0.84499999999999997"/>
    <n v="102"/>
    <n v="0.11600000000000001"/>
    <n v="1999"/>
    <n v="29.8"/>
    <n v="13.4"/>
    <n v="2.2999999999999998"/>
    <n v="3.8"/>
    <x v="0"/>
    <x v="9"/>
    <n v="1"/>
  </r>
  <r>
    <x v="10"/>
    <x v="25"/>
    <x v="442"/>
    <s v="Duke"/>
    <n v="3"/>
    <n v="119"/>
    <n v="1738"/>
    <n v="647"/>
    <n v="159"/>
    <n v="152"/>
    <n v="0.41599999999999998"/>
    <n v="0.39600000000000002"/>
    <n v="0.91"/>
    <n v="2.9"/>
    <n v="7.9000000000000001E-2"/>
    <n v="1999"/>
    <n v="14.6"/>
    <n v="5.4"/>
    <n v="1.3"/>
    <n v="1.3"/>
    <x v="0"/>
    <x v="10"/>
    <n v="0"/>
  </r>
  <r>
    <x v="11"/>
    <x v="28"/>
    <x v="443"/>
    <s v="Barton County Community College"/>
    <n v="2"/>
    <n v="15"/>
    <n v="152"/>
    <n v="26"/>
    <n v="36"/>
    <n v="7"/>
    <n v="0.308"/>
    <n v="0"/>
    <n v="0.625"/>
    <n v="-0.4"/>
    <n v="-0.13"/>
    <n v="1999"/>
    <n v="10.1"/>
    <n v="1.7"/>
    <n v="2.4"/>
    <n v="0.5"/>
    <x v="0"/>
    <x v="11"/>
    <n v="0"/>
  </r>
  <r>
    <x v="12"/>
    <x v="1"/>
    <x v="444"/>
    <s v="Duke"/>
    <n v="14"/>
    <n v="827"/>
    <n v="23358"/>
    <n v="13198"/>
    <n v="4022"/>
    <n v="1696"/>
    <n v="0.45300000000000001"/>
    <n v="0.32400000000000001"/>
    <n v="0.82199999999999995"/>
    <n v="62.2"/>
    <n v="0.128"/>
    <n v="1999"/>
    <n v="28.2"/>
    <n v="16"/>
    <n v="4.9000000000000004"/>
    <n v="2.1"/>
    <x v="0"/>
    <x v="12"/>
    <n v="1"/>
  </r>
  <r>
    <x v="13"/>
    <x v="5"/>
    <x v="445"/>
    <s v="Duke"/>
    <n v="3"/>
    <n v="142"/>
    <n v="1205"/>
    <n v="379"/>
    <n v="93"/>
    <n v="199"/>
    <n v="0.33"/>
    <n v="0.255"/>
    <n v="0.71399999999999997"/>
    <n v="-0.9"/>
    <n v="-3.4000000000000002E-2"/>
    <n v="1999"/>
    <n v="8.5"/>
    <n v="2.7"/>
    <n v="0.7"/>
    <n v="1.4"/>
    <x v="0"/>
    <x v="13"/>
    <n v="0"/>
  </r>
  <r>
    <x v="15"/>
    <x v="20"/>
    <x v="446"/>
    <s v="St. John's"/>
    <n v="17"/>
    <n v="991"/>
    <n v="31440"/>
    <n v="13058"/>
    <n v="4448"/>
    <n v="2631"/>
    <n v="0.41399999999999998"/>
    <n v="0.33900000000000002"/>
    <n v="0.71499999999999997"/>
    <n v="61.1"/>
    <n v="9.2999999999999999E-2"/>
    <n v="1999"/>
    <n v="31.7"/>
    <n v="13.2"/>
    <n v="4.5"/>
    <n v="2.7"/>
    <x v="0"/>
    <x v="15"/>
    <n v="1"/>
  </r>
  <r>
    <x v="16"/>
    <x v="9"/>
    <x v="447"/>
    <s v="Old Dominion"/>
    <n v="3"/>
    <n v="142"/>
    <n v="1383"/>
    <n v="424"/>
    <n v="272"/>
    <n v="29"/>
    <n v="0.40400000000000003"/>
    <n v="0.182"/>
    <n v="0.76800000000000002"/>
    <n v="1.8"/>
    <n v="6.0999999999999999E-2"/>
    <n v="1999"/>
    <n v="9.6999999999999993"/>
    <n v="3"/>
    <n v="1.9"/>
    <n v="0.2"/>
    <x v="0"/>
    <x v="16"/>
    <n v="0"/>
  </r>
  <r>
    <x v="17"/>
    <x v="2"/>
    <x v="448"/>
    <s v="Xavier"/>
    <n v="12"/>
    <n v="864"/>
    <n v="23260"/>
    <n v="7419"/>
    <n v="4061"/>
    <n v="1413"/>
    <n v="0.41"/>
    <n v="0.34899999999999998"/>
    <n v="0.82"/>
    <n v="51.6"/>
    <n v="0.107"/>
    <n v="1999"/>
    <n v="26.9"/>
    <n v="8.6"/>
    <n v="4.7"/>
    <n v="1.6"/>
    <x v="0"/>
    <x v="17"/>
    <n v="1"/>
  </r>
  <r>
    <x v="18"/>
    <x v="22"/>
    <x v="449"/>
    <s v="Minnesota"/>
    <n v="4"/>
    <n v="159"/>
    <n v="1853"/>
    <n v="567"/>
    <n v="210"/>
    <n v="96"/>
    <n v="0.39700000000000002"/>
    <n v="0.33300000000000002"/>
    <n v="0.71"/>
    <n v="0.8"/>
    <n v="0.02"/>
    <n v="1999"/>
    <n v="11.7"/>
    <n v="3.6"/>
    <n v="1.3"/>
    <n v="0.6"/>
    <x v="0"/>
    <x v="18"/>
    <n v="0"/>
  </r>
  <r>
    <x v="19"/>
    <x v="9"/>
    <x v="450"/>
    <s v="Georgia Tech"/>
    <n v="6"/>
    <n v="294"/>
    <n v="6132"/>
    <n v="2407"/>
    <n v="897"/>
    <n v="455"/>
    <n v="0.41099999999999998"/>
    <n v="0.317"/>
    <n v="0.75600000000000001"/>
    <n v="5.8"/>
    <n v="4.4999999999999998E-2"/>
    <n v="1999"/>
    <n v="20.9"/>
    <n v="8.1999999999999993"/>
    <n v="3.1"/>
    <n v="1.5"/>
    <x v="0"/>
    <x v="19"/>
    <n v="1"/>
  </r>
  <r>
    <x v="20"/>
    <x v="10"/>
    <x v="451"/>
    <s v="Texas State University"/>
    <n v="13"/>
    <n v="764"/>
    <n v="15750"/>
    <n v="3747"/>
    <n v="5248"/>
    <n v="703"/>
    <n v="0.497"/>
    <n v="0.13"/>
    <n v="0.61499999999999999"/>
    <n v="47.5"/>
    <n v="0.14499999999999999"/>
    <n v="1999"/>
    <n v="20.6"/>
    <n v="4.9000000000000004"/>
    <n v="6.9"/>
    <n v="0.9"/>
    <x v="0"/>
    <x v="20"/>
    <n v="1"/>
  </r>
  <r>
    <x v="21"/>
    <x v="11"/>
    <x v="452"/>
    <s v="New Mexico"/>
    <n v="11"/>
    <n v="632"/>
    <n v="17306"/>
    <n v="5876"/>
    <n v="4341"/>
    <n v="975"/>
    <n v="0.46500000000000002"/>
    <n v="0.24399999999999999"/>
    <n v="0.69899999999999995"/>
    <n v="31.2"/>
    <n v="8.5999999999999993E-2"/>
    <n v="1999"/>
    <n v="27.4"/>
    <n v="9.3000000000000007"/>
    <n v="6.9"/>
    <n v="1.5"/>
    <x v="0"/>
    <x v="21"/>
    <n v="1"/>
  </r>
  <r>
    <x v="22"/>
    <x v="19"/>
    <x v="453"/>
    <s v="Augsburg College"/>
    <n v="11"/>
    <n v="630"/>
    <n v="11682"/>
    <n v="3536"/>
    <n v="1975"/>
    <n v="543"/>
    <n v="0.39200000000000002"/>
    <n v="0.34300000000000003"/>
    <n v="0.72099999999999997"/>
    <n v="18.2"/>
    <n v="7.4999999999999997E-2"/>
    <n v="1999"/>
    <n v="18.5"/>
    <n v="5.6"/>
    <n v="3.1"/>
    <n v="0.9"/>
    <x v="0"/>
    <x v="22"/>
    <n v="1"/>
  </r>
  <r>
    <x v="23"/>
    <x v="22"/>
    <x v="454"/>
    <s v="NA"/>
    <n v="13"/>
    <n v="797"/>
    <n v="23916"/>
    <n v="9431"/>
    <n v="4352"/>
    <n v="2169"/>
    <n v="0.47399999999999998"/>
    <n v="0.31"/>
    <n v="0.754"/>
    <n v="75.400000000000006"/>
    <n v="0.151"/>
    <n v="1999"/>
    <n v="30"/>
    <n v="11.8"/>
    <n v="5.5"/>
    <n v="2.7"/>
    <x v="0"/>
    <x v="23"/>
    <n v="1"/>
  </r>
  <r>
    <x v="24"/>
    <x v="8"/>
    <x v="455"/>
    <s v="Miami (FL)"/>
    <n v="3"/>
    <n v="43"/>
    <n v="261"/>
    <n v="68"/>
    <n v="46"/>
    <n v="11"/>
    <n v="0.32900000000000001"/>
    <n v="0.33300000000000002"/>
    <n v="0.65200000000000002"/>
    <n v="0"/>
    <n v="-3.0000000000000001E-3"/>
    <n v="1999"/>
    <n v="6.1"/>
    <n v="1.6"/>
    <n v="1.1000000000000001"/>
    <n v="0.3"/>
    <x v="0"/>
    <x v="24"/>
    <n v="0"/>
  </r>
  <r>
    <x v="25"/>
    <x v="24"/>
    <x v="456"/>
    <s v="Pitt"/>
    <n v="3"/>
    <n v="199"/>
    <n v="3789"/>
    <n v="1381"/>
    <n v="373"/>
    <n v="534"/>
    <n v="0.38300000000000001"/>
    <n v="0.32100000000000001"/>
    <n v="0.72599999999999998"/>
    <n v="2.2000000000000002"/>
    <n v="2.8000000000000001E-2"/>
    <n v="1999"/>
    <n v="19"/>
    <n v="6.9"/>
    <n v="1.9"/>
    <n v="2.7"/>
    <x v="0"/>
    <x v="25"/>
    <n v="0"/>
  </r>
  <r>
    <x v="26"/>
    <x v="9"/>
    <x v="457"/>
    <s v="Georgia"/>
    <n v="8"/>
    <n v="471"/>
    <n v="9780"/>
    <n v="3325"/>
    <n v="1987"/>
    <n v="408"/>
    <n v="0.42399999999999999"/>
    <n v="0.34899999999999998"/>
    <n v="0.70399999999999996"/>
    <n v="15.1"/>
    <n v="7.3999999999999996E-2"/>
    <n v="1999"/>
    <n v="20.8"/>
    <n v="7.1"/>
    <n v="4.2"/>
    <n v="0.9"/>
    <x v="0"/>
    <x v="26"/>
    <n v="1"/>
  </r>
  <r>
    <x v="27"/>
    <x v="22"/>
    <x v="458"/>
    <s v="Kentucky"/>
    <n v="8"/>
    <n v="448"/>
    <n v="5613"/>
    <n v="1874"/>
    <n v="1227"/>
    <n v="325"/>
    <n v="0.41"/>
    <n v="0.373"/>
    <n v="0.73599999999999999"/>
    <n v="13.2"/>
    <n v="0.113"/>
    <n v="1999"/>
    <n v="12.5"/>
    <n v="4.2"/>
    <n v="2.7"/>
    <n v="0.7"/>
    <x v="0"/>
    <x v="27"/>
    <n v="1"/>
  </r>
  <r>
    <x v="28"/>
    <x v="16"/>
    <x v="459"/>
    <s v="NA"/>
    <n v="2"/>
    <n v="15"/>
    <n v="104"/>
    <n v="33"/>
    <n v="33"/>
    <n v="3"/>
    <n v="0.39300000000000002"/>
    <n v="0"/>
    <n v="0.64700000000000002"/>
    <n v="0.2"/>
    <n v="0.112"/>
    <n v="1999"/>
    <n v="6.9"/>
    <n v="2.2000000000000002"/>
    <n v="2.2000000000000002"/>
    <n v="0.2"/>
    <x v="0"/>
    <x v="28"/>
    <n v="0"/>
  </r>
  <r>
    <x v="29"/>
    <x v="19"/>
    <x v="460"/>
    <s v="Villanova"/>
    <n v="1"/>
    <n v="16"/>
    <n v="185"/>
    <n v="37"/>
    <n v="11"/>
    <n v="20"/>
    <n v="0.33300000000000002"/>
    <n v="0.222"/>
    <n v="0.83299999999999996"/>
    <n v="-0.1"/>
    <n v="-3.7999999999999999E-2"/>
    <n v="1999"/>
    <n v="11.6"/>
    <n v="2.2999999999999998"/>
    <n v="0.7"/>
    <n v="1.3"/>
    <x v="1"/>
    <x v="0"/>
    <n v="0"/>
  </r>
  <r>
    <x v="31"/>
    <x v="20"/>
    <x v="461"/>
    <s v="Tulsa"/>
    <n v="9"/>
    <n v="414"/>
    <n v="5966"/>
    <n v="716"/>
    <n v="1632"/>
    <n v="250"/>
    <n v="0.40699999999999997"/>
    <n v="0"/>
    <n v="0.45900000000000002"/>
    <n v="6.8"/>
    <n v="5.5E-2"/>
    <n v="1999"/>
    <n v="14.4"/>
    <n v="1.7"/>
    <n v="3.9"/>
    <n v="0.6"/>
    <x v="1"/>
    <x v="2"/>
    <n v="1"/>
  </r>
  <r>
    <x v="32"/>
    <x v="2"/>
    <x v="462"/>
    <s v="Fresno State"/>
    <n v="2"/>
    <n v="70"/>
    <n v="1005"/>
    <n v="224"/>
    <n v="73"/>
    <n v="167"/>
    <n v="0.33600000000000002"/>
    <n v="0.32800000000000001"/>
    <n v="0.69199999999999995"/>
    <n v="0.5"/>
    <n v="2.5000000000000001E-2"/>
    <n v="1999"/>
    <n v="14.4"/>
    <n v="3.2"/>
    <n v="1"/>
    <n v="2.4"/>
    <x v="1"/>
    <x v="3"/>
    <n v="0"/>
  </r>
  <r>
    <x v="33"/>
    <x v="0"/>
    <x v="463"/>
    <s v="Northwestern"/>
    <n v="4"/>
    <n v="153"/>
    <n v="2138"/>
    <n v="421"/>
    <n v="601"/>
    <n v="76"/>
    <n v="0.46300000000000002"/>
    <n v="0"/>
    <n v="0.621"/>
    <n v="4"/>
    <n v="0.09"/>
    <n v="1999"/>
    <n v="14"/>
    <n v="2.8"/>
    <n v="3.9"/>
    <n v="0.5"/>
    <x v="1"/>
    <x v="4"/>
    <n v="0"/>
  </r>
  <r>
    <x v="34"/>
    <x v="23"/>
    <x v="464"/>
    <s v="Penn State"/>
    <n v="10"/>
    <n v="366"/>
    <n v="4477"/>
    <n v="1190"/>
    <n v="1010"/>
    <n v="151"/>
    <n v="0.45100000000000001"/>
    <n v="0.222"/>
    <n v="0.748"/>
    <n v="8"/>
    <n v="8.5999999999999993E-2"/>
    <n v="1999"/>
    <n v="12.2"/>
    <n v="3.3"/>
    <n v="2.8"/>
    <n v="0.4"/>
    <x v="1"/>
    <x v="5"/>
    <n v="1"/>
  </r>
  <r>
    <x v="35"/>
    <x v="26"/>
    <x v="465"/>
    <s v="NA"/>
    <n v="5"/>
    <n v="137"/>
    <n v="1256"/>
    <n v="604"/>
    <n v="231"/>
    <n v="39"/>
    <n v="0.41699999999999998"/>
    <n v="0.38500000000000001"/>
    <n v="0.73499999999999999"/>
    <n v="2.1"/>
    <n v="7.8E-2"/>
    <n v="1999"/>
    <n v="9.1999999999999993"/>
    <n v="4.4000000000000004"/>
    <n v="1.7"/>
    <n v="0.3"/>
    <x v="1"/>
    <x v="6"/>
    <n v="0"/>
  </r>
  <r>
    <x v="36"/>
    <x v="27"/>
    <x v="466"/>
    <s v="Maryland"/>
    <n v="4"/>
    <n v="143"/>
    <n v="1516"/>
    <n v="510"/>
    <n v="383"/>
    <n v="31"/>
    <n v="0.42299999999999999"/>
    <n v="0"/>
    <n v="0.72"/>
    <n v="1.7"/>
    <n v="5.3999999999999999E-2"/>
    <n v="1999"/>
    <n v="10.6"/>
    <n v="3.6"/>
    <n v="2.7"/>
    <n v="0.2"/>
    <x v="1"/>
    <x v="7"/>
    <n v="0"/>
  </r>
  <r>
    <x v="37"/>
    <x v="3"/>
    <x v="467"/>
    <s v="Maryland"/>
    <n v="4"/>
    <n v="135"/>
    <n v="1537"/>
    <n v="441"/>
    <n v="209"/>
    <n v="166"/>
    <n v="0.41899999999999998"/>
    <n v="0.23599999999999999"/>
    <n v="0.71199999999999997"/>
    <n v="0.7"/>
    <n v="2.1000000000000001E-2"/>
    <n v="1999"/>
    <n v="11.4"/>
    <n v="3.3"/>
    <n v="1.5"/>
    <n v="1.2"/>
    <x v="1"/>
    <x v="8"/>
    <n v="0"/>
  </r>
  <r>
    <x v="38"/>
    <x v="25"/>
    <x v="468"/>
    <s v="Arizona"/>
    <n v="1"/>
    <n v="8"/>
    <n v="61"/>
    <n v="8"/>
    <n v="22"/>
    <n v="0"/>
    <n v="0.19"/>
    <n v="0"/>
    <n v="0"/>
    <n v="-0.2"/>
    <n v="-0.129"/>
    <n v="1999"/>
    <n v="7.6"/>
    <n v="1"/>
    <n v="2.8"/>
    <n v="0"/>
    <x v="1"/>
    <x v="9"/>
    <n v="0"/>
  </r>
  <r>
    <x v="39"/>
    <x v="26"/>
    <x v="469"/>
    <s v="NA"/>
    <n v="6"/>
    <n v="384"/>
    <n v="8824"/>
    <n v="3670"/>
    <n v="941"/>
    <n v="584"/>
    <n v="0.442"/>
    <n v="0.36799999999999999"/>
    <n v="0.82299999999999995"/>
    <n v="8"/>
    <n v="4.3999999999999997E-2"/>
    <n v="1999"/>
    <n v="23"/>
    <n v="9.6"/>
    <n v="2.5"/>
    <n v="1.5"/>
    <x v="1"/>
    <x v="10"/>
    <n v="1"/>
  </r>
  <r>
    <x v="40"/>
    <x v="2"/>
    <x v="470"/>
    <s v="California"/>
    <n v="9"/>
    <n v="472"/>
    <n v="7207"/>
    <n v="1726"/>
    <n v="1638"/>
    <n v="260"/>
    <n v="0.47799999999999998"/>
    <n v="0.188"/>
    <n v="0.7"/>
    <n v="11.7"/>
    <n v="7.8E-2"/>
    <n v="1999"/>
    <n v="15.3"/>
    <n v="3.7"/>
    <n v="3.5"/>
    <n v="0.6"/>
    <x v="1"/>
    <x v="11"/>
    <n v="1"/>
  </r>
  <r>
    <x v="42"/>
    <x v="4"/>
    <x v="471"/>
    <s v="TCU"/>
    <n v="6"/>
    <n v="306"/>
    <n v="5820"/>
    <n v="2622"/>
    <n v="936"/>
    <n v="298"/>
    <n v="0.47399999999999998"/>
    <n v="0.111"/>
    <n v="0.78600000000000003"/>
    <n v="8"/>
    <n v="6.6000000000000003E-2"/>
    <n v="1999"/>
    <n v="19"/>
    <n v="8.6"/>
    <n v="3.1"/>
    <n v="1"/>
    <x v="1"/>
    <x v="13"/>
    <n v="1"/>
  </r>
  <r>
    <x v="44"/>
    <x v="6"/>
    <x v="472"/>
    <s v="Kansas"/>
    <n v="1"/>
    <n v="1"/>
    <n v="25"/>
    <n v="5"/>
    <n v="0"/>
    <n v="0"/>
    <n v="0.33300000000000002"/>
    <n v="0"/>
    <n v="1"/>
    <n v="0"/>
    <n v="-2.1999999999999999E-2"/>
    <n v="1999"/>
    <n v="25"/>
    <n v="5"/>
    <n v="0"/>
    <n v="0"/>
    <x v="1"/>
    <x v="15"/>
    <n v="0"/>
  </r>
  <r>
    <x v="46"/>
    <x v="21"/>
    <x v="473"/>
    <s v="Washington"/>
    <n v="4"/>
    <n v="223"/>
    <n v="3439"/>
    <n v="1369"/>
    <n v="888"/>
    <n v="121"/>
    <n v="0.54100000000000004"/>
    <n v="0"/>
    <n v="0.64200000000000002"/>
    <n v="11.9"/>
    <n v="0.16600000000000001"/>
    <n v="1999"/>
    <n v="15.4"/>
    <n v="6.1"/>
    <n v="4"/>
    <n v="0.5"/>
    <x v="1"/>
    <x v="17"/>
    <n v="0"/>
  </r>
  <r>
    <x v="52"/>
    <x v="20"/>
    <x v="474"/>
    <s v="UMass"/>
    <n v="2"/>
    <n v="25"/>
    <n v="139"/>
    <n v="34"/>
    <n v="34"/>
    <n v="2"/>
    <n v="0.40600000000000003"/>
    <n v="0"/>
    <n v="0.66700000000000004"/>
    <n v="0"/>
    <n v="-1.4999999999999999E-2"/>
    <n v="1999"/>
    <n v="5.6"/>
    <n v="1.4"/>
    <n v="1.4"/>
    <n v="0.1"/>
    <x v="1"/>
    <x v="19"/>
    <n v="0"/>
  </r>
  <r>
    <x v="57"/>
    <x v="8"/>
    <x v="475"/>
    <s v="Creighton"/>
    <n v="5"/>
    <n v="230"/>
    <n v="4182"/>
    <n v="1472"/>
    <n v="598"/>
    <n v="179"/>
    <n v="0.41199999999999998"/>
    <n v="0.3"/>
    <n v="0.75800000000000001"/>
    <n v="2.9"/>
    <n v="3.3000000000000002E-2"/>
    <n v="1999"/>
    <n v="18.2"/>
    <n v="6.4"/>
    <n v="2.6"/>
    <n v="0.8"/>
    <x v="1"/>
    <x v="23"/>
    <n v="0"/>
  </r>
  <r>
    <x v="54"/>
    <x v="10"/>
    <x v="476"/>
    <s v="Stanford"/>
    <n v="1"/>
    <n v="25"/>
    <n v="137"/>
    <n v="54"/>
    <n v="35"/>
    <n v="5"/>
    <n v="0.33300000000000002"/>
    <n v="0"/>
    <n v="0.77800000000000002"/>
    <n v="0.2"/>
    <n v="5.8000000000000003E-2"/>
    <n v="1999"/>
    <n v="5.5"/>
    <n v="2.2000000000000002"/>
    <n v="1.4"/>
    <n v="0.2"/>
    <x v="1"/>
    <x v="26"/>
    <n v="0"/>
  </r>
  <r>
    <x v="55"/>
    <x v="16"/>
    <x v="477"/>
    <s v="NA"/>
    <n v="16"/>
    <n v="1057"/>
    <n v="26859"/>
    <n v="14043"/>
    <n v="3697"/>
    <n v="4001"/>
    <n v="0.44700000000000001"/>
    <n v="0.36899999999999999"/>
    <n v="0.82699999999999996"/>
    <n v="106.4"/>
    <n v="0.19"/>
    <n v="1999"/>
    <n v="25.4"/>
    <n v="13.3"/>
    <n v="3.5"/>
    <n v="3.8"/>
    <x v="1"/>
    <x v="27"/>
    <n v="1"/>
  </r>
  <r>
    <x v="0"/>
    <x v="0"/>
    <x v="478"/>
    <s v="Cincinnati"/>
    <n v="15"/>
    <n v="757"/>
    <n v="23134"/>
    <n v="9325"/>
    <n v="5159"/>
    <n v="1439"/>
    <n v="0.48299999999999998"/>
    <n v="0.23400000000000001"/>
    <n v="0.629"/>
    <n v="48"/>
    <n v="0.1"/>
    <n v="2000"/>
    <n v="30.6"/>
    <n v="12.3"/>
    <n v="6.8"/>
    <n v="1.9"/>
    <x v="0"/>
    <x v="0"/>
    <n v="1"/>
  </r>
  <r>
    <x v="1"/>
    <x v="27"/>
    <x v="479"/>
    <s v="LSU"/>
    <n v="9"/>
    <n v="547"/>
    <n v="10804"/>
    <n v="4582"/>
    <n v="2535"/>
    <n v="275"/>
    <n v="0.47299999999999998"/>
    <n v="7.3999999999999996E-2"/>
    <n v="0.69899999999999995"/>
    <n v="21.3"/>
    <n v="9.5000000000000001E-2"/>
    <n v="2000"/>
    <n v="19.8"/>
    <n v="8.4"/>
    <n v="4.5999999999999996"/>
    <n v="0.5"/>
    <x v="0"/>
    <x v="1"/>
    <n v="1"/>
  </r>
  <r>
    <x v="2"/>
    <x v="7"/>
    <x v="480"/>
    <s v="NA"/>
    <n v="7"/>
    <n v="446"/>
    <n v="11730"/>
    <n v="4507"/>
    <n v="2190"/>
    <n v="840"/>
    <n v="0.47199999999999998"/>
    <n v="0.16800000000000001"/>
    <n v="0.59"/>
    <n v="9.5"/>
    <n v="3.9E-2"/>
    <n v="2000"/>
    <n v="26.3"/>
    <n v="10.1"/>
    <n v="4.9000000000000004"/>
    <n v="1.9"/>
    <x v="0"/>
    <x v="2"/>
    <n v="1"/>
  </r>
  <r>
    <x v="3"/>
    <x v="20"/>
    <x v="481"/>
    <s v="Iowa State"/>
    <n v="6"/>
    <n v="289"/>
    <n v="6032"/>
    <n v="2782"/>
    <n v="1340"/>
    <n v="352"/>
    <n v="0.435"/>
    <n v="0.191"/>
    <n v="0.69099999999999995"/>
    <n v="2.7"/>
    <n v="2.1999999999999999E-2"/>
    <n v="2000"/>
    <n v="20.9"/>
    <n v="9.6"/>
    <n v="4.5999999999999996"/>
    <n v="1.2"/>
    <x v="0"/>
    <x v="3"/>
    <n v="1"/>
  </r>
  <r>
    <x v="4"/>
    <x v="3"/>
    <x v="482"/>
    <s v="Florida"/>
    <n v="17"/>
    <n v="1032"/>
    <n v="27812"/>
    <n v="10973"/>
    <n v="4376"/>
    <n v="2666"/>
    <n v="0.45900000000000002"/>
    <n v="0.40699999999999997"/>
    <n v="0.76900000000000002"/>
    <n v="60.7"/>
    <n v="0.105"/>
    <n v="2000"/>
    <n v="26.9"/>
    <n v="10.6"/>
    <n v="4.2"/>
    <n v="2.6"/>
    <x v="0"/>
    <x v="4"/>
    <n v="1"/>
  </r>
  <r>
    <x v="5"/>
    <x v="9"/>
    <x v="483"/>
    <s v="Cincinnati"/>
    <n v="7"/>
    <n v="344"/>
    <n v="5930"/>
    <n v="2121"/>
    <n v="769"/>
    <n v="304"/>
    <n v="0.41099999999999998"/>
    <n v="0.33600000000000002"/>
    <n v="0.78900000000000003"/>
    <n v="6.4"/>
    <n v="5.1999999999999998E-2"/>
    <n v="2000"/>
    <n v="17.2"/>
    <n v="6.2"/>
    <n v="2.2000000000000002"/>
    <n v="0.9"/>
    <x v="0"/>
    <x v="5"/>
    <n v="1"/>
  </r>
  <r>
    <x v="6"/>
    <x v="20"/>
    <x v="484"/>
    <s v="Texas"/>
    <n v="8"/>
    <n v="436"/>
    <n v="8758"/>
    <n v="3262"/>
    <n v="2302"/>
    <n v="223"/>
    <n v="0.45900000000000002"/>
    <n v="0.23100000000000001"/>
    <n v="0.70399999999999996"/>
    <n v="13.3"/>
    <n v="7.2999999999999995E-2"/>
    <n v="2000"/>
    <n v="20.100000000000001"/>
    <n v="7.5"/>
    <n v="5.3"/>
    <n v="0.5"/>
    <x v="0"/>
    <x v="6"/>
    <n v="1"/>
  </r>
  <r>
    <x v="7"/>
    <x v="25"/>
    <x v="485"/>
    <s v="Michigan"/>
    <n v="20"/>
    <n v="1327"/>
    <n v="38994"/>
    <n v="19419"/>
    <n v="2948"/>
    <n v="4541"/>
    <n v="0.41"/>
    <n v="0.34799999999999998"/>
    <n v="0.86199999999999999"/>
    <n v="60.7"/>
    <n v="7.4999999999999997E-2"/>
    <n v="2000"/>
    <n v="29.4"/>
    <n v="14.6"/>
    <n v="2.2000000000000002"/>
    <n v="3.4"/>
    <x v="0"/>
    <x v="7"/>
    <n v="1"/>
  </r>
  <r>
    <x v="8"/>
    <x v="11"/>
    <x v="486"/>
    <s v="Minnesota"/>
    <n v="13"/>
    <n v="592"/>
    <n v="11733"/>
    <n v="2293"/>
    <n v="3665"/>
    <n v="256"/>
    <n v="0.55200000000000005"/>
    <n v="0"/>
    <n v="0.55700000000000005"/>
    <n v="23"/>
    <n v="9.4E-2"/>
    <n v="2000"/>
    <n v="19.8"/>
    <n v="3.9"/>
    <n v="6.2"/>
    <n v="0.4"/>
    <x v="0"/>
    <x v="8"/>
    <n v="1"/>
  </r>
  <r>
    <x v="9"/>
    <x v="3"/>
    <x v="487"/>
    <s v="Missouri"/>
    <n v="13"/>
    <n v="728"/>
    <n v="14134"/>
    <n v="5067"/>
    <n v="964"/>
    <n v="1601"/>
    <n v="0.41599999999999998"/>
    <n v="0.34899999999999998"/>
    <n v="0.79900000000000004"/>
    <n v="18.5"/>
    <n v="6.3E-2"/>
    <n v="2000"/>
    <n v="19.399999999999999"/>
    <n v="7"/>
    <n v="1.3"/>
    <n v="2.2000000000000002"/>
    <x v="0"/>
    <x v="9"/>
    <n v="1"/>
  </r>
  <r>
    <x v="10"/>
    <x v="14"/>
    <x v="488"/>
    <s v="UCLA"/>
    <n v="5"/>
    <n v="145"/>
    <n v="1392"/>
    <n v="386"/>
    <n v="395"/>
    <n v="38"/>
    <n v="0.48899999999999999"/>
    <n v="0"/>
    <n v="0.59299999999999997"/>
    <n v="2.1"/>
    <n v="7.3999999999999996E-2"/>
    <n v="2000"/>
    <n v="9.6"/>
    <n v="2.7"/>
    <n v="2.7"/>
    <n v="0.3"/>
    <x v="0"/>
    <x v="10"/>
    <n v="0"/>
  </r>
  <r>
    <x v="11"/>
    <x v="26"/>
    <x v="489"/>
    <s v="Syracuse"/>
    <n v="9"/>
    <n v="409"/>
    <n v="7084"/>
    <n v="2341"/>
    <n v="1927"/>
    <n v="149"/>
    <n v="0.51300000000000001"/>
    <n v="0"/>
    <n v="0.60299999999999998"/>
    <n v="14.9"/>
    <n v="0.10100000000000001"/>
    <n v="2000"/>
    <n v="17.3"/>
    <n v="5.7"/>
    <n v="4.7"/>
    <n v="0.4"/>
    <x v="0"/>
    <x v="11"/>
    <n v="1"/>
  </r>
  <r>
    <x v="12"/>
    <x v="3"/>
    <x v="490"/>
    <s v="Fresno State"/>
    <n v="3"/>
    <n v="187"/>
    <n v="4067"/>
    <n v="1690"/>
    <n v="409"/>
    <n v="227"/>
    <n v="0.42199999999999999"/>
    <n v="0.33900000000000002"/>
    <n v="0.81299999999999994"/>
    <n v="4.0999999999999996"/>
    <n v="4.8000000000000001E-2"/>
    <n v="2000"/>
    <n v="21.7"/>
    <n v="9"/>
    <n v="2.2000000000000002"/>
    <n v="1.2"/>
    <x v="0"/>
    <x v="12"/>
    <n v="0"/>
  </r>
  <r>
    <x v="13"/>
    <x v="18"/>
    <x v="491"/>
    <s v="Michigan State"/>
    <n v="6"/>
    <n v="167"/>
    <n v="1863"/>
    <n v="609"/>
    <n v="175"/>
    <n v="310"/>
    <n v="0.38900000000000001"/>
    <n v="0.26700000000000002"/>
    <n v="0.72799999999999998"/>
    <n v="-0.8"/>
    <n v="-2.1000000000000001E-2"/>
    <n v="2000"/>
    <n v="11.2"/>
    <n v="3.6"/>
    <n v="1"/>
    <n v="1.9"/>
    <x v="0"/>
    <x v="13"/>
    <n v="1"/>
  </r>
  <r>
    <x v="14"/>
    <x v="12"/>
    <x v="492"/>
    <s v="Georgia Tech"/>
    <n v="5"/>
    <n v="151"/>
    <n v="2178"/>
    <n v="841"/>
    <n v="443"/>
    <n v="51"/>
    <n v="0.45500000000000002"/>
    <n v="0.35"/>
    <n v="0.73799999999999999"/>
    <n v="1.9"/>
    <n v="4.2000000000000003E-2"/>
    <n v="2000"/>
    <n v="14.4"/>
    <n v="5.6"/>
    <n v="2.9"/>
    <n v="0.3"/>
    <x v="0"/>
    <x v="14"/>
    <n v="0"/>
  </r>
  <r>
    <x v="15"/>
    <x v="6"/>
    <x v="493"/>
    <s v="NA"/>
    <n v="15"/>
    <n v="997"/>
    <n v="26695"/>
    <n v="11022"/>
    <n v="3971"/>
    <n v="2832"/>
    <n v="0.42599999999999999"/>
    <n v="0.38400000000000001"/>
    <n v="0.78400000000000003"/>
    <n v="63.3"/>
    <n v="0.114"/>
    <n v="2000"/>
    <n v="26.8"/>
    <n v="11.1"/>
    <n v="4"/>
    <n v="2.8"/>
    <x v="0"/>
    <x v="15"/>
    <n v="1"/>
  </r>
  <r>
    <x v="16"/>
    <x v="1"/>
    <x v="494"/>
    <s v="Oklahoma State"/>
    <n v="10"/>
    <n v="643"/>
    <n v="19641"/>
    <n v="7767"/>
    <n v="2863"/>
    <n v="1049"/>
    <n v="0.44900000000000001"/>
    <n v="0.26"/>
    <n v="0.74"/>
    <n v="23.1"/>
    <n v="5.6000000000000001E-2"/>
    <n v="2000"/>
    <n v="30.5"/>
    <n v="12.1"/>
    <n v="4.5"/>
    <n v="1.6"/>
    <x v="0"/>
    <x v="16"/>
    <n v="1"/>
  </r>
  <r>
    <x v="17"/>
    <x v="7"/>
    <x v="495"/>
    <s v="DePaul"/>
    <n v="13"/>
    <n v="783"/>
    <n v="20785"/>
    <n v="8032"/>
    <n v="3666"/>
    <n v="1138"/>
    <n v="0.39700000000000002"/>
    <n v="0.35499999999999998"/>
    <n v="0.71799999999999997"/>
    <n v="32.799999999999997"/>
    <n v="7.5999999999999998E-2"/>
    <n v="2000"/>
    <n v="26.5"/>
    <n v="10.3"/>
    <n v="4.7"/>
    <n v="1.5"/>
    <x v="0"/>
    <x v="17"/>
    <n v="1"/>
  </r>
  <r>
    <x v="18"/>
    <x v="4"/>
    <x v="496"/>
    <s v="Kentucky"/>
    <n v="12"/>
    <n v="680"/>
    <n v="14621"/>
    <n v="4917"/>
    <n v="4408"/>
    <n v="386"/>
    <n v="0.48"/>
    <n v="0"/>
    <n v="0.63900000000000001"/>
    <n v="27.7"/>
    <n v="9.0999999999999998E-2"/>
    <n v="2000"/>
    <n v="21.5"/>
    <n v="7.2"/>
    <n v="6.5"/>
    <n v="0.6"/>
    <x v="0"/>
    <x v="18"/>
    <n v="1"/>
  </r>
  <r>
    <x v="19"/>
    <x v="21"/>
    <x v="497"/>
    <s v="Hofstra"/>
    <n v="7"/>
    <n v="334"/>
    <n v="8548"/>
    <n v="3096"/>
    <n v="830"/>
    <n v="1441"/>
    <n v="0.40899999999999997"/>
    <n v="0.193"/>
    <n v="0.76200000000000001"/>
    <n v="14.2"/>
    <n v="0.08"/>
    <n v="2000"/>
    <n v="25.6"/>
    <n v="9.3000000000000007"/>
    <n v="2.5"/>
    <n v="4.3"/>
    <x v="0"/>
    <x v="19"/>
    <n v="1"/>
  </r>
  <r>
    <x v="20"/>
    <x v="28"/>
    <x v="498"/>
    <s v="Michigan State"/>
    <n v="11"/>
    <n v="711"/>
    <n v="19366"/>
    <n v="7628"/>
    <n v="2483"/>
    <n v="1090"/>
    <n v="0.41799999999999998"/>
    <n v="0.373"/>
    <n v="0.77300000000000002"/>
    <n v="35.700000000000003"/>
    <n v="8.8999999999999996E-2"/>
    <n v="2000"/>
    <n v="27.2"/>
    <n v="10.7"/>
    <n v="3.5"/>
    <n v="1.5"/>
    <x v="0"/>
    <x v="20"/>
    <n v="1"/>
  </r>
  <r>
    <x v="21"/>
    <x v="13"/>
    <x v="499"/>
    <s v="Florida"/>
    <n v="5"/>
    <n v="205"/>
    <n v="3318"/>
    <n v="1150"/>
    <n v="827"/>
    <n v="161"/>
    <n v="0.46"/>
    <n v="0.1"/>
    <n v="0.65900000000000003"/>
    <n v="4.7"/>
    <n v="6.9000000000000006E-2"/>
    <n v="2000"/>
    <n v="16.2"/>
    <n v="5.6"/>
    <n v="4"/>
    <n v="0.8"/>
    <x v="0"/>
    <x v="21"/>
    <n v="0"/>
  </r>
  <r>
    <x v="22"/>
    <x v="22"/>
    <x v="500"/>
    <s v="NA"/>
    <n v="13"/>
    <n v="824"/>
    <n v="18396"/>
    <n v="5930"/>
    <n v="1832"/>
    <n v="1355"/>
    <n v="0.40600000000000003"/>
    <n v="0.34"/>
    <n v="0.69799999999999995"/>
    <n v="12.1"/>
    <n v="3.2000000000000001E-2"/>
    <n v="2000"/>
    <n v="22.3"/>
    <n v="7.2"/>
    <n v="2.2000000000000002"/>
    <n v="1.6"/>
    <x v="0"/>
    <x v="22"/>
    <n v="1"/>
  </r>
  <r>
    <x v="23"/>
    <x v="20"/>
    <x v="501"/>
    <s v="NA"/>
    <n v="3"/>
    <n v="95"/>
    <n v="973"/>
    <n v="251"/>
    <n v="238"/>
    <n v="37"/>
    <n v="0.36099999999999999"/>
    <n v="0"/>
    <n v="0.55900000000000005"/>
    <n v="-0.9"/>
    <n v="-4.2999999999999997E-2"/>
    <n v="2000"/>
    <n v="10.199999999999999"/>
    <n v="2.6"/>
    <n v="2.5"/>
    <n v="0.4"/>
    <x v="0"/>
    <x v="23"/>
    <n v="0"/>
  </r>
  <r>
    <x v="24"/>
    <x v="15"/>
    <x v="502"/>
    <s v="NA"/>
    <n v="7"/>
    <n v="315"/>
    <n v="5005"/>
    <n v="1497"/>
    <n v="1238"/>
    <n v="101"/>
    <n v="0.49"/>
    <n v="0"/>
    <n v="0.65700000000000003"/>
    <n v="9.9"/>
    <n v="9.5000000000000001E-2"/>
    <n v="2000"/>
    <n v="15.9"/>
    <n v="4.8"/>
    <n v="3.9"/>
    <n v="0.3"/>
    <x v="0"/>
    <x v="24"/>
    <n v="1"/>
  </r>
  <r>
    <x v="25"/>
    <x v="2"/>
    <x v="503"/>
    <s v="Auburn"/>
    <n v="5"/>
    <n v="69"/>
    <n v="858"/>
    <n v="262"/>
    <n v="225"/>
    <n v="8"/>
    <n v="0.42699999999999999"/>
    <n v="0"/>
    <n v="0.73599999999999999"/>
    <n v="1.8"/>
    <n v="0.10100000000000001"/>
    <n v="2000"/>
    <n v="12.4"/>
    <n v="3.8"/>
    <n v="3.3"/>
    <n v="0.1"/>
    <x v="0"/>
    <x v="25"/>
    <n v="0"/>
  </r>
  <r>
    <x v="26"/>
    <x v="24"/>
    <x v="504"/>
    <s v="NA"/>
    <n v="8"/>
    <n v="342"/>
    <n v="6192"/>
    <n v="2452"/>
    <n v="1327"/>
    <n v="179"/>
    <n v="0.498"/>
    <n v="0.16700000000000001"/>
    <n v="0.70099999999999996"/>
    <n v="10.8"/>
    <n v="8.4000000000000005E-2"/>
    <n v="2000"/>
    <n v="18.100000000000001"/>
    <n v="7.2"/>
    <n v="3.9"/>
    <n v="0.5"/>
    <x v="0"/>
    <x v="26"/>
    <n v="1"/>
  </r>
  <r>
    <x v="27"/>
    <x v="17"/>
    <x v="505"/>
    <s v="St. John's"/>
    <n v="2"/>
    <n v="27"/>
    <n v="266"/>
    <n v="77"/>
    <n v="21"/>
    <n v="40"/>
    <n v="0.35599999999999998"/>
    <n v="0.26700000000000002"/>
    <n v="0.9"/>
    <n v="0.2"/>
    <n v="2.7E-2"/>
    <n v="2000"/>
    <n v="9.9"/>
    <n v="2.9"/>
    <n v="0.8"/>
    <n v="1.5"/>
    <x v="0"/>
    <x v="27"/>
    <n v="0"/>
  </r>
  <r>
    <x v="28"/>
    <x v="19"/>
    <x v="506"/>
    <s v="Stanford"/>
    <n v="9"/>
    <n v="453"/>
    <n v="5335"/>
    <n v="975"/>
    <n v="1157"/>
    <n v="181"/>
    <n v="0.45700000000000002"/>
    <n v="6.3E-2"/>
    <n v="0.52700000000000002"/>
    <n v="8.1999999999999993"/>
    <n v="7.3999999999999996E-2"/>
    <n v="2000"/>
    <n v="11.8"/>
    <n v="2.2000000000000002"/>
    <n v="2.6"/>
    <n v="0.4"/>
    <x v="0"/>
    <x v="28"/>
    <n v="1"/>
  </r>
  <r>
    <x v="29"/>
    <x v="7"/>
    <x v="507"/>
    <s v="NA"/>
    <n v="7"/>
    <n v="447"/>
    <n v="11246"/>
    <n v="3193"/>
    <n v="1200"/>
    <n v="1600"/>
    <n v="0.40400000000000003"/>
    <n v="0.34399999999999997"/>
    <n v="0.73"/>
    <n v="12.1"/>
    <n v="5.1999999999999998E-2"/>
    <n v="2000"/>
    <n v="25.2"/>
    <n v="7.1"/>
    <n v="2.7"/>
    <n v="3.6"/>
    <x v="1"/>
    <x v="0"/>
    <n v="1"/>
  </r>
  <r>
    <x v="30"/>
    <x v="26"/>
    <x v="508"/>
    <s v="Vanderbilt"/>
    <n v="4"/>
    <n v="133"/>
    <n v="1253"/>
    <n v="393"/>
    <n v="199"/>
    <n v="39"/>
    <n v="0.39100000000000001"/>
    <n v="0.28899999999999998"/>
    <n v="0.61299999999999999"/>
    <n v="0.3"/>
    <n v="1.2E-2"/>
    <n v="2000"/>
    <n v="9.4"/>
    <n v="3"/>
    <n v="1.5"/>
    <n v="0.3"/>
    <x v="1"/>
    <x v="1"/>
    <n v="0"/>
  </r>
  <r>
    <x v="31"/>
    <x v="20"/>
    <x v="509"/>
    <s v="Indiana"/>
    <n v="3"/>
    <n v="80"/>
    <n v="1246"/>
    <n v="442"/>
    <n v="80"/>
    <n v="147"/>
    <n v="0.377"/>
    <n v="0.378"/>
    <n v="0.82199999999999995"/>
    <n v="0.3"/>
    <n v="0.01"/>
    <n v="2000"/>
    <n v="15.6"/>
    <n v="5.5"/>
    <n v="1"/>
    <n v="1.8"/>
    <x v="1"/>
    <x v="2"/>
    <n v="0"/>
  </r>
  <r>
    <x v="32"/>
    <x v="20"/>
    <x v="510"/>
    <s v="UConn"/>
    <n v="9"/>
    <n v="450"/>
    <n v="6443"/>
    <n v="1814"/>
    <n v="1539"/>
    <n v="237"/>
    <n v="0.48699999999999999"/>
    <n v="0.33300000000000002"/>
    <n v="0.71399999999999997"/>
    <n v="11.6"/>
    <n v="8.6999999999999994E-2"/>
    <n v="2000"/>
    <n v="14.3"/>
    <n v="4"/>
    <n v="3.4"/>
    <n v="0.5"/>
    <x v="1"/>
    <x v="3"/>
    <n v="1"/>
  </r>
  <r>
    <x v="33"/>
    <x v="20"/>
    <x v="511"/>
    <s v="UConn"/>
    <n v="1"/>
    <n v="50"/>
    <n v="936"/>
    <n v="314"/>
    <n v="81"/>
    <n v="145"/>
    <n v="0.37"/>
    <n v="0.33300000000000002"/>
    <n v="0.77800000000000002"/>
    <n v="0.6"/>
    <n v="0.03"/>
    <n v="2000"/>
    <n v="18.7"/>
    <n v="6.3"/>
    <n v="1.6"/>
    <n v="2.9"/>
    <x v="1"/>
    <x v="4"/>
    <n v="0"/>
  </r>
  <r>
    <x v="34"/>
    <x v="23"/>
    <x v="512"/>
    <s v="Louisiana-Monroe"/>
    <n v="1"/>
    <n v="17"/>
    <n v="180"/>
    <n v="51"/>
    <n v="22"/>
    <n v="10"/>
    <n v="0.32200000000000001"/>
    <n v="0.16700000000000001"/>
    <n v="0.625"/>
    <n v="-0.1"/>
    <n v="-3.3000000000000002E-2"/>
    <n v="2000"/>
    <n v="10.6"/>
    <n v="3"/>
    <n v="1.3"/>
    <n v="0.6"/>
    <x v="1"/>
    <x v="5"/>
    <n v="0"/>
  </r>
  <r>
    <x v="35"/>
    <x v="0"/>
    <x v="513"/>
    <s v="NA"/>
    <n v="2"/>
    <n v="47"/>
    <n v="303"/>
    <n v="68"/>
    <n v="76"/>
    <n v="5"/>
    <n v="0.38900000000000001"/>
    <n v="0"/>
    <n v="0.46200000000000002"/>
    <n v="0.3"/>
    <n v="4.5999999999999999E-2"/>
    <n v="2000"/>
    <n v="6.4"/>
    <n v="1.4"/>
    <n v="1.6"/>
    <n v="0.1"/>
    <x v="1"/>
    <x v="6"/>
    <n v="0"/>
  </r>
  <r>
    <x v="36"/>
    <x v="8"/>
    <x v="514"/>
    <s v="Arizona State"/>
    <n v="11"/>
    <n v="717"/>
    <n v="12405"/>
    <n v="5356"/>
    <n v="1223"/>
    <n v="1112"/>
    <n v="0.40899999999999997"/>
    <n v="0.39"/>
    <n v="0.85099999999999998"/>
    <n v="20"/>
    <n v="7.6999999999999999E-2"/>
    <n v="2000"/>
    <n v="17.3"/>
    <n v="7.5"/>
    <n v="1.7"/>
    <n v="1.6"/>
    <x v="1"/>
    <x v="7"/>
    <n v="1"/>
  </r>
  <r>
    <x v="37"/>
    <x v="11"/>
    <x v="515"/>
    <s v="Oklahoma"/>
    <n v="12"/>
    <n v="619"/>
    <n v="11213"/>
    <n v="3052"/>
    <n v="2307"/>
    <n v="493"/>
    <n v="0.48099999999999998"/>
    <n v="0.311"/>
    <n v="0.67100000000000004"/>
    <n v="24.7"/>
    <n v="0.106"/>
    <n v="2000"/>
    <n v="18.100000000000001"/>
    <n v="4.9000000000000004"/>
    <n v="3.7"/>
    <n v="0.8"/>
    <x v="1"/>
    <x v="8"/>
    <n v="1"/>
  </r>
  <r>
    <x v="38"/>
    <x v="13"/>
    <x v="516"/>
    <s v="St. John's"/>
    <n v="3"/>
    <n v="61"/>
    <n v="446"/>
    <n v="195"/>
    <n v="45"/>
    <n v="13"/>
    <n v="0.33500000000000002"/>
    <n v="0.25"/>
    <n v="0.79500000000000004"/>
    <n v="-0.2"/>
    <n v="-2.5000000000000001E-2"/>
    <n v="2000"/>
    <n v="7.3"/>
    <n v="3.2"/>
    <n v="0.7"/>
    <n v="0.2"/>
    <x v="1"/>
    <x v="9"/>
    <n v="0"/>
  </r>
  <r>
    <x v="39"/>
    <x v="9"/>
    <x v="517"/>
    <s v="Utah"/>
    <n v="2"/>
    <n v="155"/>
    <n v="2360"/>
    <n v="715"/>
    <n v="442"/>
    <n v="75"/>
    <n v="0.442"/>
    <n v="6.3E-2"/>
    <n v="0.78300000000000003"/>
    <n v="0.9"/>
    <n v="1.9E-2"/>
    <n v="2000"/>
    <n v="15.2"/>
    <n v="4.5999999999999996"/>
    <n v="2.9"/>
    <n v="0.5"/>
    <x v="1"/>
    <x v="10"/>
    <n v="0"/>
  </r>
  <r>
    <x v="41"/>
    <x v="1"/>
    <x v="518"/>
    <s v="NA"/>
    <n v="3"/>
    <n v="93"/>
    <n v="587"/>
    <n v="127"/>
    <n v="196"/>
    <n v="11"/>
    <n v="0.495"/>
    <n v="0"/>
    <n v="0.65900000000000003"/>
    <n v="1.2"/>
    <n v="9.5000000000000001E-2"/>
    <n v="2000"/>
    <n v="6.3"/>
    <n v="1.4"/>
    <n v="2.1"/>
    <n v="0.1"/>
    <x v="1"/>
    <x v="12"/>
    <n v="0"/>
  </r>
  <r>
    <x v="42"/>
    <x v="12"/>
    <x v="519"/>
    <s v="Ohio State"/>
    <n v="12"/>
    <n v="629"/>
    <n v="20104"/>
    <n v="11972"/>
    <n v="2411"/>
    <n v="1338"/>
    <n v="0.44700000000000001"/>
    <n v="0.38"/>
    <n v="0.83799999999999997"/>
    <n v="55.9"/>
    <n v="0.13400000000000001"/>
    <n v="2000"/>
    <n v="32"/>
    <n v="19"/>
    <n v="3.8"/>
    <n v="2.1"/>
    <x v="1"/>
    <x v="13"/>
    <n v="1"/>
  </r>
  <r>
    <x v="43"/>
    <x v="18"/>
    <x v="520"/>
    <s v="Purdue"/>
    <n v="12"/>
    <n v="456"/>
    <n v="6477"/>
    <n v="2108"/>
    <n v="1050"/>
    <n v="465"/>
    <n v="0.40799999999999997"/>
    <n v="0.372"/>
    <n v="0.86099999999999999"/>
    <n v="15.4"/>
    <n v="0.114"/>
    <n v="2000"/>
    <n v="14.2"/>
    <n v="4.5999999999999996"/>
    <n v="2.2999999999999998"/>
    <n v="1"/>
    <x v="1"/>
    <x v="14"/>
    <n v="1"/>
  </r>
  <r>
    <x v="44"/>
    <x v="6"/>
    <x v="521"/>
    <s v="LSU"/>
    <n v="4"/>
    <n v="108"/>
    <n v="1063"/>
    <n v="329"/>
    <n v="178"/>
    <n v="66"/>
    <n v="0.41299999999999998"/>
    <n v="0.125"/>
    <n v="0.69"/>
    <n v="1.3"/>
    <n v="5.8000000000000003E-2"/>
    <n v="2000"/>
    <n v="9.8000000000000007"/>
    <n v="3"/>
    <n v="1.6"/>
    <n v="0.6"/>
    <x v="1"/>
    <x v="15"/>
    <n v="0"/>
  </r>
  <r>
    <x v="52"/>
    <x v="12"/>
    <x v="522"/>
    <s v="Syracuse"/>
    <n v="9"/>
    <n v="341"/>
    <n v="5289"/>
    <n v="1623"/>
    <n v="567"/>
    <n v="774"/>
    <n v="0.41699999999999998"/>
    <n v="0.315"/>
    <n v="0.78800000000000003"/>
    <n v="8.6"/>
    <n v="7.8E-2"/>
    <n v="2000"/>
    <n v="15.5"/>
    <n v="4.8"/>
    <n v="1.7"/>
    <n v="2.2999999999999998"/>
    <x v="1"/>
    <x v="19"/>
    <n v="1"/>
  </r>
  <r>
    <x v="48"/>
    <x v="22"/>
    <x v="523"/>
    <s v="Idaho"/>
    <n v="3"/>
    <n v="19"/>
    <n v="85"/>
    <n v="22"/>
    <n v="12"/>
    <n v="2"/>
    <n v="0.4"/>
    <n v="0.33300000000000002"/>
    <n v="0.75"/>
    <n v="0.1"/>
    <n v="5.5E-2"/>
    <n v="2000"/>
    <n v="4.5"/>
    <n v="1.2"/>
    <n v="0.6"/>
    <n v="0.1"/>
    <x v="1"/>
    <x v="20"/>
    <n v="0"/>
  </r>
  <r>
    <x v="49"/>
    <x v="5"/>
    <x v="524"/>
    <s v="NA"/>
    <n v="1"/>
    <n v="42"/>
    <n v="244"/>
    <n v="78"/>
    <n v="17"/>
    <n v="33"/>
    <n v="0.379"/>
    <n v="0.41699999999999998"/>
    <n v="0.80600000000000005"/>
    <n v="0.1"/>
    <n v="2.1999999999999999E-2"/>
    <n v="2000"/>
    <n v="5.8"/>
    <n v="1.9"/>
    <n v="0.4"/>
    <n v="0.8"/>
    <x v="1"/>
    <x v="21"/>
    <n v="0"/>
  </r>
  <r>
    <x v="50"/>
    <x v="8"/>
    <x v="525"/>
    <s v="Indian Hills Community College"/>
    <n v="1"/>
    <n v="3"/>
    <n v="21"/>
    <n v="3"/>
    <n v="6"/>
    <n v="0"/>
    <n v="0.16700000000000001"/>
    <n v="0"/>
    <n v="0.25"/>
    <n v="-0.2"/>
    <n v="-0.34899999999999998"/>
    <n v="2000"/>
    <n v="7"/>
    <n v="1"/>
    <n v="2"/>
    <n v="0"/>
    <x v="1"/>
    <x v="22"/>
    <n v="0"/>
  </r>
  <r>
    <x v="57"/>
    <x v="2"/>
    <x v="526"/>
    <s v="Northern Arizona University"/>
    <n v="1"/>
    <n v="6"/>
    <n v="58"/>
    <n v="18"/>
    <n v="17"/>
    <n v="1"/>
    <n v="0.5"/>
    <n v="0"/>
    <n v="0"/>
    <n v="0"/>
    <n v="7.0000000000000001E-3"/>
    <n v="2000"/>
    <n v="9.6999999999999993"/>
    <n v="3"/>
    <n v="2.8"/>
    <n v="0.2"/>
    <x v="1"/>
    <x v="23"/>
    <n v="0"/>
  </r>
  <r>
    <x v="53"/>
    <x v="10"/>
    <x v="527"/>
    <s v="Auburn"/>
    <n v="1"/>
    <n v="51"/>
    <n v="1147"/>
    <n v="440"/>
    <n v="189"/>
    <n v="61"/>
    <n v="0.38900000000000001"/>
    <n v="0"/>
    <n v="0.66700000000000004"/>
    <n v="0.2"/>
    <n v="8.0000000000000002E-3"/>
    <n v="2000"/>
    <n v="22.5"/>
    <n v="8.6"/>
    <n v="3.7"/>
    <n v="1.2"/>
    <x v="1"/>
    <x v="25"/>
    <n v="0"/>
  </r>
  <r>
    <x v="0"/>
    <x v="23"/>
    <x v="528"/>
    <s v="NA"/>
    <n v="12"/>
    <n v="607"/>
    <n v="13389"/>
    <n v="4035"/>
    <n v="3333"/>
    <n v="554"/>
    <n v="0.49199999999999999"/>
    <n v="0.111"/>
    <n v="0.56999999999999995"/>
    <n v="20.8"/>
    <n v="7.3999999999999996E-2"/>
    <n v="2001"/>
    <n v="22.1"/>
    <n v="6.6"/>
    <n v="5.5"/>
    <n v="0.9"/>
    <x v="0"/>
    <x v="0"/>
    <n v="1"/>
  </r>
  <r>
    <x v="1"/>
    <x v="7"/>
    <x v="529"/>
    <s v="NA"/>
    <n v="19"/>
    <n v="1160"/>
    <n v="31617"/>
    <n v="9509"/>
    <n v="10467"/>
    <n v="967"/>
    <n v="0.59699999999999998"/>
    <n v="0"/>
    <n v="0.64400000000000002"/>
    <n v="102.1"/>
    <n v="0.155"/>
    <n v="2001"/>
    <n v="27.3"/>
    <n v="8.1999999999999993"/>
    <n v="9"/>
    <n v="0.8"/>
    <x v="0"/>
    <x v="1"/>
    <n v="1"/>
  </r>
  <r>
    <x v="2"/>
    <x v="9"/>
    <x v="530"/>
    <s v="NA"/>
    <n v="18"/>
    <n v="1226"/>
    <n v="41001"/>
    <n v="20894"/>
    <n v="11305"/>
    <n v="3925"/>
    <n v="0.50700000000000001"/>
    <n v="0.36799999999999999"/>
    <n v="0.753"/>
    <n v="144.1"/>
    <n v="0.16900000000000001"/>
    <n v="2001"/>
    <n v="33.4"/>
    <n v="17"/>
    <n v="9.1999999999999993"/>
    <n v="3.2"/>
    <x v="0"/>
    <x v="2"/>
    <n v="1"/>
  </r>
  <r>
    <x v="3"/>
    <x v="20"/>
    <x v="531"/>
    <s v="NA"/>
    <n v="11"/>
    <n v="527"/>
    <n v="13109"/>
    <n v="6820"/>
    <n v="2725"/>
    <n v="287"/>
    <n v="0.54500000000000004"/>
    <n v="1"/>
    <n v="0.64200000000000002"/>
    <n v="21.7"/>
    <n v="0.08"/>
    <n v="2001"/>
    <n v="24.9"/>
    <n v="12.9"/>
    <n v="5.2"/>
    <n v="0.5"/>
    <x v="0"/>
    <x v="3"/>
    <n v="1"/>
  </r>
  <r>
    <x v="4"/>
    <x v="10"/>
    <x v="532"/>
    <s v="Michigan State"/>
    <n v="13"/>
    <n v="857"/>
    <n v="29241"/>
    <n v="14644"/>
    <n v="4245"/>
    <n v="2284"/>
    <n v="0.438"/>
    <n v="0.37"/>
    <n v="0.70699999999999996"/>
    <n v="59.1"/>
    <n v="9.7000000000000003E-2"/>
    <n v="2001"/>
    <n v="34.1"/>
    <n v="17.100000000000001"/>
    <n v="5"/>
    <n v="2.7"/>
    <x v="0"/>
    <x v="4"/>
    <n v="1"/>
  </r>
  <r>
    <x v="5"/>
    <x v="27"/>
    <x v="533"/>
    <s v="Duke"/>
    <n v="13"/>
    <n v="977"/>
    <n v="30004"/>
    <n v="8408"/>
    <n v="4082"/>
    <n v="1717"/>
    <n v="0.437"/>
    <n v="0.38400000000000001"/>
    <n v="0.74299999999999999"/>
    <n v="75.7"/>
    <n v="0.121"/>
    <n v="2001"/>
    <n v="30.7"/>
    <n v="8.6"/>
    <n v="4.2"/>
    <n v="1.8"/>
    <x v="0"/>
    <x v="5"/>
    <n v="1"/>
  </r>
  <r>
    <x v="6"/>
    <x v="0"/>
    <x v="534"/>
    <s v="Seton Hall"/>
    <n v="5"/>
    <n v="303"/>
    <n v="6729"/>
    <n v="2171"/>
    <n v="1744"/>
    <n v="236"/>
    <n v="0.377"/>
    <n v="0.315"/>
    <n v="0.67100000000000004"/>
    <n v="10.9"/>
    <n v="7.8E-2"/>
    <n v="2001"/>
    <n v="22.2"/>
    <n v="7.2"/>
    <n v="5.8"/>
    <n v="0.8"/>
    <x v="0"/>
    <x v="6"/>
    <n v="0"/>
  </r>
  <r>
    <x v="7"/>
    <x v="25"/>
    <x v="535"/>
    <s v="NA"/>
    <n v="12"/>
    <n v="601"/>
    <n v="8403"/>
    <n v="1185"/>
    <n v="2219"/>
    <n v="270"/>
    <n v="0.42699999999999999"/>
    <n v="0.16700000000000001"/>
    <n v="0.46700000000000003"/>
    <n v="12.8"/>
    <n v="7.2999999999999995E-2"/>
    <n v="2001"/>
    <n v="14"/>
    <n v="2"/>
    <n v="3.7"/>
    <n v="0.4"/>
    <x v="0"/>
    <x v="7"/>
    <n v="1"/>
  </r>
  <r>
    <x v="8"/>
    <x v="18"/>
    <x v="536"/>
    <s v="UNC Charlotte"/>
    <n v="4"/>
    <n v="218"/>
    <n v="3354"/>
    <n v="1540"/>
    <n v="485"/>
    <n v="237"/>
    <n v="0.42399999999999999"/>
    <n v="0.314"/>
    <n v="0.749"/>
    <n v="1.8"/>
    <n v="2.5999999999999999E-2"/>
    <n v="2001"/>
    <n v="15.4"/>
    <n v="7.1"/>
    <n v="2.2000000000000002"/>
    <n v="1.1000000000000001"/>
    <x v="0"/>
    <x v="8"/>
    <n v="0"/>
  </r>
  <r>
    <x v="9"/>
    <x v="14"/>
    <x v="537"/>
    <s v="Arkansas"/>
    <n v="18"/>
    <n v="1277"/>
    <n v="44236"/>
    <n v="20407"/>
    <n v="5059"/>
    <n v="5001"/>
    <n v="0.441"/>
    <n v="0.371"/>
    <n v="0.80200000000000005"/>
    <n v="82.9"/>
    <n v="0.09"/>
    <n v="2001"/>
    <n v="34.6"/>
    <n v="16"/>
    <n v="4"/>
    <n v="3.9"/>
    <x v="0"/>
    <x v="9"/>
    <n v="1"/>
  </r>
  <r>
    <x v="10"/>
    <x v="14"/>
    <x v="538"/>
    <s v="Okaloosa-Walton Community College"/>
    <n v="4"/>
    <n v="143"/>
    <n v="1935"/>
    <n v="509"/>
    <n v="347"/>
    <n v="103"/>
    <n v="0.40500000000000003"/>
    <n v="0.27400000000000002"/>
    <n v="0.64"/>
    <n v="3"/>
    <n v="7.3999999999999996E-2"/>
    <n v="2001"/>
    <n v="13.5"/>
    <n v="3.6"/>
    <n v="2.4"/>
    <n v="0.7"/>
    <x v="0"/>
    <x v="10"/>
    <n v="0"/>
  </r>
  <r>
    <x v="11"/>
    <x v="1"/>
    <x v="539"/>
    <s v="NA"/>
    <n v="12"/>
    <n v="737"/>
    <n v="16164"/>
    <n v="5879"/>
    <n v="2784"/>
    <n v="998"/>
    <n v="0.41499999999999998"/>
    <n v="0.378"/>
    <n v="0.75800000000000001"/>
    <n v="26.5"/>
    <n v="7.9000000000000001E-2"/>
    <n v="2001"/>
    <n v="21.9"/>
    <n v="8"/>
    <n v="3.8"/>
    <n v="1.4"/>
    <x v="0"/>
    <x v="11"/>
    <n v="1"/>
  </r>
  <r>
    <x v="12"/>
    <x v="11"/>
    <x v="540"/>
    <s v="Arizona"/>
    <n v="17"/>
    <n v="1181"/>
    <n v="34293"/>
    <n v="14904"/>
    <n v="4720"/>
    <n v="2412"/>
    <n v="0.46400000000000002"/>
    <n v="0.376"/>
    <n v="0.76800000000000002"/>
    <n v="83"/>
    <n v="0.11600000000000001"/>
    <n v="2001"/>
    <n v="29"/>
    <n v="12.6"/>
    <n v="4"/>
    <n v="2"/>
    <x v="0"/>
    <x v="12"/>
    <n v="1"/>
  </r>
  <r>
    <x v="13"/>
    <x v="10"/>
    <x v="541"/>
    <s v="Notre Dame"/>
    <n v="12"/>
    <n v="729"/>
    <n v="19921"/>
    <n v="7860"/>
    <n v="5708"/>
    <n v="1088"/>
    <n v="0.44500000000000001"/>
    <n v="0.38800000000000001"/>
    <n v="0.78500000000000003"/>
    <n v="50.3"/>
    <n v="0.121"/>
    <n v="2001"/>
    <n v="27.3"/>
    <n v="10.8"/>
    <n v="7.8"/>
    <n v="1.5"/>
    <x v="0"/>
    <x v="13"/>
    <n v="1"/>
  </r>
  <r>
    <x v="14"/>
    <x v="3"/>
    <x v="542"/>
    <s v="DePaul"/>
    <n v="8"/>
    <n v="400"/>
    <n v="5993"/>
    <n v="1817"/>
    <n v="1264"/>
    <n v="79"/>
    <n v="0.56000000000000005"/>
    <n v="0"/>
    <n v="0.48499999999999999"/>
    <n v="10.6"/>
    <n v="8.5000000000000006E-2"/>
    <n v="2001"/>
    <n v="15"/>
    <n v="4.5"/>
    <n v="3.2"/>
    <n v="0.2"/>
    <x v="0"/>
    <x v="14"/>
    <n v="1"/>
  </r>
  <r>
    <x v="15"/>
    <x v="4"/>
    <x v="543"/>
    <s v="Indiana"/>
    <n v="2"/>
    <n v="27"/>
    <n v="134"/>
    <n v="32"/>
    <n v="27"/>
    <n v="8"/>
    <n v="0.23200000000000001"/>
    <n v="0"/>
    <n v="0.5"/>
    <n v="-0.5"/>
    <n v="-0.19700000000000001"/>
    <n v="2001"/>
    <n v="5"/>
    <n v="1.2"/>
    <n v="1"/>
    <n v="0.3"/>
    <x v="0"/>
    <x v="15"/>
    <n v="0"/>
  </r>
  <r>
    <x v="16"/>
    <x v="28"/>
    <x v="544"/>
    <s v="Villanova"/>
    <n v="5"/>
    <n v="173"/>
    <n v="2016"/>
    <n v="483"/>
    <n v="591"/>
    <n v="93"/>
    <n v="0.47699999999999998"/>
    <n v="0.14299999999999999"/>
    <n v="0.51100000000000001"/>
    <n v="2"/>
    <n v="4.7E-2"/>
    <n v="2001"/>
    <n v="11.7"/>
    <n v="2.8"/>
    <n v="3.4"/>
    <n v="0.5"/>
    <x v="0"/>
    <x v="16"/>
    <n v="0"/>
  </r>
  <r>
    <x v="17"/>
    <x v="11"/>
    <x v="545"/>
    <s v="Stanford"/>
    <n v="13"/>
    <n v="735"/>
    <n v="14974"/>
    <n v="2621"/>
    <n v="2706"/>
    <n v="626"/>
    <n v="0.41099999999999998"/>
    <n v="0.20599999999999999"/>
    <n v="0.64700000000000002"/>
    <n v="20.100000000000001"/>
    <n v="6.4000000000000001E-2"/>
    <n v="2001"/>
    <n v="20.399999999999999"/>
    <n v="3.6"/>
    <n v="3.7"/>
    <n v="0.9"/>
    <x v="0"/>
    <x v="17"/>
    <n v="1"/>
  </r>
  <r>
    <x v="18"/>
    <x v="17"/>
    <x v="546"/>
    <s v="Michigan State"/>
    <n v="17"/>
    <n v="1116"/>
    <n v="34616"/>
    <n v="18578"/>
    <n v="10208"/>
    <n v="2049"/>
    <n v="0.47099999999999997"/>
    <n v="0.27300000000000002"/>
    <n v="0.76400000000000001"/>
    <n v="81.099999999999994"/>
    <n v="0.112"/>
    <n v="2001"/>
    <n v="31"/>
    <n v="16.600000000000001"/>
    <n v="9.1"/>
    <n v="1.8"/>
    <x v="0"/>
    <x v="18"/>
    <n v="1"/>
  </r>
  <r>
    <x v="19"/>
    <x v="25"/>
    <x v="547"/>
    <s v="UNC"/>
    <n v="13"/>
    <n v="816"/>
    <n v="18680"/>
    <n v="5538"/>
    <n v="4875"/>
    <n v="442"/>
    <n v="0.52800000000000002"/>
    <n v="0"/>
    <n v="0.58699999999999997"/>
    <n v="43.8"/>
    <n v="0.113"/>
    <n v="2001"/>
    <n v="22.9"/>
    <n v="6.8"/>
    <n v="6"/>
    <n v="0.5"/>
    <x v="0"/>
    <x v="19"/>
    <n v="1"/>
  </r>
  <r>
    <x v="20"/>
    <x v="14"/>
    <x v="548"/>
    <s v="UNC"/>
    <n v="2"/>
    <n v="25"/>
    <n v="125"/>
    <n v="30"/>
    <n v="17"/>
    <n v="17"/>
    <n v="0.23400000000000001"/>
    <n v="0"/>
    <n v="0.8"/>
    <n v="-0.4"/>
    <n v="-0.16600000000000001"/>
    <n v="2001"/>
    <n v="5"/>
    <n v="1.2"/>
    <n v="0.7"/>
    <n v="0.7"/>
    <x v="0"/>
    <x v="20"/>
    <n v="0"/>
  </r>
  <r>
    <x v="21"/>
    <x v="3"/>
    <x v="549"/>
    <s v="SMU"/>
    <n v="2"/>
    <n v="82"/>
    <n v="1061"/>
    <n v="204"/>
    <n v="191"/>
    <n v="67"/>
    <n v="0.30299999999999999"/>
    <n v="0.29499999999999998"/>
    <n v="0.68700000000000006"/>
    <n v="0.7"/>
    <n v="3.2000000000000001E-2"/>
    <n v="2001"/>
    <n v="12.9"/>
    <n v="2.5"/>
    <n v="2.2999999999999998"/>
    <n v="0.8"/>
    <x v="0"/>
    <x v="21"/>
    <n v="0"/>
  </r>
  <r>
    <x v="22"/>
    <x v="11"/>
    <x v="550"/>
    <s v="Pepperdine"/>
    <n v="3"/>
    <n v="108"/>
    <n v="699"/>
    <n v="239"/>
    <n v="63"/>
    <n v="24"/>
    <n v="0.35199999999999998"/>
    <n v="0.33300000000000002"/>
    <n v="0.6"/>
    <n v="-0.6"/>
    <n v="-3.9E-2"/>
    <n v="2001"/>
    <n v="6.5"/>
    <n v="2.2000000000000002"/>
    <n v="0.6"/>
    <n v="0.2"/>
    <x v="0"/>
    <x v="22"/>
    <n v="0"/>
  </r>
  <r>
    <x v="23"/>
    <x v="22"/>
    <x v="551"/>
    <s v="NA"/>
    <n v="2"/>
    <n v="113"/>
    <n v="2135"/>
    <n v="733"/>
    <n v="194"/>
    <n v="428"/>
    <n v="0.42899999999999999"/>
    <n v="0.34599999999999997"/>
    <n v="0.85299999999999998"/>
    <n v="2.1"/>
    <n v="4.7E-2"/>
    <n v="2001"/>
    <n v="18.899999999999999"/>
    <n v="6.5"/>
    <n v="1.7"/>
    <n v="3.8"/>
    <x v="0"/>
    <x v="23"/>
    <n v="0"/>
  </r>
  <r>
    <x v="24"/>
    <x v="6"/>
    <x v="552"/>
    <s v="Alabama"/>
    <n v="14"/>
    <n v="832"/>
    <n v="24731"/>
    <n v="9933"/>
    <n v="4838"/>
    <n v="1725"/>
    <n v="0.46899999999999997"/>
    <n v="0.312"/>
    <n v="0.70899999999999996"/>
    <n v="59.7"/>
    <n v="0.11600000000000001"/>
    <n v="2001"/>
    <n v="29.7"/>
    <n v="11.9"/>
    <n v="5.8"/>
    <n v="2.1"/>
    <x v="0"/>
    <x v="24"/>
    <n v="1"/>
  </r>
  <r>
    <x v="25"/>
    <x v="21"/>
    <x v="553"/>
    <s v="Seton Hall"/>
    <n v="13"/>
    <n v="886"/>
    <n v="21646"/>
    <n v="6814"/>
    <n v="6942"/>
    <n v="465"/>
    <n v="0.52100000000000002"/>
    <n v="8.3000000000000004E-2"/>
    <n v="0.70599999999999996"/>
    <n v="51.3"/>
    <n v="0.114"/>
    <n v="2001"/>
    <n v="24.4"/>
    <n v="7.7"/>
    <n v="7.8"/>
    <n v="0.5"/>
    <x v="0"/>
    <x v="25"/>
    <n v="1"/>
  </r>
  <r>
    <x v="26"/>
    <x v="27"/>
    <x v="554"/>
    <s v="Iowa State"/>
    <n v="11"/>
    <n v="547"/>
    <n v="14443"/>
    <n v="4652"/>
    <n v="1605"/>
    <n v="3330"/>
    <n v="0.39300000000000002"/>
    <n v="0.29899999999999999"/>
    <n v="0.71599999999999997"/>
    <n v="17.2"/>
    <n v="5.7000000000000002E-2"/>
    <n v="2001"/>
    <n v="26.4"/>
    <n v="8.5"/>
    <n v="2.9"/>
    <n v="6.1"/>
    <x v="0"/>
    <x v="26"/>
    <n v="1"/>
  </r>
  <r>
    <x v="27"/>
    <x v="16"/>
    <x v="555"/>
    <s v="NA"/>
    <n v="18"/>
    <n v="1254"/>
    <n v="38279"/>
    <n v="19473"/>
    <n v="3396"/>
    <n v="7036"/>
    <n v="0.49099999999999999"/>
    <n v="0.32400000000000001"/>
    <n v="0.751"/>
    <n v="111.3"/>
    <n v="0.14000000000000001"/>
    <n v="2001"/>
    <n v="30.5"/>
    <n v="15.5"/>
    <n v="2.7"/>
    <n v="5.6"/>
    <x v="0"/>
    <x v="27"/>
    <n v="1"/>
  </r>
  <r>
    <x v="29"/>
    <x v="20"/>
    <x v="556"/>
    <s v="Austin Peay State University"/>
    <n v="9"/>
    <n v="644"/>
    <n v="16278"/>
    <n v="3741"/>
    <n v="1826"/>
    <n v="1132"/>
    <n v="0.44500000000000001"/>
    <n v="0.318"/>
    <n v="0.76500000000000001"/>
    <n v="13.8"/>
    <n v="4.1000000000000002E-2"/>
    <n v="2001"/>
    <n v="25.3"/>
    <n v="5.8"/>
    <n v="2.8"/>
    <n v="1.8"/>
    <x v="1"/>
    <x v="0"/>
    <n v="1"/>
  </r>
  <r>
    <x v="30"/>
    <x v="10"/>
    <x v="557"/>
    <s v="Arizona"/>
    <n v="11"/>
    <n v="552"/>
    <n v="19351"/>
    <n v="11402"/>
    <n v="2168"/>
    <n v="2909"/>
    <n v="0.42099999999999999"/>
    <n v="0.35099999999999998"/>
    <n v="0.80300000000000005"/>
    <n v="51.3"/>
    <n v="0.127"/>
    <n v="2001"/>
    <n v="35.1"/>
    <n v="20.7"/>
    <n v="3.9"/>
    <n v="5.3"/>
    <x v="1"/>
    <x v="1"/>
    <n v="1"/>
  </r>
  <r>
    <x v="31"/>
    <x v="3"/>
    <x v="558"/>
    <s v="St. John's"/>
    <n v="2"/>
    <n v="22"/>
    <n v="213"/>
    <n v="37"/>
    <n v="13"/>
    <n v="46"/>
    <n v="0.33300000000000002"/>
    <n v="0"/>
    <n v="0.5"/>
    <n v="-0.1"/>
    <n v="-2.1000000000000001E-2"/>
    <n v="2001"/>
    <n v="9.6999999999999993"/>
    <n v="1.7"/>
    <n v="0.6"/>
    <n v="2.1"/>
    <x v="1"/>
    <x v="2"/>
    <n v="0"/>
  </r>
  <r>
    <x v="32"/>
    <x v="27"/>
    <x v="559"/>
    <s v="Clemson"/>
    <n v="2"/>
    <n v="115"/>
    <n v="1584"/>
    <n v="584"/>
    <n v="132"/>
    <n v="225"/>
    <n v="0.378"/>
    <n v="0.29799999999999999"/>
    <n v="0.69199999999999995"/>
    <n v="0"/>
    <n v="0"/>
    <n v="2001"/>
    <n v="13.8"/>
    <n v="5.0999999999999996"/>
    <n v="1.1000000000000001"/>
    <n v="2"/>
    <x v="1"/>
    <x v="3"/>
    <n v="0"/>
  </r>
  <r>
    <x v="33"/>
    <x v="9"/>
    <x v="560"/>
    <s v="Maryland"/>
    <n v="3"/>
    <n v="139"/>
    <n v="1934"/>
    <n v="472"/>
    <n v="377"/>
    <n v="93"/>
    <n v="0.40699999999999997"/>
    <n v="0.19600000000000001"/>
    <n v="0.71099999999999997"/>
    <n v="1"/>
    <n v="2.5000000000000001E-2"/>
    <n v="2001"/>
    <n v="13.9"/>
    <n v="3.4"/>
    <n v="2.7"/>
    <n v="0.7"/>
    <x v="1"/>
    <x v="4"/>
    <n v="0"/>
  </r>
  <r>
    <x v="34"/>
    <x v="0"/>
    <x v="561"/>
    <s v="USC"/>
    <n v="11"/>
    <n v="520"/>
    <n v="6772"/>
    <n v="1594"/>
    <n v="1034"/>
    <n v="436"/>
    <n v="0.39"/>
    <n v="0.34399999999999997"/>
    <n v="0.78300000000000003"/>
    <n v="7.6"/>
    <n v="5.3999999999999999E-2"/>
    <n v="2001"/>
    <n v="13"/>
    <n v="3.1"/>
    <n v="2"/>
    <n v="0.8"/>
    <x v="1"/>
    <x v="5"/>
    <n v="1"/>
  </r>
  <r>
    <x v="35"/>
    <x v="25"/>
    <x v="562"/>
    <s v="USC"/>
    <n v="3"/>
    <n v="31"/>
    <n v="270"/>
    <n v="88"/>
    <n v="43"/>
    <n v="22"/>
    <n v="0.33700000000000002"/>
    <n v="0.46200000000000002"/>
    <n v="0.7"/>
    <n v="-0.2"/>
    <n v="-3.7999999999999999E-2"/>
    <n v="2001"/>
    <n v="8.6999999999999993"/>
    <n v="2.8"/>
    <n v="1.4"/>
    <n v="0.7"/>
    <x v="1"/>
    <x v="6"/>
    <n v="0"/>
  </r>
  <r>
    <x v="36"/>
    <x v="21"/>
    <x v="563"/>
    <s v="Syracuse"/>
    <n v="4"/>
    <n v="39"/>
    <n v="351"/>
    <n v="108"/>
    <n v="52"/>
    <n v="19"/>
    <n v="0.33600000000000002"/>
    <n v="0.28599999999999998"/>
    <n v="0.66700000000000004"/>
    <n v="-0.7"/>
    <n v="-0.1"/>
    <n v="2001"/>
    <n v="9"/>
    <n v="2.8"/>
    <n v="1.3"/>
    <n v="0.5"/>
    <x v="1"/>
    <x v="7"/>
    <n v="0"/>
  </r>
  <r>
    <x v="37"/>
    <x v="18"/>
    <x v="564"/>
    <s v="NA"/>
    <n v="10"/>
    <n v="634"/>
    <n v="18429"/>
    <n v="8561"/>
    <n v="4436"/>
    <n v="1089"/>
    <n v="0.45800000000000002"/>
    <n v="0.375"/>
    <n v="0.79700000000000004"/>
    <n v="54.7"/>
    <n v="0.14199999999999999"/>
    <n v="2001"/>
    <n v="29.1"/>
    <n v="13.5"/>
    <n v="7"/>
    <n v="1.7"/>
    <x v="1"/>
    <x v="8"/>
    <n v="1"/>
  </r>
  <r>
    <x v="39"/>
    <x v="1"/>
    <x v="565"/>
    <s v="UCLA"/>
    <n v="13"/>
    <n v="878"/>
    <n v="19494"/>
    <n v="5593"/>
    <n v="1985"/>
    <n v="3871"/>
    <n v="0.41099999999999998"/>
    <n v="0.32400000000000001"/>
    <n v="0.70299999999999996"/>
    <n v="19.2"/>
    <n v="4.7E-2"/>
    <n v="2001"/>
    <n v="22.2"/>
    <n v="6.4"/>
    <n v="2.2999999999999998"/>
    <n v="4.4000000000000004"/>
    <x v="1"/>
    <x v="10"/>
    <n v="1"/>
  </r>
  <r>
    <x v="40"/>
    <x v="24"/>
    <x v="566"/>
    <s v="Auburn"/>
    <n v="4"/>
    <n v="54"/>
    <n v="468"/>
    <n v="89"/>
    <n v="50"/>
    <n v="56"/>
    <n v="0.372"/>
    <n v="0.25"/>
    <n v="0.39300000000000002"/>
    <n v="0"/>
    <n v="-1E-3"/>
    <n v="2001"/>
    <n v="8.6999999999999993"/>
    <n v="1.6"/>
    <n v="0.9"/>
    <n v="1"/>
    <x v="1"/>
    <x v="11"/>
    <n v="0"/>
  </r>
  <r>
    <x v="41"/>
    <x v="1"/>
    <x v="567"/>
    <s v="DePaul"/>
    <n v="10"/>
    <n v="466"/>
    <n v="11513"/>
    <n v="4189"/>
    <n v="1791"/>
    <n v="710"/>
    <n v="0.437"/>
    <n v="0.39600000000000002"/>
    <n v="0.82299999999999995"/>
    <n v="20.100000000000001"/>
    <n v="8.4000000000000005E-2"/>
    <n v="2001"/>
    <n v="24.7"/>
    <n v="9"/>
    <n v="3.8"/>
    <n v="1.5"/>
    <x v="1"/>
    <x v="12"/>
    <n v="1"/>
  </r>
  <r>
    <x v="44"/>
    <x v="20"/>
    <x v="568"/>
    <s v="California"/>
    <n v="2"/>
    <n v="45"/>
    <n v="550"/>
    <n v="203"/>
    <n v="94"/>
    <n v="33"/>
    <n v="0.46300000000000002"/>
    <n v="0"/>
    <n v="0.69099999999999995"/>
    <n v="1.1000000000000001"/>
    <n v="9.6000000000000002E-2"/>
    <n v="2001"/>
    <n v="12.2"/>
    <n v="4.5"/>
    <n v="2.1"/>
    <n v="0.7"/>
    <x v="1"/>
    <x v="15"/>
    <n v="0"/>
  </r>
  <r>
    <x v="45"/>
    <x v="5"/>
    <x v="569"/>
    <s v="Arizona"/>
    <n v="6"/>
    <n v="215"/>
    <n v="2428"/>
    <n v="555"/>
    <n v="682"/>
    <n v="74"/>
    <n v="0.41899999999999998"/>
    <n v="0.14299999999999999"/>
    <n v="0.64200000000000002"/>
    <n v="3.1"/>
    <n v="6.2E-2"/>
    <n v="2001"/>
    <n v="11.3"/>
    <n v="2.6"/>
    <n v="3.2"/>
    <n v="0.3"/>
    <x v="1"/>
    <x v="16"/>
    <n v="1"/>
  </r>
  <r>
    <x v="47"/>
    <x v="27"/>
    <x v="570"/>
    <s v="NA"/>
    <n v="1"/>
    <n v="28"/>
    <n v="320"/>
    <n v="108"/>
    <n v="62"/>
    <n v="10"/>
    <n v="0.40400000000000003"/>
    <n v="0.30399999999999999"/>
    <n v="0.85"/>
    <n v="0.1"/>
    <n v="1.7000000000000001E-2"/>
    <n v="2001"/>
    <n v="11.4"/>
    <n v="3.9"/>
    <n v="2.2000000000000002"/>
    <n v="0.4"/>
    <x v="1"/>
    <x v="18"/>
    <n v="0"/>
  </r>
  <r>
    <x v="52"/>
    <x v="8"/>
    <x v="571"/>
    <s v="Ohio State"/>
    <n v="1"/>
    <n v="16"/>
    <n v="156"/>
    <n v="32"/>
    <n v="32"/>
    <n v="0"/>
    <n v="0.40500000000000003"/>
    <n v="0"/>
    <n v="0.33300000000000002"/>
    <n v="0"/>
    <n v="-2E-3"/>
    <n v="2001"/>
    <n v="9.8000000000000007"/>
    <n v="2"/>
    <n v="2"/>
    <n v="0"/>
    <x v="1"/>
    <x v="19"/>
    <n v="0"/>
  </r>
  <r>
    <x v="48"/>
    <x v="17"/>
    <x v="572"/>
    <s v="Georgetown"/>
    <n v="3"/>
    <n v="44"/>
    <n v="276"/>
    <n v="43"/>
    <n v="57"/>
    <n v="6"/>
    <n v="0.36799999999999999"/>
    <n v="0"/>
    <n v="0.55600000000000005"/>
    <n v="0.2"/>
    <n v="2.7E-2"/>
    <n v="2001"/>
    <n v="6.3"/>
    <n v="1"/>
    <n v="1.3"/>
    <n v="0.1"/>
    <x v="1"/>
    <x v="20"/>
    <n v="0"/>
  </r>
  <r>
    <x v="49"/>
    <x v="15"/>
    <x v="573"/>
    <s v="Houston"/>
    <n v="3"/>
    <n v="73"/>
    <n v="524"/>
    <n v="186"/>
    <n v="124"/>
    <n v="11"/>
    <n v="0.50700000000000001"/>
    <n v="0"/>
    <n v="0.69699999999999995"/>
    <n v="0.8"/>
    <n v="7.3999999999999996E-2"/>
    <n v="2001"/>
    <n v="7.2"/>
    <n v="2.5"/>
    <n v="1.7"/>
    <n v="0.2"/>
    <x v="1"/>
    <x v="21"/>
    <n v="0"/>
  </r>
  <r>
    <x v="57"/>
    <x v="22"/>
    <x v="574"/>
    <s v="Stanford"/>
    <n v="10"/>
    <n v="542"/>
    <n v="8542"/>
    <n v="2095"/>
    <n v="1579"/>
    <n v="419"/>
    <n v="0.45500000000000002"/>
    <n v="0"/>
    <n v="0.69899999999999995"/>
    <n v="15.7"/>
    <n v="8.7999999999999995E-2"/>
    <n v="2001"/>
    <n v="15.8"/>
    <n v="3.9"/>
    <n v="2.9"/>
    <n v="0.8"/>
    <x v="1"/>
    <x v="23"/>
    <n v="1"/>
  </r>
  <r>
    <x v="51"/>
    <x v="26"/>
    <x v="575"/>
    <s v="Cincinnati"/>
    <n v="2"/>
    <n v="75"/>
    <n v="1062"/>
    <n v="321"/>
    <n v="95"/>
    <n v="176"/>
    <n v="0.33500000000000002"/>
    <n v="0.218"/>
    <n v="0.746"/>
    <n v="-1.1000000000000001"/>
    <n v="-5.0999999999999997E-2"/>
    <n v="2001"/>
    <n v="14.2"/>
    <n v="4.3"/>
    <n v="1.3"/>
    <n v="2.2999999999999998"/>
    <x v="1"/>
    <x v="24"/>
    <n v="0"/>
  </r>
  <r>
    <x v="55"/>
    <x v="21"/>
    <x v="576"/>
    <s v="Georgia Tech"/>
    <n v="1"/>
    <n v="23"/>
    <n v="126"/>
    <n v="26"/>
    <n v="36"/>
    <n v="3"/>
    <n v="0.4"/>
    <n v="0"/>
    <n v="0.5"/>
    <n v="0.1"/>
    <n v="3.4000000000000002E-2"/>
    <n v="2001"/>
    <n v="5.5"/>
    <n v="1.1000000000000001"/>
    <n v="1.6"/>
    <n v="0.1"/>
    <x v="1"/>
    <x v="27"/>
    <n v="0"/>
  </r>
  <r>
    <x v="0"/>
    <x v="11"/>
    <x v="577"/>
    <s v="NA"/>
    <n v="8"/>
    <n v="486"/>
    <n v="15818"/>
    <n v="9247"/>
    <n v="4494"/>
    <n v="769"/>
    <n v="0.52400000000000002"/>
    <n v="0.2"/>
    <n v="0.83299999999999996"/>
    <n v="65.900000000000006"/>
    <n v="0.2"/>
    <n v="2002"/>
    <n v="32.5"/>
    <n v="19"/>
    <n v="9.1999999999999993"/>
    <n v="1.6"/>
    <x v="0"/>
    <x v="0"/>
    <n v="1"/>
  </r>
  <r>
    <x v="1"/>
    <x v="20"/>
    <x v="578"/>
    <s v="Duke"/>
    <n v="1"/>
    <n v="75"/>
    <n v="1961"/>
    <n v="714"/>
    <n v="195"/>
    <n v="350"/>
    <n v="0.39900000000000002"/>
    <n v="0.32200000000000001"/>
    <n v="0.64"/>
    <n v="0.8"/>
    <n v="0.02"/>
    <n v="2002"/>
    <n v="26.1"/>
    <n v="9.5"/>
    <n v="2.6"/>
    <n v="4.7"/>
    <x v="0"/>
    <x v="1"/>
    <n v="0"/>
  </r>
  <r>
    <x v="2"/>
    <x v="10"/>
    <x v="579"/>
    <s v="Duke"/>
    <n v="15"/>
    <n v="986"/>
    <n v="27340"/>
    <n v="11048"/>
    <n v="4211"/>
    <n v="2185"/>
    <n v="0.441"/>
    <n v="0.377"/>
    <n v="0.80300000000000005"/>
    <n v="58.5"/>
    <n v="0.10299999999999999"/>
    <n v="2002"/>
    <n v="27.7"/>
    <n v="11.2"/>
    <n v="4.3"/>
    <n v="2.2000000000000002"/>
    <x v="0"/>
    <x v="2"/>
    <n v="1"/>
  </r>
  <r>
    <x v="3"/>
    <x v="27"/>
    <x v="580"/>
    <s v="Kansas"/>
    <n v="14"/>
    <n v="790"/>
    <n v="20127"/>
    <n v="8653"/>
    <n v="5618"/>
    <n v="896"/>
    <n v="0.46200000000000002"/>
    <n v="0.25700000000000001"/>
    <n v="0.76"/>
    <n v="43.9"/>
    <n v="0.105"/>
    <n v="2002"/>
    <n v="25.5"/>
    <n v="11"/>
    <n v="7.1"/>
    <n v="1.1000000000000001"/>
    <x v="0"/>
    <x v="3"/>
    <n v="1"/>
  </r>
  <r>
    <x v="4"/>
    <x v="2"/>
    <x v="581"/>
    <s v="NA"/>
    <n v="4"/>
    <n v="172"/>
    <n v="1946"/>
    <n v="507"/>
    <n v="307"/>
    <n v="114"/>
    <n v="0.30399999999999999"/>
    <n v="0.23499999999999999"/>
    <n v="0.73"/>
    <n v="-1.6"/>
    <n v="-3.9E-2"/>
    <n v="2002"/>
    <n v="11.3"/>
    <n v="2.9"/>
    <n v="1.8"/>
    <n v="0.7"/>
    <x v="0"/>
    <x v="4"/>
    <n v="0"/>
  </r>
  <r>
    <x v="5"/>
    <x v="25"/>
    <x v="582"/>
    <s v="Memphis"/>
    <n v="4"/>
    <n v="103"/>
    <n v="2202"/>
    <n v="964"/>
    <n v="142"/>
    <n v="195"/>
    <n v="0.36599999999999999"/>
    <n v="0.32100000000000001"/>
    <n v="0.77"/>
    <n v="0"/>
    <n v="0"/>
    <n v="2002"/>
    <n v="21.4"/>
    <n v="9.4"/>
    <n v="1.4"/>
    <n v="1.9"/>
    <x v="0"/>
    <x v="5"/>
    <n v="0"/>
  </r>
  <r>
    <x v="6"/>
    <x v="13"/>
    <x v="583"/>
    <s v="NA"/>
    <n v="17"/>
    <n v="965"/>
    <n v="25237"/>
    <n v="10909"/>
    <n v="5828"/>
    <n v="1719"/>
    <n v="0.54800000000000004"/>
    <n v="0.13200000000000001"/>
    <n v="0.66"/>
    <n v="73.3"/>
    <n v="0.13900000000000001"/>
    <n v="2002"/>
    <n v="26.2"/>
    <n v="11.3"/>
    <n v="6"/>
    <n v="1.8"/>
    <x v="0"/>
    <x v="6"/>
    <n v="1"/>
  </r>
  <r>
    <x v="7"/>
    <x v="7"/>
    <x v="584"/>
    <s v="Maryland"/>
    <n v="11"/>
    <n v="628"/>
    <n v="12474"/>
    <n v="5150"/>
    <n v="3076"/>
    <n v="455"/>
    <n v="0.54100000000000004"/>
    <n v="0"/>
    <n v="0.64300000000000002"/>
    <n v="26.9"/>
    <n v="0.10299999999999999"/>
    <n v="2002"/>
    <n v="19.899999999999999"/>
    <n v="8.1999999999999993"/>
    <n v="4.9000000000000004"/>
    <n v="0.7"/>
    <x v="0"/>
    <x v="7"/>
    <n v="1"/>
  </r>
  <r>
    <x v="8"/>
    <x v="15"/>
    <x v="585"/>
    <s v="NA"/>
    <n v="14"/>
    <n v="846"/>
    <n v="26254"/>
    <n v="15994"/>
    <n v="6632"/>
    <n v="1050"/>
    <n v="0.53700000000000003"/>
    <n v="0.23599999999999999"/>
    <n v="0.76100000000000001"/>
    <n v="92.5"/>
    <n v="0.16900000000000001"/>
    <n v="2002"/>
    <n v="31"/>
    <n v="18.899999999999999"/>
    <n v="7.8"/>
    <n v="1.2"/>
    <x v="0"/>
    <x v="8"/>
    <n v="1"/>
  </r>
  <r>
    <x v="9"/>
    <x v="8"/>
    <x v="586"/>
    <s v="UConn"/>
    <n v="14"/>
    <n v="881"/>
    <n v="28333"/>
    <n v="12430"/>
    <n v="4387"/>
    <n v="2007"/>
    <n v="0.434"/>
    <n v="0.34799999999999998"/>
    <n v="0.84699999999999998"/>
    <n v="50.9"/>
    <n v="8.5999999999999993E-2"/>
    <n v="2002"/>
    <n v="32.200000000000003"/>
    <n v="14.1"/>
    <n v="5"/>
    <n v="2.2999999999999998"/>
    <x v="0"/>
    <x v="9"/>
    <n v="1"/>
  </r>
  <r>
    <x v="10"/>
    <x v="23"/>
    <x v="587"/>
    <s v="Indiana"/>
    <n v="11"/>
    <n v="629"/>
    <n v="13579"/>
    <n v="3003"/>
    <n v="2563"/>
    <n v="798"/>
    <n v="0.42599999999999999"/>
    <n v="0.25"/>
    <n v="0.58299999999999996"/>
    <n v="13.1"/>
    <n v="4.5999999999999999E-2"/>
    <n v="2002"/>
    <n v="21.6"/>
    <n v="4.8"/>
    <n v="4.0999999999999996"/>
    <n v="1.3"/>
    <x v="0"/>
    <x v="10"/>
    <n v="1"/>
  </r>
  <r>
    <x v="11"/>
    <x v="7"/>
    <x v="588"/>
    <s v="Fresno State"/>
    <n v="9"/>
    <n v="375"/>
    <n v="6005"/>
    <n v="1992"/>
    <n v="1215"/>
    <n v="261"/>
    <n v="0.46"/>
    <n v="0"/>
    <n v="0.625"/>
    <n v="4"/>
    <n v="3.2000000000000001E-2"/>
    <n v="2002"/>
    <n v="16"/>
    <n v="5.3"/>
    <n v="3.2"/>
    <n v="0.7"/>
    <x v="0"/>
    <x v="11"/>
    <n v="1"/>
  </r>
  <r>
    <x v="12"/>
    <x v="12"/>
    <x v="589"/>
    <s v="Tennessee"/>
    <n v="4"/>
    <n v="89"/>
    <n v="854"/>
    <n v="311"/>
    <n v="131"/>
    <n v="16"/>
    <n v="0.437"/>
    <n v="0.35"/>
    <n v="0.65900000000000003"/>
    <n v="0.5"/>
    <n v="2.5999999999999999E-2"/>
    <n v="2002"/>
    <n v="9.6"/>
    <n v="3.5"/>
    <n v="1.5"/>
    <n v="0.2"/>
    <x v="0"/>
    <x v="12"/>
    <n v="0"/>
  </r>
  <r>
    <x v="13"/>
    <x v="24"/>
    <x v="590"/>
    <s v="Oregon"/>
    <n v="7"/>
    <n v="430"/>
    <n v="10299"/>
    <n v="3206"/>
    <n v="958"/>
    <n v="990"/>
    <n v="0.41099999999999998"/>
    <n v="0.35299999999999998"/>
    <n v="0.80900000000000005"/>
    <n v="16.5"/>
    <n v="7.6999999999999999E-2"/>
    <n v="2002"/>
    <n v="24"/>
    <n v="7.5"/>
    <n v="2.2000000000000002"/>
    <n v="2.2999999999999998"/>
    <x v="0"/>
    <x v="13"/>
    <n v="1"/>
  </r>
  <r>
    <x v="14"/>
    <x v="11"/>
    <x v="591"/>
    <s v="NA"/>
    <n v="6"/>
    <n v="317"/>
    <n v="5628"/>
    <n v="2252"/>
    <n v="836"/>
    <n v="283"/>
    <n v="0.40600000000000003"/>
    <n v="0.375"/>
    <n v="0.78400000000000003"/>
    <n v="8.6999999999999993"/>
    <n v="7.3999999999999996E-2"/>
    <n v="2002"/>
    <n v="17.8"/>
    <n v="7.1"/>
    <n v="2.6"/>
    <n v="0.9"/>
    <x v="0"/>
    <x v="14"/>
    <n v="1"/>
  </r>
  <r>
    <x v="15"/>
    <x v="21"/>
    <x v="592"/>
    <s v="NA"/>
    <n v="4"/>
    <n v="247"/>
    <n v="4596"/>
    <n v="1519"/>
    <n v="602"/>
    <n v="375"/>
    <n v="0.40300000000000002"/>
    <n v="0.34300000000000003"/>
    <n v="0.752"/>
    <n v="5.7"/>
    <n v="5.8999999999999997E-2"/>
    <n v="2002"/>
    <n v="18.600000000000001"/>
    <n v="6.1"/>
    <n v="2.4"/>
    <n v="1.5"/>
    <x v="0"/>
    <x v="15"/>
    <n v="0"/>
  </r>
  <r>
    <x v="16"/>
    <x v="23"/>
    <x v="593"/>
    <s v="Maryland"/>
    <n v="7"/>
    <n v="436"/>
    <n v="8509"/>
    <n v="3678"/>
    <n v="816"/>
    <n v="775"/>
    <n v="0.41299999999999998"/>
    <n v="0.34100000000000003"/>
    <n v="0.83299999999999996"/>
    <n v="6.1"/>
    <n v="3.4000000000000002E-2"/>
    <n v="2002"/>
    <n v="19.5"/>
    <n v="8.4"/>
    <n v="1.9"/>
    <n v="1.8"/>
    <x v="0"/>
    <x v="16"/>
    <n v="1"/>
  </r>
  <r>
    <x v="17"/>
    <x v="3"/>
    <x v="594"/>
    <s v="Stanford"/>
    <n v="2"/>
    <n v="83"/>
    <n v="1117"/>
    <n v="258"/>
    <n v="278"/>
    <n v="64"/>
    <n v="0.42099999999999999"/>
    <n v="0"/>
    <n v="0.74199999999999999"/>
    <n v="1"/>
    <n v="4.1000000000000002E-2"/>
    <n v="2002"/>
    <n v="13.5"/>
    <n v="3.1"/>
    <n v="3.3"/>
    <n v="0.8"/>
    <x v="0"/>
    <x v="17"/>
    <n v="0"/>
  </r>
  <r>
    <x v="18"/>
    <x v="22"/>
    <x v="595"/>
    <s v="Notre Dame"/>
    <n v="3"/>
    <n v="85"/>
    <n v="772"/>
    <n v="197"/>
    <n v="189"/>
    <n v="18"/>
    <n v="0.34399999999999997"/>
    <n v="0"/>
    <n v="0.53900000000000003"/>
    <n v="-0.4"/>
    <n v="-2.7E-2"/>
    <n v="2002"/>
    <n v="9.1"/>
    <n v="2.2999999999999998"/>
    <n v="2.2000000000000002"/>
    <n v="0.2"/>
    <x v="0"/>
    <x v="18"/>
    <n v="0"/>
  </r>
  <r>
    <x v="19"/>
    <x v="28"/>
    <x v="596"/>
    <s v="Missouri"/>
    <n v="7"/>
    <n v="346"/>
    <n v="5956"/>
    <n v="2213"/>
    <n v="572"/>
    <n v="353"/>
    <n v="0.4"/>
    <n v="0.35799999999999998"/>
    <n v="0.70299999999999996"/>
    <n v="1.7"/>
    <n v="1.2999999999999999E-2"/>
    <n v="2002"/>
    <n v="17.2"/>
    <n v="6.4"/>
    <n v="1.7"/>
    <n v="1"/>
    <x v="0"/>
    <x v="19"/>
    <n v="1"/>
  </r>
  <r>
    <x v="20"/>
    <x v="17"/>
    <x v="597"/>
    <s v="Northeast Mississippi Community College"/>
    <n v="4"/>
    <n v="167"/>
    <n v="2060"/>
    <n v="691"/>
    <n v="385"/>
    <n v="105"/>
    <n v="0.45200000000000001"/>
    <n v="0.35699999999999998"/>
    <n v="0.60299999999999998"/>
    <n v="1.4"/>
    <n v="3.2000000000000001E-2"/>
    <n v="2002"/>
    <n v="12.3"/>
    <n v="4.0999999999999996"/>
    <n v="2.2999999999999998"/>
    <n v="0.6"/>
    <x v="0"/>
    <x v="20"/>
    <n v="0"/>
  </r>
  <r>
    <x v="21"/>
    <x v="15"/>
    <x v="598"/>
    <s v="Stanford"/>
    <n v="4"/>
    <n v="287"/>
    <n v="5320"/>
    <n v="1488"/>
    <n v="516"/>
    <n v="304"/>
    <n v="0.39300000000000002"/>
    <n v="0.35199999999999998"/>
    <n v="0.76900000000000002"/>
    <n v="6.2"/>
    <n v="5.6000000000000001E-2"/>
    <n v="2002"/>
    <n v="18.5"/>
    <n v="5.2"/>
    <n v="1.8"/>
    <n v="1.1000000000000001"/>
    <x v="0"/>
    <x v="21"/>
    <n v="0"/>
  </r>
  <r>
    <x v="22"/>
    <x v="18"/>
    <x v="599"/>
    <s v="Kentucky"/>
    <n v="14"/>
    <n v="1017"/>
    <n v="31576"/>
    <n v="11272"/>
    <n v="4332"/>
    <n v="2406"/>
    <n v="0.45500000000000002"/>
    <n v="0.36699999999999999"/>
    <n v="0.75600000000000001"/>
    <n v="63.1"/>
    <n v="9.6000000000000002E-2"/>
    <n v="2002"/>
    <n v="31"/>
    <n v="11.1"/>
    <n v="4.3"/>
    <n v="2.4"/>
    <x v="0"/>
    <x v="22"/>
    <n v="1"/>
  </r>
  <r>
    <x v="23"/>
    <x v="0"/>
    <x v="600"/>
    <s v="NA"/>
    <n v="7"/>
    <n v="419"/>
    <n v="10547"/>
    <n v="4210"/>
    <n v="2261"/>
    <n v="346"/>
    <n v="0.49399999999999999"/>
    <n v="0.14299999999999999"/>
    <n v="0.73"/>
    <n v="21.5"/>
    <n v="9.8000000000000004E-2"/>
    <n v="2002"/>
    <n v="25.2"/>
    <n v="10"/>
    <n v="5.4"/>
    <n v="0.8"/>
    <x v="0"/>
    <x v="23"/>
    <n v="1"/>
  </r>
  <r>
    <x v="24"/>
    <x v="2"/>
    <x v="601"/>
    <s v="Illinois"/>
    <n v="3"/>
    <n v="86"/>
    <n v="952"/>
    <n v="253"/>
    <n v="77"/>
    <n v="166"/>
    <n v="0.35199999999999998"/>
    <n v="0.3"/>
    <n v="0.83299999999999996"/>
    <n v="0.1"/>
    <n v="3.0000000000000001E-3"/>
    <n v="2002"/>
    <n v="11.1"/>
    <n v="2.9"/>
    <n v="0.9"/>
    <n v="1.9"/>
    <x v="0"/>
    <x v="24"/>
    <n v="0"/>
  </r>
  <r>
    <x v="25"/>
    <x v="16"/>
    <x v="602"/>
    <s v="Miami (FL)"/>
    <n v="13"/>
    <n v="895"/>
    <n v="23672"/>
    <n v="8292"/>
    <n v="2603"/>
    <n v="2183"/>
    <n v="0.43099999999999999"/>
    <n v="0.36599999999999999"/>
    <n v="0.79900000000000004"/>
    <n v="33.9"/>
    <n v="6.9000000000000006E-2"/>
    <n v="2002"/>
    <n v="26.4"/>
    <n v="9.3000000000000007"/>
    <n v="2.9"/>
    <n v="2.4"/>
    <x v="0"/>
    <x v="25"/>
    <n v="1"/>
  </r>
  <r>
    <x v="26"/>
    <x v="19"/>
    <x v="603"/>
    <s v="Fresno State"/>
    <n v="2"/>
    <n v="72"/>
    <n v="861"/>
    <n v="281"/>
    <n v="88"/>
    <n v="29"/>
    <n v="0.38300000000000001"/>
    <n v="0.36499999999999999"/>
    <n v="0.66700000000000004"/>
    <n v="-0.5"/>
    <n v="-0.03"/>
    <n v="2002"/>
    <n v="12"/>
    <n v="3.9"/>
    <n v="1.2"/>
    <n v="0.4"/>
    <x v="0"/>
    <x v="26"/>
    <n v="0"/>
  </r>
  <r>
    <x v="27"/>
    <x v="6"/>
    <x v="604"/>
    <s v="Gonzaga"/>
    <n v="6"/>
    <n v="300"/>
    <n v="4617"/>
    <n v="1745"/>
    <n v="405"/>
    <n v="752"/>
    <n v="0.40100000000000002"/>
    <n v="0.34100000000000003"/>
    <n v="0.83099999999999996"/>
    <n v="5.9"/>
    <n v="6.0999999999999999E-2"/>
    <n v="2002"/>
    <n v="15.4"/>
    <n v="5.8"/>
    <n v="1.4"/>
    <n v="2.5"/>
    <x v="0"/>
    <x v="27"/>
    <n v="1"/>
  </r>
  <r>
    <x v="30"/>
    <x v="20"/>
    <x v="605"/>
    <s v="Virginia"/>
    <n v="10"/>
    <n v="518"/>
    <n v="9147"/>
    <n v="3289"/>
    <n v="897"/>
    <n v="677"/>
    <n v="0.40799999999999997"/>
    <n v="0.38300000000000001"/>
    <n v="0.86599999999999999"/>
    <n v="13"/>
    <n v="6.8000000000000005E-2"/>
    <n v="2002"/>
    <n v="17.7"/>
    <n v="6.3"/>
    <n v="1.7"/>
    <n v="1.3"/>
    <x v="1"/>
    <x v="1"/>
    <n v="1"/>
  </r>
  <r>
    <x v="31"/>
    <x v="27"/>
    <x v="606"/>
    <s v="Illinois"/>
    <n v="2"/>
    <n v="44"/>
    <n v="328"/>
    <n v="51"/>
    <n v="69"/>
    <n v="16"/>
    <n v="0.28299999999999997"/>
    <n v="0"/>
    <n v="0.42899999999999999"/>
    <n v="0"/>
    <n v="-4.0000000000000001E-3"/>
    <n v="2002"/>
    <n v="7.5"/>
    <n v="1.2"/>
    <n v="1.6"/>
    <n v="0.4"/>
    <x v="1"/>
    <x v="2"/>
    <n v="0"/>
  </r>
  <r>
    <x v="32"/>
    <x v="2"/>
    <x v="607"/>
    <s v="Tennessee"/>
    <n v="1"/>
    <n v="59"/>
    <n v="1381"/>
    <n v="406"/>
    <n v="162"/>
    <n v="130"/>
    <n v="0.39300000000000002"/>
    <n v="0.26900000000000002"/>
    <n v="0.79"/>
    <n v="1"/>
    <n v="3.5000000000000003E-2"/>
    <n v="2002"/>
    <n v="23.4"/>
    <n v="6.9"/>
    <n v="2.7"/>
    <n v="2.2000000000000002"/>
    <x v="1"/>
    <x v="3"/>
    <n v="0"/>
  </r>
  <r>
    <x v="33"/>
    <x v="12"/>
    <x v="608"/>
    <s v="UCLA"/>
    <n v="10"/>
    <n v="527"/>
    <n v="7793"/>
    <n v="2465"/>
    <n v="2326"/>
    <n v="196"/>
    <n v="0.5"/>
    <n v="0"/>
    <n v="0.498"/>
    <n v="15.8"/>
    <n v="9.7000000000000003E-2"/>
    <n v="2002"/>
    <n v="14.8"/>
    <n v="4.7"/>
    <n v="4.4000000000000004"/>
    <n v="0.4"/>
    <x v="1"/>
    <x v="4"/>
    <n v="1"/>
  </r>
  <r>
    <x v="34"/>
    <x v="25"/>
    <x v="609"/>
    <s v="Duke"/>
    <n v="13"/>
    <n v="861"/>
    <n v="26901"/>
    <n v="13976"/>
    <n v="8192"/>
    <n v="1928"/>
    <n v="0.52100000000000002"/>
    <n v="7.0999999999999994E-2"/>
    <n v="0.72199999999999998"/>
    <n v="80.3"/>
    <n v="0.14299999999999999"/>
    <n v="2002"/>
    <n v="31.2"/>
    <n v="16.2"/>
    <n v="9.5"/>
    <n v="2.2000000000000002"/>
    <x v="1"/>
    <x v="5"/>
    <n v="1"/>
  </r>
  <r>
    <x v="36"/>
    <x v="9"/>
    <x v="610"/>
    <s v="NA"/>
    <n v="2"/>
    <n v="103"/>
    <n v="1264"/>
    <n v="501"/>
    <n v="292"/>
    <n v="57"/>
    <n v="0.44"/>
    <n v="0.34699999999999998"/>
    <n v="0.67400000000000004"/>
    <n v="1.5"/>
    <n v="5.8999999999999997E-2"/>
    <n v="2002"/>
    <n v="12.3"/>
    <n v="4.9000000000000004"/>
    <n v="2.8"/>
    <n v="0.6"/>
    <x v="1"/>
    <x v="7"/>
    <n v="0"/>
  </r>
  <r>
    <x v="37"/>
    <x v="11"/>
    <x v="611"/>
    <s v="Fresno State"/>
    <n v="1"/>
    <n v="9"/>
    <n v="35"/>
    <n v="11"/>
    <n v="7"/>
    <n v="5"/>
    <n v="0.25"/>
    <n v="0"/>
    <n v="0.625"/>
    <n v="0"/>
    <n v="-1.0999999999999999E-2"/>
    <n v="2002"/>
    <n v="3.9"/>
    <n v="1.2"/>
    <n v="0.8"/>
    <n v="0.6"/>
    <x v="1"/>
    <x v="8"/>
    <n v="0"/>
  </r>
  <r>
    <x v="39"/>
    <x v="23"/>
    <x v="612"/>
    <s v="NA"/>
    <n v="1"/>
    <n v="82"/>
    <n v="2117"/>
    <n v="896"/>
    <n v="210"/>
    <n v="177"/>
    <n v="0.40200000000000002"/>
    <n v="0.36099999999999999"/>
    <n v="0.84899999999999998"/>
    <n v="1.4"/>
    <n v="3.1E-2"/>
    <n v="2002"/>
    <n v="25.8"/>
    <n v="10.9"/>
    <n v="2.6"/>
    <n v="2.2000000000000002"/>
    <x v="1"/>
    <x v="10"/>
    <n v="0"/>
  </r>
  <r>
    <x v="40"/>
    <x v="7"/>
    <x v="613"/>
    <s v="NA"/>
    <n v="2"/>
    <n v="73"/>
    <n v="569"/>
    <n v="198"/>
    <n v="188"/>
    <n v="11"/>
    <n v="0.46700000000000003"/>
    <n v="0"/>
    <n v="0.63600000000000001"/>
    <n v="0.8"/>
    <n v="6.9000000000000006E-2"/>
    <n v="2002"/>
    <n v="7.8"/>
    <n v="2.7"/>
    <n v="2.6"/>
    <n v="0.2"/>
    <x v="1"/>
    <x v="11"/>
    <n v="0"/>
  </r>
  <r>
    <x v="41"/>
    <x v="12"/>
    <x v="614"/>
    <s v="Shaw"/>
    <n v="8"/>
    <n v="487"/>
    <n v="11077"/>
    <n v="4817"/>
    <n v="1006"/>
    <n v="1096"/>
    <n v="0.41399999999999998"/>
    <n v="0.30399999999999999"/>
    <n v="0.72499999999999998"/>
    <n v="8.5"/>
    <n v="3.6999999999999998E-2"/>
    <n v="2002"/>
    <n v="22.7"/>
    <n v="9.9"/>
    <n v="2.1"/>
    <n v="2.2999999999999998"/>
    <x v="1"/>
    <x v="12"/>
    <n v="1"/>
  </r>
  <r>
    <x v="43"/>
    <x v="20"/>
    <x v="615"/>
    <s v="Maryland"/>
    <n v="4"/>
    <n v="162"/>
    <n v="1884"/>
    <n v="637"/>
    <n v="477"/>
    <n v="40"/>
    <n v="0.46600000000000003"/>
    <n v="0.2"/>
    <n v="0.65700000000000003"/>
    <n v="2.9"/>
    <n v="7.4999999999999997E-2"/>
    <n v="2002"/>
    <n v="11.6"/>
    <n v="3.9"/>
    <n v="2.9"/>
    <n v="0.2"/>
    <x v="1"/>
    <x v="14"/>
    <n v="0"/>
  </r>
  <r>
    <x v="45"/>
    <x v="27"/>
    <x v="616"/>
    <s v="UCLA"/>
    <n v="14"/>
    <n v="929"/>
    <n v="21967"/>
    <n v="7589"/>
    <n v="4281"/>
    <n v="1691"/>
    <n v="0.436"/>
    <n v="0.33500000000000002"/>
    <n v="0.745"/>
    <n v="42.8"/>
    <n v="9.2999999999999999E-2"/>
    <n v="2002"/>
    <n v="23.6"/>
    <n v="8.1999999999999993"/>
    <n v="4.5999999999999996"/>
    <n v="1.8"/>
    <x v="1"/>
    <x v="16"/>
    <n v="1"/>
  </r>
  <r>
    <x v="46"/>
    <x v="22"/>
    <x v="617"/>
    <s v="California"/>
    <n v="5"/>
    <n v="72"/>
    <n v="631"/>
    <n v="142"/>
    <n v="242"/>
    <n v="26"/>
    <n v="0.49099999999999999"/>
    <n v="0"/>
    <n v="0.53700000000000003"/>
    <n v="1.4"/>
    <n v="0.106"/>
    <n v="2002"/>
    <n v="8.8000000000000007"/>
    <n v="2"/>
    <n v="3.4"/>
    <n v="0.4"/>
    <x v="1"/>
    <x v="17"/>
    <n v="0"/>
  </r>
  <r>
    <x v="47"/>
    <x v="12"/>
    <x v="618"/>
    <s v="Texas"/>
    <n v="1"/>
    <n v="1"/>
    <n v="6"/>
    <n v="4"/>
    <n v="1"/>
    <n v="0"/>
    <n v="0.66700000000000004"/>
    <n v="0"/>
    <n v="0"/>
    <n v="0"/>
    <n v="-3.2000000000000001E-2"/>
    <n v="2002"/>
    <n v="6"/>
    <n v="4"/>
    <n v="1"/>
    <n v="0"/>
    <x v="1"/>
    <x v="18"/>
    <n v="0"/>
  </r>
  <r>
    <x v="48"/>
    <x v="14"/>
    <x v="619"/>
    <s v="Wake Forest"/>
    <n v="8"/>
    <n v="495"/>
    <n v="9229"/>
    <n v="3415"/>
    <n v="1689"/>
    <n v="589"/>
    <n v="0.499"/>
    <n v="0.158"/>
    <n v="0.84399999999999997"/>
    <n v="15.9"/>
    <n v="8.3000000000000004E-2"/>
    <n v="2002"/>
    <n v="18.600000000000001"/>
    <n v="6.9"/>
    <n v="3.4"/>
    <n v="1.2"/>
    <x v="1"/>
    <x v="20"/>
    <n v="1"/>
  </r>
  <r>
    <x v="57"/>
    <x v="8"/>
    <x v="620"/>
    <s v="La Salle"/>
    <n v="13"/>
    <n v="809"/>
    <n v="17219"/>
    <n v="6092"/>
    <n v="1934"/>
    <n v="658"/>
    <n v="0.40300000000000002"/>
    <n v="0.36199999999999999"/>
    <n v="0.747"/>
    <n v="20.8"/>
    <n v="5.8000000000000003E-2"/>
    <n v="2002"/>
    <n v="21.3"/>
    <n v="7.5"/>
    <n v="2.4"/>
    <n v="0.8"/>
    <x v="1"/>
    <x v="23"/>
    <n v="1"/>
  </r>
  <r>
    <x v="51"/>
    <x v="0"/>
    <x v="621"/>
    <s v="Marshall"/>
    <n v="3"/>
    <n v="66"/>
    <n v="517"/>
    <n v="173"/>
    <n v="70"/>
    <n v="31"/>
    <n v="0.36099999999999999"/>
    <n v="0.26500000000000001"/>
    <n v="0.53800000000000003"/>
    <n v="-0.3"/>
    <n v="-2.9000000000000001E-2"/>
    <n v="2002"/>
    <n v="7.8"/>
    <n v="2.6"/>
    <n v="1.1000000000000001"/>
    <n v="0.5"/>
    <x v="1"/>
    <x v="24"/>
    <n v="0"/>
  </r>
  <r>
    <x v="54"/>
    <x v="16"/>
    <x v="622"/>
    <s v="NA"/>
    <n v="10"/>
    <n v="743"/>
    <n v="19001"/>
    <n v="8882"/>
    <n v="4941"/>
    <n v="1194"/>
    <n v="0.49299999999999999"/>
    <n v="0.33900000000000002"/>
    <n v="0.74"/>
    <n v="45.7"/>
    <n v="0.115"/>
    <n v="2002"/>
    <n v="25.6"/>
    <n v="12"/>
    <n v="6.7"/>
    <n v="1.6"/>
    <x v="1"/>
    <x v="26"/>
    <n v="1"/>
  </r>
  <r>
    <x v="55"/>
    <x v="16"/>
    <x v="623"/>
    <s v="San Diego State"/>
    <n v="1"/>
    <n v="4"/>
    <n v="11"/>
    <n v="2"/>
    <n v="1"/>
    <n v="0"/>
    <n v="1"/>
    <n v="0"/>
    <n v="0"/>
    <n v="0"/>
    <n v="0.15"/>
    <n v="2002"/>
    <n v="2.8"/>
    <n v="0.5"/>
    <n v="0.3"/>
    <n v="0"/>
    <x v="1"/>
    <x v="27"/>
    <n v="0"/>
  </r>
  <r>
    <x v="56"/>
    <x v="6"/>
    <x v="624"/>
    <s v="Central Connecticut State University"/>
    <n v="1"/>
    <n v="10"/>
    <n v="110"/>
    <n v="27"/>
    <n v="25"/>
    <n v="3"/>
    <n v="0.32300000000000001"/>
    <n v="0"/>
    <n v="0.58299999999999996"/>
    <n v="0.1"/>
    <n v="2.5999999999999999E-2"/>
    <n v="2002"/>
    <n v="11"/>
    <n v="2.7"/>
    <n v="2.5"/>
    <n v="0.3"/>
    <x v="1"/>
    <x v="28"/>
    <n v="0"/>
  </r>
  <r>
    <x v="0"/>
    <x v="25"/>
    <x v="625"/>
    <s v="NA"/>
    <n v="19"/>
    <n v="1351"/>
    <n v="51563"/>
    <n v="36559"/>
    <n v="10075"/>
    <n v="9962"/>
    <n v="0.505"/>
    <n v="0.34499999999999997"/>
    <n v="0.73399999999999999"/>
    <n v="248.3"/>
    <n v="0.23100000000000001"/>
    <n v="2003"/>
    <n v="38.200000000000003"/>
    <n v="27.1"/>
    <n v="7.5"/>
    <n v="7.4"/>
    <x v="0"/>
    <x v="0"/>
    <n v="1"/>
  </r>
  <r>
    <x v="1"/>
    <x v="18"/>
    <x v="626"/>
    <s v="NA"/>
    <n v="10"/>
    <n v="468"/>
    <n v="8638"/>
    <n v="2813"/>
    <n v="1971"/>
    <n v="405"/>
    <n v="0.46"/>
    <n v="0"/>
    <n v="0.57399999999999995"/>
    <n v="7.1"/>
    <n v="0.04"/>
    <n v="2003"/>
    <n v="18.5"/>
    <n v="6"/>
    <n v="4.2"/>
    <n v="0.9"/>
    <x v="0"/>
    <x v="1"/>
    <n v="1"/>
  </r>
  <r>
    <x v="2"/>
    <x v="2"/>
    <x v="627"/>
    <s v="Syracuse"/>
    <n v="19"/>
    <n v="1241"/>
    <n v="43048"/>
    <n v="28042"/>
    <n v="7728"/>
    <n v="3406"/>
    <n v="0.44700000000000001"/>
    <n v="0.35599999999999998"/>
    <n v="0.81399999999999995"/>
    <n v="107.9"/>
    <n v="0.12"/>
    <n v="2003"/>
    <n v="34.700000000000003"/>
    <n v="22.6"/>
    <n v="6.2"/>
    <n v="2.7"/>
    <x v="0"/>
    <x v="2"/>
    <n v="1"/>
  </r>
  <r>
    <x v="3"/>
    <x v="28"/>
    <x v="628"/>
    <s v="Georgia Tech"/>
    <n v="13"/>
    <n v="893"/>
    <n v="31936"/>
    <n v="17189"/>
    <n v="7592"/>
    <n v="1795"/>
    <n v="0.49399999999999999"/>
    <n v="0.33500000000000002"/>
    <n v="0.79900000000000004"/>
    <n v="106"/>
    <n v="0.159"/>
    <n v="2003"/>
    <n v="35.799999999999997"/>
    <n v="19.2"/>
    <n v="8.5"/>
    <n v="2"/>
    <x v="0"/>
    <x v="3"/>
    <n v="1"/>
  </r>
  <r>
    <x v="4"/>
    <x v="8"/>
    <x v="629"/>
    <s v="Marquette"/>
    <n v="16"/>
    <n v="1054"/>
    <n v="35773"/>
    <n v="23165"/>
    <n v="4933"/>
    <n v="5701"/>
    <n v="0.48"/>
    <n v="0.29299999999999998"/>
    <n v="0.76500000000000001"/>
    <n v="120.7"/>
    <n v="0.16200000000000001"/>
    <n v="2003"/>
    <n v="33.9"/>
    <n v="22"/>
    <n v="4.7"/>
    <n v="5.4"/>
    <x v="0"/>
    <x v="4"/>
    <n v="1"/>
  </r>
  <r>
    <x v="5"/>
    <x v="7"/>
    <x v="630"/>
    <s v="Central Michigan University"/>
    <n v="13"/>
    <n v="735"/>
    <n v="19642"/>
    <n v="8208"/>
    <n v="5582"/>
    <n v="921"/>
    <n v="0.48899999999999999"/>
    <n v="4.2000000000000003E-2"/>
    <n v="0.74299999999999999"/>
    <n v="24.6"/>
    <n v="0.06"/>
    <n v="2003"/>
    <n v="26.7"/>
    <n v="11.2"/>
    <n v="7.6"/>
    <n v="1.3"/>
    <x v="0"/>
    <x v="5"/>
    <n v="1"/>
  </r>
  <r>
    <x v="6"/>
    <x v="20"/>
    <x v="631"/>
    <s v="Kansas"/>
    <n v="13"/>
    <n v="879"/>
    <n v="27015"/>
    <n v="9594"/>
    <n v="2576"/>
    <n v="4245"/>
    <n v="0.41099999999999998"/>
    <n v="0.375"/>
    <n v="0.8"/>
    <n v="52.5"/>
    <n v="9.2999999999999999E-2"/>
    <n v="2003"/>
    <n v="30.7"/>
    <n v="10.9"/>
    <n v="2.9"/>
    <n v="4.8"/>
    <x v="0"/>
    <x v="6"/>
    <n v="1"/>
  </r>
  <r>
    <x v="7"/>
    <x v="12"/>
    <x v="632"/>
    <s v="Texas"/>
    <n v="8"/>
    <n v="429"/>
    <n v="11882"/>
    <n v="4797"/>
    <n v="1331"/>
    <n v="2495"/>
    <n v="0.433"/>
    <n v="0.28899999999999998"/>
    <n v="0.81499999999999995"/>
    <n v="16.899999999999999"/>
    <n v="6.8000000000000005E-2"/>
    <n v="2003"/>
    <n v="27.7"/>
    <n v="11.2"/>
    <n v="3.1"/>
    <n v="5.8"/>
    <x v="0"/>
    <x v="7"/>
    <n v="1"/>
  </r>
  <r>
    <x v="8"/>
    <x v="13"/>
    <x v="633"/>
    <s v="Georgetown"/>
    <n v="4"/>
    <n v="233"/>
    <n v="3610"/>
    <n v="1516"/>
    <n v="1045"/>
    <n v="145"/>
    <n v="0.48499999999999999"/>
    <n v="0"/>
    <n v="0.68899999999999995"/>
    <n v="7.8"/>
    <n v="0.10299999999999999"/>
    <n v="2003"/>
    <n v="15.5"/>
    <n v="6.5"/>
    <n v="4.5"/>
    <n v="0.6"/>
    <x v="0"/>
    <x v="8"/>
    <n v="0"/>
  </r>
  <r>
    <x v="9"/>
    <x v="23"/>
    <x v="634"/>
    <s v="Georgia"/>
    <n v="7"/>
    <n v="427"/>
    <n v="9898"/>
    <n v="3553"/>
    <n v="1330"/>
    <n v="459"/>
    <n v="0.41499999999999998"/>
    <n v="0.35599999999999998"/>
    <n v="0.79800000000000004"/>
    <n v="10.199999999999999"/>
    <n v="4.9000000000000002E-2"/>
    <n v="2003"/>
    <n v="23.2"/>
    <n v="8.3000000000000007"/>
    <n v="3.1"/>
    <n v="1.1000000000000001"/>
    <x v="0"/>
    <x v="9"/>
    <n v="1"/>
  </r>
  <r>
    <x v="10"/>
    <x v="10"/>
    <x v="635"/>
    <s v="NA"/>
    <n v="10"/>
    <n v="557"/>
    <n v="11950"/>
    <n v="4629"/>
    <n v="1723"/>
    <n v="445"/>
    <n v="0.42499999999999999"/>
    <n v="0.35499999999999998"/>
    <n v="0.66500000000000004"/>
    <n v="19.7"/>
    <n v="7.9000000000000001E-2"/>
    <n v="2003"/>
    <n v="21.5"/>
    <n v="8.3000000000000007"/>
    <n v="3.1"/>
    <n v="0.8"/>
    <x v="0"/>
    <x v="10"/>
    <n v="1"/>
  </r>
  <r>
    <x v="11"/>
    <x v="1"/>
    <x v="636"/>
    <s v="Kansas"/>
    <n v="14"/>
    <n v="910"/>
    <n v="18603"/>
    <n v="5359"/>
    <n v="4701"/>
    <n v="939"/>
    <n v="0.53400000000000003"/>
    <n v="0.20799999999999999"/>
    <n v="0.72299999999999998"/>
    <n v="44.5"/>
    <n v="0.115"/>
    <n v="2003"/>
    <n v="20.399999999999999"/>
    <n v="5.9"/>
    <n v="5.2"/>
    <n v="1"/>
    <x v="0"/>
    <x v="11"/>
    <n v="1"/>
  </r>
  <r>
    <x v="12"/>
    <x v="27"/>
    <x v="637"/>
    <s v="UNLV"/>
    <n v="8"/>
    <n v="348"/>
    <n v="5571"/>
    <n v="2061"/>
    <n v="519"/>
    <n v="728"/>
    <n v="0.432"/>
    <n v="0.32700000000000001"/>
    <n v="0.76800000000000002"/>
    <n v="6.6"/>
    <n v="5.7000000000000002E-2"/>
    <n v="2003"/>
    <n v="16"/>
    <n v="5.9"/>
    <n v="1.5"/>
    <n v="2.1"/>
    <x v="0"/>
    <x v="12"/>
    <n v="1"/>
  </r>
  <r>
    <x v="13"/>
    <x v="1"/>
    <x v="638"/>
    <s v="Oregon"/>
    <n v="12"/>
    <n v="830"/>
    <n v="21623"/>
    <n v="7740"/>
    <n v="1877"/>
    <n v="3713"/>
    <n v="0.43099999999999999"/>
    <n v="0.34899999999999998"/>
    <n v="0.86199999999999999"/>
    <n v="36"/>
    <n v="0.08"/>
    <n v="2003"/>
    <n v="26.1"/>
    <n v="9.3000000000000007"/>
    <n v="2.2999999999999998"/>
    <n v="4.5"/>
    <x v="0"/>
    <x v="13"/>
    <n v="1"/>
  </r>
  <r>
    <x v="14"/>
    <x v="3"/>
    <x v="639"/>
    <s v="Louisville"/>
    <n v="3"/>
    <n v="71"/>
    <n v="605"/>
    <n v="123"/>
    <n v="53"/>
    <n v="50"/>
    <n v="0.32400000000000001"/>
    <n v="0.26900000000000002"/>
    <n v="0.60599999999999998"/>
    <n v="-0.6"/>
    <n v="-4.9000000000000002E-2"/>
    <n v="2003"/>
    <n v="8.5"/>
    <n v="1.7"/>
    <n v="0.7"/>
    <n v="0.7"/>
    <x v="0"/>
    <x v="14"/>
    <n v="0"/>
  </r>
  <r>
    <x v="15"/>
    <x v="14"/>
    <x v="640"/>
    <s v="Boston College"/>
    <n v="1"/>
    <n v="6"/>
    <n v="34"/>
    <n v="11"/>
    <n v="4"/>
    <n v="4"/>
    <n v="0.222"/>
    <n v="0"/>
    <n v="1"/>
    <n v="-0.2"/>
    <n v="-0.32600000000000001"/>
    <n v="2003"/>
    <n v="5.7"/>
    <n v="1.8"/>
    <n v="0.7"/>
    <n v="0.7"/>
    <x v="0"/>
    <x v="15"/>
    <n v="0"/>
  </r>
  <r>
    <x v="16"/>
    <x v="15"/>
    <x v="641"/>
    <s v="NA"/>
    <n v="3"/>
    <n v="150"/>
    <n v="1550"/>
    <n v="640"/>
    <n v="312"/>
    <n v="85"/>
    <n v="0.42699999999999999"/>
    <n v="0.27300000000000002"/>
    <n v="0.73299999999999998"/>
    <n v="1.1000000000000001"/>
    <n v="3.5000000000000003E-2"/>
    <n v="2003"/>
    <n v="10.3"/>
    <n v="4.3"/>
    <n v="2.1"/>
    <n v="0.6"/>
    <x v="0"/>
    <x v="16"/>
    <n v="0"/>
  </r>
  <r>
    <x v="17"/>
    <x v="29"/>
    <x v="642"/>
    <s v="Xavier"/>
    <n v="15"/>
    <n v="1034"/>
    <n v="29144"/>
    <n v="14034"/>
    <n v="6590"/>
    <n v="2273"/>
    <n v="0.495"/>
    <n v="0.26500000000000001"/>
    <n v="0.81699999999999995"/>
    <n v="85.9"/>
    <n v="0.14099999999999999"/>
    <n v="2003"/>
    <n v="28.2"/>
    <n v="13.6"/>
    <n v="6.4"/>
    <n v="2.2000000000000002"/>
    <x v="0"/>
    <x v="17"/>
    <n v="1"/>
  </r>
  <r>
    <x v="18"/>
    <x v="22"/>
    <x v="643"/>
    <s v="NA"/>
    <n v="10"/>
    <n v="567"/>
    <n v="8888"/>
    <n v="2787"/>
    <n v="1000"/>
    <n v="517"/>
    <n v="0.40400000000000003"/>
    <n v="0.34599999999999997"/>
    <n v="0.67300000000000004"/>
    <n v="7"/>
    <n v="3.7999999999999999E-2"/>
    <n v="2003"/>
    <n v="15.7"/>
    <n v="4.9000000000000004"/>
    <n v="1.8"/>
    <n v="0.9"/>
    <x v="0"/>
    <x v="18"/>
    <n v="1"/>
  </r>
  <r>
    <x v="19"/>
    <x v="14"/>
    <x v="644"/>
    <s v="Duke"/>
    <n v="13"/>
    <n v="624"/>
    <n v="9799"/>
    <n v="3353"/>
    <n v="1082"/>
    <n v="529"/>
    <n v="0.439"/>
    <n v="0.32900000000000001"/>
    <n v="0.751"/>
    <n v="9.9"/>
    <n v="4.8000000000000001E-2"/>
    <n v="2003"/>
    <n v="15.7"/>
    <n v="5.4"/>
    <n v="1.7"/>
    <n v="0.8"/>
    <x v="0"/>
    <x v="19"/>
    <n v="1"/>
  </r>
  <r>
    <x v="20"/>
    <x v="9"/>
    <x v="645"/>
    <s v="NA"/>
    <n v="14"/>
    <n v="1064"/>
    <n v="28768"/>
    <n v="9139"/>
    <n v="4634"/>
    <n v="3684"/>
    <n v="0.49299999999999999"/>
    <n v="0.33600000000000002"/>
    <n v="0.71699999999999997"/>
    <n v="51.6"/>
    <n v="8.5999999999999993E-2"/>
    <n v="2003"/>
    <n v="27"/>
    <n v="8.6"/>
    <n v="4.4000000000000004"/>
    <n v="3.5"/>
    <x v="0"/>
    <x v="20"/>
    <n v="1"/>
  </r>
  <r>
    <x v="21"/>
    <x v="0"/>
    <x v="646"/>
    <s v="NA"/>
    <n v="3"/>
    <n v="148"/>
    <n v="1584"/>
    <n v="561"/>
    <n v="198"/>
    <n v="165"/>
    <n v="0.40500000000000003"/>
    <n v="0.28899999999999998"/>
    <n v="0.67700000000000005"/>
    <n v="1.5"/>
    <n v="4.5999999999999999E-2"/>
    <n v="2003"/>
    <n v="10.7"/>
    <n v="3.8"/>
    <n v="1.3"/>
    <n v="1.1000000000000001"/>
    <x v="0"/>
    <x v="21"/>
    <n v="0"/>
  </r>
  <r>
    <x v="22"/>
    <x v="17"/>
    <x v="647"/>
    <s v="NA"/>
    <n v="11"/>
    <n v="622"/>
    <n v="13026"/>
    <n v="5273"/>
    <n v="1974"/>
    <n v="514"/>
    <n v="0.42299999999999999"/>
    <n v="0.33700000000000002"/>
    <n v="0.74399999999999999"/>
    <n v="16.5"/>
    <n v="6.0999999999999999E-2"/>
    <n v="2003"/>
    <n v="20.9"/>
    <n v="8.5"/>
    <n v="3.2"/>
    <n v="0.8"/>
    <x v="0"/>
    <x v="22"/>
    <n v="1"/>
  </r>
  <r>
    <x v="23"/>
    <x v="19"/>
    <x v="648"/>
    <s v="Illinois"/>
    <n v="9"/>
    <n v="421"/>
    <n v="5649"/>
    <n v="2312"/>
    <n v="1115"/>
    <n v="252"/>
    <n v="0.439"/>
    <n v="0.38200000000000001"/>
    <n v="0.78300000000000003"/>
    <n v="10.199999999999999"/>
    <n v="8.5999999999999993E-2"/>
    <n v="2003"/>
    <n v="13.4"/>
    <n v="5.5"/>
    <n v="2.6"/>
    <n v="0.6"/>
    <x v="0"/>
    <x v="23"/>
    <n v="1"/>
  </r>
  <r>
    <x v="24"/>
    <x v="18"/>
    <x v="649"/>
    <s v="NA"/>
    <n v="8"/>
    <n v="507"/>
    <n v="11580"/>
    <n v="4115"/>
    <n v="1815"/>
    <n v="887"/>
    <n v="0.40100000000000002"/>
    <n v="0.36499999999999999"/>
    <n v="0.75800000000000001"/>
    <n v="22.5"/>
    <n v="9.2999999999999999E-2"/>
    <n v="2003"/>
    <n v="22.8"/>
    <n v="8.1"/>
    <n v="3.6"/>
    <n v="1.7"/>
    <x v="0"/>
    <x v="24"/>
    <n v="1"/>
  </r>
  <r>
    <x v="25"/>
    <x v="5"/>
    <x v="650"/>
    <s v="NA"/>
    <n v="2"/>
    <n v="19"/>
    <n v="86"/>
    <n v="40"/>
    <n v="19"/>
    <n v="4"/>
    <n v="0.48599999999999999"/>
    <n v="0"/>
    <n v="0.46200000000000002"/>
    <n v="0.1"/>
    <n v="5.0999999999999997E-2"/>
    <n v="2003"/>
    <n v="4.5"/>
    <n v="2.1"/>
    <n v="1"/>
    <n v="0.2"/>
    <x v="0"/>
    <x v="25"/>
    <n v="0"/>
  </r>
  <r>
    <x v="26"/>
    <x v="27"/>
    <x v="651"/>
    <s v="NA"/>
    <n v="14"/>
    <n v="782"/>
    <n v="17162"/>
    <n v="4214"/>
    <n v="4532"/>
    <n v="813"/>
    <n v="0.53"/>
    <n v="0"/>
    <n v="0.59399999999999997"/>
    <n v="27.9"/>
    <n v="7.8E-2"/>
    <n v="2003"/>
    <n v="21.9"/>
    <n v="5.4"/>
    <n v="5.8"/>
    <n v="1"/>
    <x v="0"/>
    <x v="26"/>
    <n v="1"/>
  </r>
  <r>
    <x v="27"/>
    <x v="16"/>
    <x v="652"/>
    <s v="NA"/>
    <n v="14"/>
    <n v="850"/>
    <n v="18386"/>
    <n v="9035"/>
    <n v="1720"/>
    <n v="1775"/>
    <n v="0.45900000000000002"/>
    <n v="0.38700000000000001"/>
    <n v="0.82099999999999995"/>
    <n v="37.4"/>
    <n v="9.8000000000000004E-2"/>
    <n v="2003"/>
    <n v="21.6"/>
    <n v="10.6"/>
    <n v="2"/>
    <n v="2.1"/>
    <x v="0"/>
    <x v="27"/>
    <n v="1"/>
  </r>
  <r>
    <x v="28"/>
    <x v="26"/>
    <x v="653"/>
    <s v="Wake Forest"/>
    <n v="10"/>
    <n v="507"/>
    <n v="15350"/>
    <n v="7270"/>
    <n v="2886"/>
    <n v="817"/>
    <n v="0.44800000000000001"/>
    <n v="0.33200000000000002"/>
    <n v="0.77"/>
    <n v="38"/>
    <n v="0.11899999999999999"/>
    <n v="2003"/>
    <n v="30.3"/>
    <n v="14.3"/>
    <n v="5.7"/>
    <n v="1.6"/>
    <x v="0"/>
    <x v="28"/>
    <n v="1"/>
  </r>
  <r>
    <x v="29"/>
    <x v="13"/>
    <x v="654"/>
    <s v="NA"/>
    <n v="3"/>
    <n v="64"/>
    <n v="632"/>
    <n v="215"/>
    <n v="142"/>
    <n v="22"/>
    <n v="0.40699999999999997"/>
    <n v="0.25"/>
    <n v="0.67600000000000005"/>
    <n v="-0.2"/>
    <n v="-1.4E-2"/>
    <n v="2003"/>
    <n v="9.9"/>
    <n v="3.4"/>
    <n v="2.2000000000000002"/>
    <n v="0.3"/>
    <x v="1"/>
    <x v="0"/>
    <n v="0"/>
  </r>
  <r>
    <x v="30"/>
    <x v="25"/>
    <x v="655"/>
    <s v="UCLA"/>
    <n v="9"/>
    <n v="509"/>
    <n v="9068"/>
    <n v="3398"/>
    <n v="844"/>
    <n v="417"/>
    <n v="0.442"/>
    <n v="0.434"/>
    <n v="0.83499999999999996"/>
    <n v="10.3"/>
    <n v="5.5E-2"/>
    <n v="2003"/>
    <n v="17.8"/>
    <n v="6.7"/>
    <n v="1.7"/>
    <n v="0.8"/>
    <x v="1"/>
    <x v="1"/>
    <n v="1"/>
  </r>
  <r>
    <x v="31"/>
    <x v="19"/>
    <x v="656"/>
    <s v="Arizona"/>
    <n v="10"/>
    <n v="564"/>
    <n v="9685"/>
    <n v="2649"/>
    <n v="1588"/>
    <n v="1317"/>
    <n v="0.42899999999999999"/>
    <n v="0.32600000000000001"/>
    <n v="0.71499999999999997"/>
    <n v="13.5"/>
    <n v="6.7000000000000004E-2"/>
    <n v="2003"/>
    <n v="17.2"/>
    <n v="4.7"/>
    <n v="2.8"/>
    <n v="2.2999999999999998"/>
    <x v="1"/>
    <x v="2"/>
    <n v="1"/>
  </r>
  <r>
    <x v="32"/>
    <x v="8"/>
    <x v="657"/>
    <s v="University of North Dakota"/>
    <n v="1"/>
    <n v="2"/>
    <n v="5"/>
    <n v="2"/>
    <n v="1"/>
    <n v="0"/>
    <n v="0.33300000000000002"/>
    <n v="0"/>
    <n v="0"/>
    <n v="0"/>
    <n v="-0.11700000000000001"/>
    <n v="2003"/>
    <n v="2.5"/>
    <n v="1"/>
    <n v="0.5"/>
    <n v="0"/>
    <x v="1"/>
    <x v="3"/>
    <n v="0"/>
  </r>
  <r>
    <x v="36"/>
    <x v="9"/>
    <x v="658"/>
    <s v="BYU"/>
    <n v="1"/>
    <n v="41"/>
    <n v="507"/>
    <n v="123"/>
    <n v="70"/>
    <n v="19"/>
    <n v="0.35399999999999998"/>
    <n v="0.3"/>
    <n v="0.81499999999999995"/>
    <n v="0.2"/>
    <n v="1.9E-2"/>
    <n v="2003"/>
    <n v="12.4"/>
    <n v="3"/>
    <n v="1.7"/>
    <n v="0.5"/>
    <x v="1"/>
    <x v="7"/>
    <n v="0"/>
  </r>
  <r>
    <x v="37"/>
    <x v="23"/>
    <x v="659"/>
    <s v="Maryland"/>
    <n v="13"/>
    <n v="870"/>
    <n v="20823"/>
    <n v="5662"/>
    <n v="1816"/>
    <n v="3446"/>
    <n v="0.40100000000000002"/>
    <n v="0.38300000000000001"/>
    <n v="0.77900000000000003"/>
    <n v="29.1"/>
    <n v="6.7000000000000004E-2"/>
    <n v="2003"/>
    <n v="23.9"/>
    <n v="6.5"/>
    <n v="2.1"/>
    <n v="4"/>
    <x v="1"/>
    <x v="8"/>
    <n v="1"/>
  </r>
  <r>
    <x v="38"/>
    <x v="13"/>
    <x v="660"/>
    <s v="NA"/>
    <n v="1"/>
    <n v="1"/>
    <n v="3"/>
    <n v="0"/>
    <n v="0"/>
    <n v="0"/>
    <n v="0"/>
    <n v="0"/>
    <n v="0"/>
    <n v="0"/>
    <n v="-0.371"/>
    <n v="2003"/>
    <n v="3"/>
    <n v="0"/>
    <n v="0"/>
    <n v="0"/>
    <x v="1"/>
    <x v="9"/>
    <n v="0"/>
  </r>
  <r>
    <x v="39"/>
    <x v="10"/>
    <x v="661"/>
    <s v="Mississippi State"/>
    <n v="1"/>
    <n v="2"/>
    <n v="32"/>
    <n v="4"/>
    <n v="4"/>
    <n v="7"/>
    <n v="0.66700000000000004"/>
    <n v="0"/>
    <n v="0"/>
    <n v="0"/>
    <n v="4.0000000000000001E-3"/>
    <n v="2003"/>
    <n v="16"/>
    <n v="2"/>
    <n v="2"/>
    <n v="3.5"/>
    <x v="1"/>
    <x v="10"/>
    <n v="0"/>
  </r>
  <r>
    <x v="40"/>
    <x v="1"/>
    <x v="662"/>
    <s v="Detroit Mercy"/>
    <n v="12"/>
    <n v="731"/>
    <n v="14783"/>
    <n v="6059"/>
    <n v="1303"/>
    <n v="1018"/>
    <n v="0.42499999999999999"/>
    <n v="0.34599999999999997"/>
    <n v="0.76500000000000001"/>
    <n v="12.9"/>
    <n v="4.2000000000000003E-2"/>
    <n v="2003"/>
    <n v="20.2"/>
    <n v="8.3000000000000007"/>
    <n v="1.8"/>
    <n v="1.4"/>
    <x v="1"/>
    <x v="11"/>
    <n v="1"/>
  </r>
  <r>
    <x v="41"/>
    <x v="3"/>
    <x v="663"/>
    <s v="NA"/>
    <n v="16"/>
    <n v="1098"/>
    <n v="22240"/>
    <n v="7414"/>
    <n v="6315"/>
    <n v="1433"/>
    <n v="0.46899999999999997"/>
    <n v="0"/>
    <n v="0.751"/>
    <n v="52.7"/>
    <n v="0.114"/>
    <n v="2003"/>
    <n v="20.3"/>
    <n v="6.8"/>
    <n v="5.8"/>
    <n v="1.3"/>
    <x v="1"/>
    <x v="12"/>
    <n v="1"/>
  </r>
  <r>
    <x v="42"/>
    <x v="12"/>
    <x v="664"/>
    <s v="Kentucky"/>
    <n v="11"/>
    <n v="671"/>
    <n v="14527"/>
    <n v="4257"/>
    <n v="1817"/>
    <n v="866"/>
    <n v="0.39400000000000002"/>
    <n v="0.35299999999999998"/>
    <n v="0.71599999999999997"/>
    <n v="20.399999999999999"/>
    <n v="6.8000000000000005E-2"/>
    <n v="2003"/>
    <n v="21.6"/>
    <n v="6.3"/>
    <n v="2.7"/>
    <n v="1.3"/>
    <x v="1"/>
    <x v="13"/>
    <n v="1"/>
  </r>
  <r>
    <x v="44"/>
    <x v="20"/>
    <x v="665"/>
    <s v="Florida"/>
    <n v="12"/>
    <n v="792"/>
    <n v="13356"/>
    <n v="4632"/>
    <n v="2371"/>
    <n v="552"/>
    <n v="0.46400000000000002"/>
    <n v="0.41399999999999998"/>
    <n v="0.78"/>
    <n v="38.5"/>
    <n v="0.13800000000000001"/>
    <n v="2003"/>
    <n v="16.899999999999999"/>
    <n v="5.8"/>
    <n v="3"/>
    <n v="0.7"/>
    <x v="1"/>
    <x v="15"/>
    <n v="1"/>
  </r>
  <r>
    <x v="46"/>
    <x v="22"/>
    <x v="666"/>
    <s v="Alabama"/>
    <n v="13"/>
    <n v="818"/>
    <n v="23872"/>
    <n v="10759"/>
    <n v="2264"/>
    <n v="3990"/>
    <n v="0.434"/>
    <n v="0.378"/>
    <n v="0.871"/>
    <n v="40"/>
    <n v="0.08"/>
    <n v="2003"/>
    <n v="29.2"/>
    <n v="13.2"/>
    <n v="2.8"/>
    <n v="4.9000000000000004"/>
    <x v="1"/>
    <x v="17"/>
    <n v="1"/>
  </r>
  <r>
    <x v="47"/>
    <x v="29"/>
    <x v="667"/>
    <s v="NA"/>
    <n v="1"/>
    <n v="11"/>
    <n v="55"/>
    <n v="11"/>
    <n v="11"/>
    <n v="2"/>
    <n v="0.44400000000000001"/>
    <n v="0"/>
    <n v="0.6"/>
    <n v="0.1"/>
    <n v="4.7E-2"/>
    <n v="2003"/>
    <n v="5"/>
    <n v="1"/>
    <n v="1"/>
    <n v="0.2"/>
    <x v="1"/>
    <x v="18"/>
    <n v="0"/>
  </r>
  <r>
    <x v="52"/>
    <x v="24"/>
    <x v="668"/>
    <s v="Miami (FL)"/>
    <n v="14"/>
    <n v="709"/>
    <n v="11098"/>
    <n v="3717"/>
    <n v="1276"/>
    <n v="366"/>
    <n v="0.40100000000000002"/>
    <n v="0.40100000000000002"/>
    <n v="0.84"/>
    <n v="25.2"/>
    <n v="0.109"/>
    <n v="2003"/>
    <n v="15.7"/>
    <n v="5.2"/>
    <n v="1.8"/>
    <n v="0.5"/>
    <x v="1"/>
    <x v="19"/>
    <n v="1"/>
  </r>
  <r>
    <x v="49"/>
    <x v="0"/>
    <x v="669"/>
    <s v="Creighton"/>
    <n v="17"/>
    <n v="1232"/>
    <n v="31183"/>
    <n v="11953"/>
    <n v="3643"/>
    <n v="2114"/>
    <n v="0.442"/>
    <n v="0.42899999999999999"/>
    <n v="0.877"/>
    <n v="73.400000000000006"/>
    <n v="0.113"/>
    <n v="2003"/>
    <n v="25.3"/>
    <n v="9.6999999999999993"/>
    <n v="3"/>
    <n v="1.7"/>
    <x v="1"/>
    <x v="21"/>
    <n v="1"/>
  </r>
  <r>
    <x v="54"/>
    <x v="14"/>
    <x v="670"/>
    <s v="Ohio University"/>
    <n v="2"/>
    <n v="67"/>
    <n v="630"/>
    <n v="220"/>
    <n v="187"/>
    <n v="22"/>
    <n v="0.47599999999999998"/>
    <n v="0"/>
    <n v="0.48799999999999999"/>
    <n v="0.7"/>
    <n v="5.5E-2"/>
    <n v="2003"/>
    <n v="9.4"/>
    <n v="3.3"/>
    <n v="2.8"/>
    <n v="0.3"/>
    <x v="1"/>
    <x v="26"/>
    <n v="0"/>
  </r>
  <r>
    <x v="56"/>
    <x v="18"/>
    <x v="671"/>
    <s v="NA"/>
    <n v="1"/>
    <n v="13"/>
    <n v="81"/>
    <n v="17"/>
    <n v="8"/>
    <n v="1"/>
    <n v="0.47099999999999997"/>
    <n v="0"/>
    <n v="0.5"/>
    <n v="-0.2"/>
    <n v="-0.14299999999999999"/>
    <n v="2003"/>
    <n v="6.2"/>
    <n v="1.3"/>
    <n v="0.6"/>
    <n v="0.1"/>
    <x v="1"/>
    <x v="28"/>
    <n v="0"/>
  </r>
  <r>
    <x v="0"/>
    <x v="3"/>
    <x v="672"/>
    <s v="NA"/>
    <n v="18"/>
    <n v="1224"/>
    <n v="39092"/>
    <n v="19329"/>
    <n v="14499"/>
    <n v="1663"/>
    <n v="0.58699999999999997"/>
    <n v="0.20599999999999999"/>
    <n v="0.56599999999999995"/>
    <n v="140.5"/>
    <n v="0.17299999999999999"/>
    <n v="2004"/>
    <n v="31.9"/>
    <n v="15.8"/>
    <n v="11.8"/>
    <n v="1.4"/>
    <x v="0"/>
    <x v="0"/>
    <n v="1"/>
  </r>
  <r>
    <x v="1"/>
    <x v="4"/>
    <x v="673"/>
    <s v="UConn"/>
    <n v="10"/>
    <n v="616"/>
    <n v="19055"/>
    <n v="7370"/>
    <n v="5967"/>
    <n v="520"/>
    <n v="0.51200000000000001"/>
    <n v="0"/>
    <n v="0.58599999999999997"/>
    <n v="45.3"/>
    <n v="0.114"/>
    <n v="2004"/>
    <n v="30.9"/>
    <n v="12"/>
    <n v="9.6999999999999993"/>
    <n v="0.8"/>
    <x v="0"/>
    <x v="1"/>
    <n v="1"/>
  </r>
  <r>
    <x v="2"/>
    <x v="20"/>
    <x v="674"/>
    <s v="UConn"/>
    <n v="11"/>
    <n v="744"/>
    <n v="20366"/>
    <n v="11084"/>
    <n v="1851"/>
    <n v="1868"/>
    <n v="0.432"/>
    <n v="0.40100000000000002"/>
    <n v="0.85699999999999998"/>
    <n v="33.299999999999997"/>
    <n v="7.8E-2"/>
    <n v="2004"/>
    <n v="27.4"/>
    <n v="14.9"/>
    <n v="2.5"/>
    <n v="2.5"/>
    <x v="0"/>
    <x v="2"/>
    <n v="1"/>
  </r>
  <r>
    <x v="3"/>
    <x v="7"/>
    <x v="675"/>
    <s v="NA"/>
    <n v="14"/>
    <n v="833"/>
    <n v="17188"/>
    <n v="5231"/>
    <n v="1989"/>
    <n v="2483"/>
    <n v="0.48599999999999999"/>
    <n v="0.17799999999999999"/>
    <n v="0.79400000000000004"/>
    <n v="29.9"/>
    <n v="8.4000000000000005E-2"/>
    <n v="2004"/>
    <n v="20.6"/>
    <n v="6.3"/>
    <n v="2.4"/>
    <n v="3"/>
    <x v="0"/>
    <x v="3"/>
    <n v="1"/>
  </r>
  <r>
    <x v="4"/>
    <x v="23"/>
    <x v="676"/>
    <s v="Wisconsin"/>
    <n v="15"/>
    <n v="985"/>
    <n v="23963"/>
    <n v="10597"/>
    <n v="2151"/>
    <n v="3869"/>
    <n v="0.432"/>
    <n v="0.32500000000000001"/>
    <n v="0.79600000000000004"/>
    <n v="54.9"/>
    <n v="0.11"/>
    <n v="2004"/>
    <n v="24.3"/>
    <n v="10.8"/>
    <n v="2.2000000000000002"/>
    <n v="3.9"/>
    <x v="0"/>
    <x v="4"/>
    <n v="1"/>
  </r>
  <r>
    <x v="5"/>
    <x v="9"/>
    <x v="677"/>
    <s v="Stanford"/>
    <n v="8"/>
    <n v="391"/>
    <n v="10432"/>
    <n v="3548"/>
    <n v="1850"/>
    <n v="609"/>
    <n v="0.52200000000000002"/>
    <n v="0.32900000000000001"/>
    <n v="0.77900000000000003"/>
    <n v="25.7"/>
    <n v="0.11799999999999999"/>
    <n v="2004"/>
    <n v="26.7"/>
    <n v="9.1"/>
    <n v="4.7"/>
    <n v="1.6"/>
    <x v="0"/>
    <x v="5"/>
    <n v="1"/>
  </r>
  <r>
    <x v="6"/>
    <x v="15"/>
    <x v="678"/>
    <s v="Duke"/>
    <n v="15"/>
    <n v="902"/>
    <n v="30941"/>
    <n v="13361"/>
    <n v="5468"/>
    <n v="2042"/>
    <n v="0.45600000000000002"/>
    <n v="0.33200000000000002"/>
    <n v="0.76900000000000002"/>
    <n v="74"/>
    <n v="0.115"/>
    <n v="2004"/>
    <n v="34.299999999999997"/>
    <n v="14.8"/>
    <n v="6.1"/>
    <n v="2.2999999999999998"/>
    <x v="0"/>
    <x v="6"/>
    <n v="1"/>
  </r>
  <r>
    <x v="7"/>
    <x v="28"/>
    <x v="679"/>
    <s v="BYU"/>
    <n v="3"/>
    <n v="139"/>
    <n v="1585"/>
    <n v="389"/>
    <n v="395"/>
    <n v="41"/>
    <n v="0.40500000000000003"/>
    <n v="0.25"/>
    <n v="0.67900000000000005"/>
    <n v="-0.4"/>
    <n v="-1.2999999999999999E-2"/>
    <n v="2004"/>
    <n v="11.4"/>
    <n v="2.8"/>
    <n v="2.8"/>
    <n v="0.3"/>
    <x v="0"/>
    <x v="7"/>
    <n v="0"/>
  </r>
  <r>
    <x v="8"/>
    <x v="21"/>
    <x v="680"/>
    <s v="Arizona"/>
    <n v="18"/>
    <n v="1218"/>
    <n v="39309"/>
    <n v="13934"/>
    <n v="6016"/>
    <n v="5113"/>
    <n v="0.46300000000000002"/>
    <n v="0.33100000000000002"/>
    <n v="0.70899999999999996"/>
    <n v="100.2"/>
    <n v="0.122"/>
    <n v="2004"/>
    <n v="32.299999999999997"/>
    <n v="11.4"/>
    <n v="4.9000000000000004"/>
    <n v="4.2"/>
    <x v="0"/>
    <x v="8"/>
    <n v="1"/>
  </r>
  <r>
    <x v="9"/>
    <x v="25"/>
    <x v="681"/>
    <s v="Oregon"/>
    <n v="4"/>
    <n v="73"/>
    <n v="724"/>
    <n v="252"/>
    <n v="89"/>
    <n v="58"/>
    <n v="0.35699999999999998"/>
    <n v="0.36"/>
    <n v="0.73199999999999998"/>
    <n v="0.2"/>
    <n v="0.01"/>
    <n v="2004"/>
    <n v="9.9"/>
    <n v="3.5"/>
    <n v="1.2"/>
    <n v="0.8"/>
    <x v="0"/>
    <x v="9"/>
    <n v="0"/>
  </r>
  <r>
    <x v="10"/>
    <x v="10"/>
    <x v="682"/>
    <s v="NA"/>
    <n v="10"/>
    <n v="516"/>
    <n v="11146"/>
    <n v="3247"/>
    <n v="3631"/>
    <n v="467"/>
    <n v="0.59399999999999997"/>
    <n v="0"/>
    <n v="0.5"/>
    <n v="30.7"/>
    <n v="0.13200000000000001"/>
    <n v="2004"/>
    <n v="21.6"/>
    <n v="6.3"/>
    <n v="7"/>
    <n v="0.9"/>
    <x v="0"/>
    <x v="10"/>
    <n v="1"/>
  </r>
  <r>
    <x v="11"/>
    <x v="1"/>
    <x v="683"/>
    <s v="NA"/>
    <n v="4"/>
    <n v="97"/>
    <n v="1500"/>
    <n v="416"/>
    <n v="376"/>
    <n v="20"/>
    <n v="0.50600000000000001"/>
    <n v="0"/>
    <n v="0.61"/>
    <n v="1.7"/>
    <n v="5.3999999999999999E-2"/>
    <n v="2004"/>
    <n v="15.5"/>
    <n v="4.3"/>
    <n v="3.9"/>
    <n v="0.2"/>
    <x v="0"/>
    <x v="11"/>
    <n v="0"/>
  </r>
  <r>
    <x v="12"/>
    <x v="17"/>
    <x v="684"/>
    <s v="NA"/>
    <n v="10"/>
    <n v="564"/>
    <n v="12149"/>
    <n v="4183"/>
    <n v="898"/>
    <n v="1960"/>
    <n v="0.39"/>
    <n v="0.31900000000000001"/>
    <n v="0.77700000000000002"/>
    <n v="5"/>
    <n v="0.02"/>
    <n v="2004"/>
    <n v="21.5"/>
    <n v="7.4"/>
    <n v="1.6"/>
    <n v="3.5"/>
    <x v="0"/>
    <x v="12"/>
    <n v="1"/>
  </r>
  <r>
    <x v="13"/>
    <x v="22"/>
    <x v="685"/>
    <s v="Minnesota"/>
    <n v="13"/>
    <n v="800"/>
    <n v="14232"/>
    <n v="5350"/>
    <n v="4314"/>
    <n v="556"/>
    <n v="0.46300000000000002"/>
    <n v="0.29299999999999998"/>
    <n v="0.7"/>
    <n v="30.3"/>
    <n v="0.10199999999999999"/>
    <n v="2004"/>
    <n v="17.8"/>
    <n v="6.7"/>
    <n v="5.4"/>
    <n v="0.7"/>
    <x v="0"/>
    <x v="13"/>
    <n v="1"/>
  </r>
  <r>
    <x v="14"/>
    <x v="14"/>
    <x v="686"/>
    <s v="NA"/>
    <n v="14"/>
    <n v="915"/>
    <n v="26299"/>
    <n v="14343"/>
    <n v="7690"/>
    <n v="1347"/>
    <n v="0.499"/>
    <n v="0.121"/>
    <n v="0.71099999999999997"/>
    <n v="71"/>
    <n v="0.13"/>
    <n v="2004"/>
    <n v="28.7"/>
    <n v="15.7"/>
    <n v="8.4"/>
    <n v="1.5"/>
    <x v="0"/>
    <x v="14"/>
    <n v="1"/>
  </r>
  <r>
    <x v="15"/>
    <x v="22"/>
    <x v="687"/>
    <s v="Nevada"/>
    <n v="4"/>
    <n v="211"/>
    <n v="3540"/>
    <n v="1333"/>
    <n v="491"/>
    <n v="241"/>
    <n v="0.438"/>
    <n v="0.32700000000000001"/>
    <n v="0.69899999999999995"/>
    <n v="4.5"/>
    <n v="6.0999999999999999E-2"/>
    <n v="2004"/>
    <n v="16.8"/>
    <n v="6.3"/>
    <n v="2.2999999999999998"/>
    <n v="1.1000000000000001"/>
    <x v="0"/>
    <x v="15"/>
    <n v="0"/>
  </r>
  <r>
    <x v="16"/>
    <x v="9"/>
    <x v="688"/>
    <s v="NA"/>
    <n v="13"/>
    <n v="894"/>
    <n v="29000"/>
    <n v="12996"/>
    <n v="6653"/>
    <n v="2789"/>
    <n v="0.45200000000000001"/>
    <n v="0.28499999999999998"/>
    <n v="0.63200000000000001"/>
    <n v="51"/>
    <n v="8.4000000000000005E-2"/>
    <n v="2004"/>
    <n v="32.4"/>
    <n v="14.5"/>
    <n v="7.4"/>
    <n v="3.1"/>
    <x v="0"/>
    <x v="16"/>
    <n v="1"/>
  </r>
  <r>
    <x v="17"/>
    <x v="29"/>
    <x v="689"/>
    <s v="NA"/>
    <n v="16"/>
    <n v="977"/>
    <n v="26275"/>
    <n v="12148"/>
    <n v="3073"/>
    <n v="2077"/>
    <n v="0.41899999999999998"/>
    <n v="0.373"/>
    <n v="0.73299999999999998"/>
    <n v="46.3"/>
    <n v="8.4000000000000005E-2"/>
    <n v="2004"/>
    <n v="26.9"/>
    <n v="12.4"/>
    <n v="3.1"/>
    <n v="2.1"/>
    <x v="0"/>
    <x v="17"/>
    <n v="1"/>
  </r>
  <r>
    <x v="18"/>
    <x v="8"/>
    <x v="690"/>
    <s v="NA"/>
    <n v="11"/>
    <n v="549"/>
    <n v="12280"/>
    <n v="4597"/>
    <n v="2093"/>
    <n v="850"/>
    <n v="0.42399999999999999"/>
    <n v="0.36499999999999999"/>
    <n v="0.80600000000000005"/>
    <n v="25.9"/>
    <n v="0.10100000000000001"/>
    <n v="2004"/>
    <n v="22.4"/>
    <n v="8.4"/>
    <n v="3.8"/>
    <n v="1.5"/>
    <x v="0"/>
    <x v="18"/>
    <n v="1"/>
  </r>
  <r>
    <x v="19"/>
    <x v="2"/>
    <x v="691"/>
    <s v="Saint Joseph's"/>
    <n v="14"/>
    <n v="878"/>
    <n v="24539"/>
    <n v="9940"/>
    <n v="2595"/>
    <n v="4508"/>
    <n v="0.436"/>
    <n v="0.36799999999999999"/>
    <n v="0.81"/>
    <n v="48.3"/>
    <n v="9.4E-2"/>
    <n v="2004"/>
    <n v="27.9"/>
    <n v="11.3"/>
    <n v="3"/>
    <n v="5.0999999999999996"/>
    <x v="0"/>
    <x v="19"/>
    <n v="1"/>
  </r>
  <r>
    <x v="20"/>
    <x v="22"/>
    <x v="692"/>
    <s v="NA"/>
    <n v="2"/>
    <n v="6"/>
    <n v="28"/>
    <n v="4"/>
    <n v="9"/>
    <n v="0"/>
    <n v="0"/>
    <n v="0"/>
    <n v="0.5"/>
    <n v="-0.1"/>
    <n v="-0.16300000000000001"/>
    <n v="2004"/>
    <n v="4.7"/>
    <n v="0.7"/>
    <n v="1.5"/>
    <n v="0"/>
    <x v="0"/>
    <x v="20"/>
    <n v="0"/>
  </r>
  <r>
    <x v="21"/>
    <x v="0"/>
    <x v="693"/>
    <s v="NA"/>
    <n v="4"/>
    <n v="143"/>
    <n v="2351"/>
    <n v="643"/>
    <n v="492"/>
    <n v="142"/>
    <n v="0.443"/>
    <n v="0.29199999999999998"/>
    <n v="0.65800000000000003"/>
    <n v="2"/>
    <n v="4.1000000000000002E-2"/>
    <n v="2004"/>
    <n v="16.399999999999999"/>
    <n v="4.5"/>
    <n v="3.4"/>
    <n v="1"/>
    <x v="0"/>
    <x v="21"/>
    <n v="0"/>
  </r>
  <r>
    <x v="22"/>
    <x v="17"/>
    <x v="694"/>
    <s v="NA"/>
    <n v="1"/>
    <n v="26"/>
    <n v="343"/>
    <n v="77"/>
    <n v="52"/>
    <n v="19"/>
    <n v="0.33300000000000002"/>
    <n v="0.26500000000000001"/>
    <n v="0.71399999999999997"/>
    <n v="-0.2"/>
    <n v="-2.5000000000000001E-2"/>
    <n v="2004"/>
    <n v="13.2"/>
    <n v="3"/>
    <n v="2"/>
    <n v="0.7"/>
    <x v="0"/>
    <x v="22"/>
    <n v="0"/>
  </r>
  <r>
    <x v="23"/>
    <x v="14"/>
    <x v="695"/>
    <s v="Saint Joseph's"/>
    <n v="8"/>
    <n v="432"/>
    <n v="11842"/>
    <n v="4198"/>
    <n v="1265"/>
    <n v="1540"/>
    <n v="0.44800000000000001"/>
    <n v="0.372"/>
    <n v="0.82599999999999996"/>
    <n v="24.5"/>
    <n v="9.9000000000000005E-2"/>
    <n v="2004"/>
    <n v="27.4"/>
    <n v="9.6999999999999993"/>
    <n v="2.9"/>
    <n v="3.6"/>
    <x v="0"/>
    <x v="23"/>
    <n v="1"/>
  </r>
  <r>
    <x v="24"/>
    <x v="14"/>
    <x v="696"/>
    <s v="Oklahoma State"/>
    <n v="14"/>
    <n v="820"/>
    <n v="18055"/>
    <n v="6654"/>
    <n v="2884"/>
    <n v="1077"/>
    <n v="0.47499999999999998"/>
    <n v="0.28199999999999997"/>
    <n v="0.70899999999999996"/>
    <n v="38.700000000000003"/>
    <n v="0.10299999999999999"/>
    <n v="2004"/>
    <n v="22"/>
    <n v="8.1"/>
    <n v="3.5"/>
    <n v="1.3"/>
    <x v="0"/>
    <x v="24"/>
    <n v="1"/>
  </r>
  <r>
    <x v="25"/>
    <x v="6"/>
    <x v="697"/>
    <s v="Western Carolina University"/>
    <n v="12"/>
    <n v="714"/>
    <n v="21559"/>
    <n v="12396"/>
    <n v="2278"/>
    <n v="1352"/>
    <n v="0.437"/>
    <n v="0.38400000000000001"/>
    <n v="0.87"/>
    <n v="61.3"/>
    <n v="0.13700000000000001"/>
    <n v="2004"/>
    <n v="30.2"/>
    <n v="17.399999999999999"/>
    <n v="3.2"/>
    <n v="1.9"/>
    <x v="0"/>
    <x v="25"/>
    <n v="1"/>
  </r>
  <r>
    <x v="26"/>
    <x v="19"/>
    <x v="698"/>
    <s v="NA"/>
    <n v="10"/>
    <n v="581"/>
    <n v="8908"/>
    <n v="3094"/>
    <n v="1093"/>
    <n v="748"/>
    <n v="0.39"/>
    <n v="0.36699999999999999"/>
    <n v="0.85799999999999998"/>
    <n v="16"/>
    <n v="8.5999999999999993E-2"/>
    <n v="2004"/>
    <n v="15.3"/>
    <n v="5.3"/>
    <n v="1.9"/>
    <n v="1.3"/>
    <x v="0"/>
    <x v="26"/>
    <n v="1"/>
  </r>
  <r>
    <x v="27"/>
    <x v="16"/>
    <x v="699"/>
    <s v="NA"/>
    <n v="13"/>
    <n v="831"/>
    <n v="18185"/>
    <n v="6952"/>
    <n v="1712"/>
    <n v="2858"/>
    <n v="0.46300000000000002"/>
    <n v="0.34899999999999998"/>
    <n v="0.83299999999999996"/>
    <n v="31.4"/>
    <n v="8.3000000000000004E-2"/>
    <n v="2004"/>
    <n v="21.9"/>
    <n v="8.4"/>
    <n v="2.1"/>
    <n v="3.4"/>
    <x v="0"/>
    <x v="27"/>
    <n v="1"/>
  </r>
  <r>
    <x v="28"/>
    <x v="24"/>
    <x v="700"/>
    <s v="Colorado"/>
    <n v="4"/>
    <n v="189"/>
    <n v="2686"/>
    <n v="949"/>
    <n v="549"/>
    <n v="47"/>
    <n v="0.53"/>
    <n v="0"/>
    <n v="0.52500000000000002"/>
    <n v="3.2"/>
    <n v="5.7000000000000002E-2"/>
    <n v="2004"/>
    <n v="14.2"/>
    <n v="5"/>
    <n v="2.9"/>
    <n v="0.2"/>
    <x v="0"/>
    <x v="28"/>
    <n v="0"/>
  </r>
  <r>
    <x v="29"/>
    <x v="3"/>
    <x v="701"/>
    <s v="NA"/>
    <n v="14"/>
    <n v="632"/>
    <n v="15087"/>
    <n v="4574"/>
    <n v="4531"/>
    <n v="737"/>
    <n v="0.50900000000000001"/>
    <n v="2.3E-2"/>
    <n v="0.63"/>
    <n v="46.4"/>
    <n v="0.14799999999999999"/>
    <n v="2004"/>
    <n v="23.9"/>
    <n v="7.2"/>
    <n v="7.2"/>
    <n v="1.2"/>
    <x v="1"/>
    <x v="0"/>
    <n v="1"/>
  </r>
  <r>
    <x v="30"/>
    <x v="20"/>
    <x v="702"/>
    <s v="Iowa State"/>
    <n v="2"/>
    <n v="87"/>
    <n v="1111"/>
    <n v="285"/>
    <n v="261"/>
    <n v="51"/>
    <n v="0.40799999999999997"/>
    <n v="0"/>
    <n v="0.57999999999999996"/>
    <n v="0"/>
    <n v="1E-3"/>
    <n v="2004"/>
    <n v="12.8"/>
    <n v="3.3"/>
    <n v="3"/>
    <n v="0.6"/>
    <x v="1"/>
    <x v="1"/>
    <n v="0"/>
  </r>
  <r>
    <x v="31"/>
    <x v="23"/>
    <x v="703"/>
    <s v="NA"/>
    <n v="1"/>
    <n v="6"/>
    <n v="20"/>
    <n v="11"/>
    <n v="4"/>
    <n v="0"/>
    <n v="0.5"/>
    <n v="0"/>
    <n v="0.5"/>
    <n v="0"/>
    <n v="-0.108"/>
    <n v="2004"/>
    <n v="3.3"/>
    <n v="1.8"/>
    <n v="0.7"/>
    <n v="0"/>
    <x v="1"/>
    <x v="2"/>
    <n v="0"/>
  </r>
  <r>
    <x v="32"/>
    <x v="7"/>
    <x v="704"/>
    <s v="Xavier"/>
    <n v="1"/>
    <n v="36"/>
    <n v="433"/>
    <n v="111"/>
    <n v="31"/>
    <n v="51"/>
    <n v="0.33600000000000002"/>
    <n v="0.245"/>
    <n v="0.625"/>
    <n v="-0.2"/>
    <n v="-2.5000000000000001E-2"/>
    <n v="2004"/>
    <n v="12"/>
    <n v="3.1"/>
    <n v="0.9"/>
    <n v="1.4"/>
    <x v="1"/>
    <x v="3"/>
    <n v="0"/>
  </r>
  <r>
    <x v="33"/>
    <x v="9"/>
    <x v="705"/>
    <s v="Southeastern Illinois College"/>
    <n v="2"/>
    <n v="61"/>
    <n v="560"/>
    <n v="165"/>
    <n v="66"/>
    <n v="48"/>
    <n v="0.42099999999999999"/>
    <n v="0.308"/>
    <n v="0.65"/>
    <n v="0.5"/>
    <n v="4.2999999999999997E-2"/>
    <n v="2004"/>
    <n v="9.1999999999999993"/>
    <n v="2.7"/>
    <n v="1.1000000000000001"/>
    <n v="0.8"/>
    <x v="1"/>
    <x v="4"/>
    <n v="0"/>
  </r>
  <r>
    <x v="34"/>
    <x v="1"/>
    <x v="706"/>
    <s v="Texas Tech"/>
    <n v="2"/>
    <n v="14"/>
    <n v="73"/>
    <n v="20"/>
    <n v="8"/>
    <n v="1"/>
    <n v="0.46200000000000002"/>
    <n v="0"/>
    <n v="0.61499999999999999"/>
    <n v="0.1"/>
    <n v="0.04"/>
    <n v="2004"/>
    <n v="5.2"/>
    <n v="1.4"/>
    <n v="0.6"/>
    <n v="0.1"/>
    <x v="1"/>
    <x v="5"/>
    <n v="0"/>
  </r>
  <r>
    <x v="35"/>
    <x v="3"/>
    <x v="707"/>
    <s v="Memphis"/>
    <n v="2"/>
    <n v="81"/>
    <n v="789"/>
    <n v="186"/>
    <n v="49"/>
    <n v="104"/>
    <n v="0.38700000000000001"/>
    <n v="0.23499999999999999"/>
    <n v="0.57099999999999995"/>
    <n v="0.1"/>
    <n v="4.0000000000000001E-3"/>
    <n v="2004"/>
    <n v="9.6999999999999993"/>
    <n v="2.2999999999999998"/>
    <n v="0.6"/>
    <n v="1.3"/>
    <x v="1"/>
    <x v="6"/>
    <n v="0"/>
  </r>
  <r>
    <x v="36"/>
    <x v="9"/>
    <x v="708"/>
    <s v="Texas"/>
    <n v="10"/>
    <n v="492"/>
    <n v="6162"/>
    <n v="1641"/>
    <n v="557"/>
    <n v="501"/>
    <n v="0.40600000000000003"/>
    <n v="0.36099999999999999"/>
    <n v="0.70599999999999996"/>
    <n v="4.5"/>
    <n v="3.5000000000000003E-2"/>
    <n v="2004"/>
    <n v="12.5"/>
    <n v="3.3"/>
    <n v="1.1000000000000001"/>
    <n v="1"/>
    <x v="1"/>
    <x v="7"/>
    <n v="1"/>
  </r>
  <r>
    <x v="37"/>
    <x v="20"/>
    <x v="709"/>
    <s v="Duke"/>
    <n v="9"/>
    <n v="606"/>
    <n v="15526"/>
    <n v="3946"/>
    <n v="1364"/>
    <n v="2690"/>
    <n v="0.39300000000000002"/>
    <n v="0.36299999999999999"/>
    <n v="0.78400000000000003"/>
    <n v="25"/>
    <n v="7.6999999999999999E-2"/>
    <n v="2004"/>
    <n v="25.6"/>
    <n v="6.5"/>
    <n v="2.2999999999999998"/>
    <n v="4.4000000000000004"/>
    <x v="1"/>
    <x v="8"/>
    <n v="1"/>
  </r>
  <r>
    <x v="39"/>
    <x v="14"/>
    <x v="710"/>
    <s v="Ole Miss"/>
    <n v="3"/>
    <n v="136"/>
    <n v="1436"/>
    <n v="472"/>
    <n v="186"/>
    <n v="68"/>
    <n v="0.40400000000000003"/>
    <n v="0"/>
    <n v="0.752"/>
    <n v="0.5"/>
    <n v="1.6E-2"/>
    <n v="2004"/>
    <n v="10.6"/>
    <n v="3.5"/>
    <n v="1.4"/>
    <n v="0.5"/>
    <x v="1"/>
    <x v="10"/>
    <n v="0"/>
  </r>
  <r>
    <x v="42"/>
    <x v="13"/>
    <x v="711"/>
    <s v="UCLA"/>
    <n v="18"/>
    <n v="1114"/>
    <n v="32876"/>
    <n v="11576"/>
    <n v="5341"/>
    <n v="2375"/>
    <n v="0.42199999999999999"/>
    <n v="0.35199999999999998"/>
    <n v="0.73099999999999998"/>
    <n v="64.400000000000006"/>
    <n v="9.4E-2"/>
    <n v="2004"/>
    <n v="29.5"/>
    <n v="10.4"/>
    <n v="4.8"/>
    <n v="2.1"/>
    <x v="1"/>
    <x v="13"/>
    <n v="1"/>
  </r>
  <r>
    <x v="44"/>
    <x v="4"/>
    <x v="712"/>
    <s v="Michigan"/>
    <n v="3"/>
    <n v="128"/>
    <n v="1909"/>
    <n v="576"/>
    <n v="315"/>
    <n v="126"/>
    <n v="0.41699999999999998"/>
    <n v="0.161"/>
    <n v="0.78600000000000003"/>
    <n v="2"/>
    <n v="4.9000000000000002E-2"/>
    <n v="2004"/>
    <n v="14.9"/>
    <n v="4.5"/>
    <n v="2.5"/>
    <n v="1"/>
    <x v="1"/>
    <x v="15"/>
    <n v="0"/>
  </r>
  <r>
    <x v="45"/>
    <x v="17"/>
    <x v="713"/>
    <s v="NA"/>
    <n v="2"/>
    <n v="46"/>
    <n v="316"/>
    <n v="70"/>
    <n v="67"/>
    <n v="3"/>
    <n v="0.51900000000000002"/>
    <n v="0"/>
    <n v="0.5"/>
    <n v="-0.2"/>
    <n v="-2.9000000000000001E-2"/>
    <n v="2004"/>
    <n v="6.9"/>
    <n v="1.5"/>
    <n v="1.5"/>
    <n v="0.1"/>
    <x v="1"/>
    <x v="16"/>
    <n v="0"/>
  </r>
  <r>
    <x v="46"/>
    <x v="8"/>
    <x v="714"/>
    <s v="Cal State Fullerton"/>
    <n v="3"/>
    <n v="76"/>
    <n v="879"/>
    <n v="219"/>
    <n v="214"/>
    <n v="12"/>
    <n v="0.41599999999999998"/>
    <n v="0"/>
    <n v="0.67800000000000005"/>
    <n v="0.8"/>
    <n v="4.3999999999999997E-2"/>
    <n v="2004"/>
    <n v="11.6"/>
    <n v="2.9"/>
    <n v="2.8"/>
    <n v="0.2"/>
    <x v="1"/>
    <x v="17"/>
    <n v="0"/>
  </r>
  <r>
    <x v="48"/>
    <x v="26"/>
    <x v="715"/>
    <s v="NA"/>
    <n v="1"/>
    <n v="31"/>
    <n v="272"/>
    <n v="85"/>
    <n v="22"/>
    <n v="28"/>
    <n v="0.31900000000000001"/>
    <n v="0.17199999999999999"/>
    <n v="0.81"/>
    <n v="-0.1"/>
    <n v="-0.01"/>
    <n v="2004"/>
    <n v="8.8000000000000007"/>
    <n v="2.7"/>
    <n v="0.7"/>
    <n v="0.9"/>
    <x v="1"/>
    <x v="20"/>
    <n v="0"/>
  </r>
  <r>
    <x v="57"/>
    <x v="8"/>
    <x v="716"/>
    <s v="Vanderbilt"/>
    <n v="2"/>
    <n v="42"/>
    <n v="588"/>
    <n v="133"/>
    <n v="85"/>
    <n v="27"/>
    <n v="0.29299999999999998"/>
    <n v="0.224"/>
    <n v="0.71399999999999997"/>
    <n v="-0.6"/>
    <n v="-4.7E-2"/>
    <n v="2004"/>
    <n v="14"/>
    <n v="3.2"/>
    <n v="2"/>
    <n v="0.6"/>
    <x v="1"/>
    <x v="23"/>
    <n v="0"/>
  </r>
  <r>
    <x v="53"/>
    <x v="11"/>
    <x v="717"/>
    <s v="Manhattan College"/>
    <n v="1"/>
    <n v="16"/>
    <n v="77"/>
    <n v="35"/>
    <n v="3"/>
    <n v="11"/>
    <n v="0.48299999999999998"/>
    <n v="0.5"/>
    <n v="1"/>
    <n v="0"/>
    <n v="-0.02"/>
    <n v="2004"/>
    <n v="4.8"/>
    <n v="2.2000000000000002"/>
    <n v="0.2"/>
    <n v="0.7"/>
    <x v="1"/>
    <x v="25"/>
    <n v="0"/>
  </r>
  <r>
    <x v="0"/>
    <x v="12"/>
    <x v="718"/>
    <s v="Utah"/>
    <n v="14"/>
    <n v="706"/>
    <n v="19862"/>
    <n v="6808"/>
    <n v="6112"/>
    <n v="1546"/>
    <n v="0.53500000000000003"/>
    <n v="0.12"/>
    <n v="0.55700000000000005"/>
    <n v="50.6"/>
    <n v="0.122"/>
    <n v="2005"/>
    <n v="28.1"/>
    <n v="9.6"/>
    <n v="8.6999999999999993"/>
    <n v="2.2000000000000002"/>
    <x v="0"/>
    <x v="0"/>
    <n v="1"/>
  </r>
  <r>
    <x v="1"/>
    <x v="9"/>
    <x v="719"/>
    <s v="UNC"/>
    <n v="15"/>
    <n v="1072"/>
    <n v="30159"/>
    <n v="10965"/>
    <n v="5546"/>
    <n v="1373"/>
    <n v="0.443"/>
    <n v="0.36099999999999999"/>
    <n v="0.80800000000000005"/>
    <n v="65.099999999999994"/>
    <n v="0.104"/>
    <n v="2005"/>
    <n v="28.1"/>
    <n v="10.199999999999999"/>
    <n v="5.2"/>
    <n v="1.3"/>
    <x v="0"/>
    <x v="1"/>
    <n v="1"/>
  </r>
  <r>
    <x v="2"/>
    <x v="22"/>
    <x v="720"/>
    <s v="Illinois"/>
    <n v="12"/>
    <n v="845"/>
    <n v="28865"/>
    <n v="13804"/>
    <n v="2619"/>
    <n v="6819"/>
    <n v="0.44500000000000001"/>
    <n v="0.35699999999999998"/>
    <n v="0.82199999999999995"/>
    <n v="77.3"/>
    <n v="0.129"/>
    <n v="2005"/>
    <n v="34.200000000000003"/>
    <n v="16.3"/>
    <n v="3.1"/>
    <n v="8.1"/>
    <x v="0"/>
    <x v="2"/>
    <n v="1"/>
  </r>
  <r>
    <x v="3"/>
    <x v="29"/>
    <x v="721"/>
    <s v="Wake Forest"/>
    <n v="17"/>
    <n v="1148"/>
    <n v="39673"/>
    <n v="20844"/>
    <n v="5182"/>
    <n v="10894"/>
    <n v="0.47299999999999998"/>
    <n v="0.37"/>
    <n v="0.872"/>
    <n v="198.2"/>
    <n v="0.24"/>
    <n v="2005"/>
    <n v="34.6"/>
    <n v="18.2"/>
    <n v="4.5"/>
    <n v="9.5"/>
    <x v="0"/>
    <x v="3"/>
    <n v="1"/>
  </r>
  <r>
    <x v="4"/>
    <x v="4"/>
    <x v="722"/>
    <s v="UNC"/>
    <n v="14"/>
    <n v="971"/>
    <n v="28829"/>
    <n v="10853"/>
    <n v="2867"/>
    <n v="5096"/>
    <n v="0.41199999999999998"/>
    <n v="0.32900000000000001"/>
    <n v="0.79"/>
    <n v="40.200000000000003"/>
    <n v="6.7000000000000004E-2"/>
    <n v="2005"/>
    <n v="29.7"/>
    <n v="11.2"/>
    <n v="3"/>
    <n v="5.2"/>
    <x v="0"/>
    <x v="4"/>
    <n v="1"/>
  </r>
  <r>
    <x v="5"/>
    <x v="17"/>
    <x v="723"/>
    <s v="NA"/>
    <n v="10"/>
    <n v="580"/>
    <n v="13914"/>
    <n v="5056"/>
    <n v="1811"/>
    <n v="588"/>
    <n v="0.41799999999999998"/>
    <n v="0.38200000000000001"/>
    <n v="0.79100000000000004"/>
    <n v="24.7"/>
    <n v="8.5000000000000006E-2"/>
    <n v="2005"/>
    <n v="24"/>
    <n v="8.6999999999999993"/>
    <n v="3.1"/>
    <n v="1"/>
    <x v="0"/>
    <x v="5"/>
    <n v="1"/>
  </r>
  <r>
    <x v="6"/>
    <x v="28"/>
    <x v="724"/>
    <s v="UConn"/>
    <n v="11"/>
    <n v="656"/>
    <n v="13578"/>
    <n v="6808"/>
    <n v="3019"/>
    <n v="549"/>
    <n v="0.435"/>
    <n v="0.34100000000000003"/>
    <n v="0.77200000000000002"/>
    <n v="22.6"/>
    <n v="0.08"/>
    <n v="2005"/>
    <n v="20.7"/>
    <n v="10.4"/>
    <n v="4.5999999999999996"/>
    <n v="0.8"/>
    <x v="0"/>
    <x v="6"/>
    <n v="1"/>
  </r>
  <r>
    <x v="7"/>
    <x v="13"/>
    <x v="725"/>
    <s v="Arizona"/>
    <n v="13"/>
    <n v="890"/>
    <n v="19772"/>
    <n v="7786"/>
    <n v="4002"/>
    <n v="864"/>
    <n v="0.44"/>
    <n v="0.38800000000000001"/>
    <n v="0.82199999999999995"/>
    <n v="38.9"/>
    <n v="9.4E-2"/>
    <n v="2005"/>
    <n v="22.2"/>
    <n v="8.6999999999999993"/>
    <n v="4.5"/>
    <n v="1"/>
    <x v="0"/>
    <x v="7"/>
    <n v="1"/>
  </r>
  <r>
    <x v="8"/>
    <x v="10"/>
    <x v="726"/>
    <s v="Arizona State"/>
    <n v="6"/>
    <n v="225"/>
    <n v="2795"/>
    <n v="1348"/>
    <n v="689"/>
    <n v="69"/>
    <n v="0.50900000000000001"/>
    <n v="0.5"/>
    <n v="0.78600000000000003"/>
    <n v="6.5"/>
    <n v="0.112"/>
    <n v="2005"/>
    <n v="12.4"/>
    <n v="6"/>
    <n v="3.1"/>
    <n v="0.3"/>
    <x v="0"/>
    <x v="8"/>
    <n v="1"/>
  </r>
  <r>
    <x v="9"/>
    <x v="19"/>
    <x v="727"/>
    <s v="NA"/>
    <n v="8"/>
    <n v="418"/>
    <n v="10690"/>
    <n v="4822"/>
    <n v="3221"/>
    <n v="490"/>
    <n v="0.55600000000000005"/>
    <n v="0.111"/>
    <n v="0.69"/>
    <n v="37.4"/>
    <n v="0.16800000000000001"/>
    <n v="2005"/>
    <n v="25.6"/>
    <n v="11.5"/>
    <n v="7.7"/>
    <n v="1.2"/>
    <x v="0"/>
    <x v="9"/>
    <n v="1"/>
  </r>
  <r>
    <x v="11"/>
    <x v="7"/>
    <x v="728"/>
    <s v="NA"/>
    <n v="2"/>
    <n v="34"/>
    <n v="168"/>
    <n v="39"/>
    <n v="16"/>
    <n v="13"/>
    <n v="0.28299999999999997"/>
    <n v="0.25"/>
    <n v="0.625"/>
    <n v="-0.1"/>
    <n v="-2.4E-2"/>
    <n v="2005"/>
    <n v="4.9000000000000004"/>
    <n v="1.1000000000000001"/>
    <n v="0.5"/>
    <n v="0.4"/>
    <x v="0"/>
    <x v="11"/>
    <n v="0"/>
  </r>
  <r>
    <x v="12"/>
    <x v="4"/>
    <x v="729"/>
    <s v="UNC"/>
    <n v="4"/>
    <n v="119"/>
    <n v="1868"/>
    <n v="821"/>
    <n v="481"/>
    <n v="115"/>
    <n v="0.45800000000000002"/>
    <n v="0.23100000000000001"/>
    <n v="0.746"/>
    <n v="2.6"/>
    <n v="6.8000000000000005E-2"/>
    <n v="2005"/>
    <n v="15.7"/>
    <n v="6.9"/>
    <n v="4"/>
    <n v="1"/>
    <x v="0"/>
    <x v="12"/>
    <n v="0"/>
  </r>
  <r>
    <x v="13"/>
    <x v="5"/>
    <x v="730"/>
    <s v="UNC"/>
    <n v="4"/>
    <n v="249"/>
    <n v="5037"/>
    <n v="2479"/>
    <n v="506"/>
    <n v="331"/>
    <n v="0.43099999999999999"/>
    <n v="0.36799999999999999"/>
    <n v="0.74099999999999999"/>
    <n v="3.6"/>
    <n v="3.5000000000000003E-2"/>
    <n v="2005"/>
    <n v="20.2"/>
    <n v="10"/>
    <n v="2"/>
    <n v="1.3"/>
    <x v="0"/>
    <x v="13"/>
    <n v="0"/>
  </r>
  <r>
    <x v="14"/>
    <x v="0"/>
    <x v="731"/>
    <s v="Texas A&amp;M"/>
    <n v="6"/>
    <n v="297"/>
    <n v="5714"/>
    <n v="1614"/>
    <n v="681"/>
    <n v="295"/>
    <n v="0.41199999999999998"/>
    <n v="0.30399999999999999"/>
    <n v="0.67400000000000004"/>
    <n v="3.1"/>
    <n v="2.5999999999999999E-2"/>
    <n v="2005"/>
    <n v="19.2"/>
    <n v="5.4"/>
    <n v="2.2999999999999998"/>
    <n v="1"/>
    <x v="0"/>
    <x v="14"/>
    <n v="1"/>
  </r>
  <r>
    <x v="15"/>
    <x v="28"/>
    <x v="732"/>
    <s v="Oklahoma State"/>
    <n v="6"/>
    <n v="377"/>
    <n v="6117"/>
    <n v="2239"/>
    <n v="1058"/>
    <n v="207"/>
    <n v="0.48299999999999998"/>
    <n v="0.3"/>
    <n v="0.81499999999999995"/>
    <n v="7.8"/>
    <n v="6.0999999999999999E-2"/>
    <n v="2005"/>
    <n v="16.2"/>
    <n v="5.9"/>
    <n v="2.8"/>
    <n v="0.5"/>
    <x v="0"/>
    <x v="15"/>
    <n v="1"/>
  </r>
  <r>
    <x v="16"/>
    <x v="24"/>
    <x v="733"/>
    <s v="New Mexico"/>
    <n v="10"/>
    <n v="586"/>
    <n v="18487"/>
    <n v="9855"/>
    <n v="2888"/>
    <n v="1097"/>
    <n v="0.434"/>
    <n v="0.38"/>
    <n v="0.84799999999999998"/>
    <n v="48.5"/>
    <n v="0.126"/>
    <n v="2005"/>
    <n v="31.5"/>
    <n v="16.8"/>
    <n v="4.9000000000000004"/>
    <n v="1.9"/>
    <x v="0"/>
    <x v="16"/>
    <n v="1"/>
  </r>
  <r>
    <x v="17"/>
    <x v="14"/>
    <x v="734"/>
    <s v="NA"/>
    <n v="12"/>
    <n v="658"/>
    <n v="13026"/>
    <n v="6412"/>
    <n v="1639"/>
    <n v="596"/>
    <n v="0.41699999999999998"/>
    <n v="0.36099999999999999"/>
    <n v="0.81799999999999995"/>
    <n v="18.399999999999999"/>
    <n v="6.8000000000000005E-2"/>
    <n v="2005"/>
    <n v="19.8"/>
    <n v="9.6999999999999993"/>
    <n v="2.5"/>
    <n v="0.9"/>
    <x v="0"/>
    <x v="17"/>
    <n v="1"/>
  </r>
  <r>
    <x v="18"/>
    <x v="27"/>
    <x v="735"/>
    <s v="Syracuse"/>
    <n v="8"/>
    <n v="526"/>
    <n v="10624"/>
    <n v="4947"/>
    <n v="2117"/>
    <n v="400"/>
    <n v="0.49"/>
    <n v="0.191"/>
    <n v="0.72599999999999998"/>
    <n v="20.399999999999999"/>
    <n v="9.1999999999999998E-2"/>
    <n v="2005"/>
    <n v="20.2"/>
    <n v="9.4"/>
    <n v="4"/>
    <n v="0.8"/>
    <x v="0"/>
    <x v="18"/>
    <n v="1"/>
  </r>
  <r>
    <x v="19"/>
    <x v="2"/>
    <x v="736"/>
    <s v="NC State"/>
    <n v="2"/>
    <n v="23"/>
    <n v="98"/>
    <n v="28"/>
    <n v="15"/>
    <n v="18"/>
    <n v="0.44"/>
    <n v="0"/>
    <n v="0.5"/>
    <n v="0"/>
    <n v="3.0000000000000001E-3"/>
    <n v="2005"/>
    <n v="4.3"/>
    <n v="1.2"/>
    <n v="0.7"/>
    <n v="0.8"/>
    <x v="0"/>
    <x v="19"/>
    <n v="0"/>
  </r>
  <r>
    <x v="20"/>
    <x v="15"/>
    <x v="737"/>
    <s v="Washington"/>
    <n v="11"/>
    <n v="618"/>
    <n v="13878"/>
    <n v="6807"/>
    <n v="1446"/>
    <n v="1826"/>
    <n v="0.42299999999999999"/>
    <n v="0.36"/>
    <n v="0.79600000000000004"/>
    <n v="27.8"/>
    <n v="9.6000000000000002E-2"/>
    <n v="2005"/>
    <n v="22.5"/>
    <n v="11"/>
    <n v="2.2999999999999998"/>
    <n v="3"/>
    <x v="0"/>
    <x v="20"/>
    <n v="1"/>
  </r>
  <r>
    <x v="21"/>
    <x v="2"/>
    <x v="738"/>
    <s v="Georgia Tech"/>
    <n v="13"/>
    <n v="867"/>
    <n v="24140"/>
    <n v="9349"/>
    <n v="2487"/>
    <n v="3952"/>
    <n v="0.44"/>
    <n v="0.34300000000000003"/>
    <n v="0.85499999999999998"/>
    <n v="36.799999999999997"/>
    <n v="7.2999999999999995E-2"/>
    <n v="2005"/>
    <n v="27.8"/>
    <n v="10.8"/>
    <n v="2.9"/>
    <n v="4.5999999999999996"/>
    <x v="0"/>
    <x v="21"/>
    <n v="1"/>
  </r>
  <r>
    <x v="22"/>
    <x v="6"/>
    <x v="739"/>
    <s v="Louisville"/>
    <n v="10"/>
    <n v="549"/>
    <n v="11853"/>
    <n v="4323"/>
    <n v="1400"/>
    <n v="747"/>
    <n v="0.42699999999999999"/>
    <n v="0.35699999999999998"/>
    <n v="0.79900000000000004"/>
    <n v="18.2"/>
    <n v="7.3999999999999996E-2"/>
    <n v="2005"/>
    <n v="21.6"/>
    <n v="7.9"/>
    <n v="2.6"/>
    <n v="1.4"/>
    <x v="0"/>
    <x v="22"/>
    <n v="1"/>
  </r>
  <r>
    <x v="23"/>
    <x v="11"/>
    <x v="740"/>
    <s v="Illinois"/>
    <n v="6"/>
    <n v="348"/>
    <n v="7797"/>
    <n v="2842"/>
    <n v="845"/>
    <n v="747"/>
    <n v="0.42299999999999999"/>
    <n v="0.38800000000000001"/>
    <n v="0.77300000000000002"/>
    <n v="14.7"/>
    <n v="0.09"/>
    <n v="2005"/>
    <n v="22.4"/>
    <n v="8.1999999999999993"/>
    <n v="2.4"/>
    <n v="2.1"/>
    <x v="0"/>
    <x v="23"/>
    <n v="1"/>
  </r>
  <r>
    <x v="24"/>
    <x v="1"/>
    <x v="741"/>
    <s v="NA"/>
    <n v="8"/>
    <n v="473"/>
    <n v="7262"/>
    <n v="2202"/>
    <n v="1836"/>
    <n v="227"/>
    <n v="0.46200000000000002"/>
    <n v="0.154"/>
    <n v="0.67800000000000005"/>
    <n v="5.5"/>
    <n v="3.6999999999999998E-2"/>
    <n v="2005"/>
    <n v="15.4"/>
    <n v="4.7"/>
    <n v="3.9"/>
    <n v="0.5"/>
    <x v="0"/>
    <x v="24"/>
    <n v="1"/>
  </r>
  <r>
    <x v="25"/>
    <x v="18"/>
    <x v="742"/>
    <s v="Cincinnati"/>
    <n v="10"/>
    <n v="618"/>
    <n v="11379"/>
    <n v="3481"/>
    <n v="2576"/>
    <n v="266"/>
    <n v="0.495"/>
    <n v="0"/>
    <n v="0.56399999999999995"/>
    <n v="20.3"/>
    <n v="8.5999999999999993E-2"/>
    <n v="2005"/>
    <n v="18.399999999999999"/>
    <n v="5.6"/>
    <n v="4.2"/>
    <n v="0.4"/>
    <x v="0"/>
    <x v="25"/>
    <n v="1"/>
  </r>
  <r>
    <x v="26"/>
    <x v="17"/>
    <x v="743"/>
    <s v="Missouri"/>
    <n v="7"/>
    <n v="409"/>
    <n v="8185"/>
    <n v="3561"/>
    <n v="1470"/>
    <n v="321"/>
    <n v="0.435"/>
    <n v="0.33500000000000002"/>
    <n v="0.76300000000000001"/>
    <n v="13.6"/>
    <n v="0.08"/>
    <n v="2005"/>
    <n v="20"/>
    <n v="8.6999999999999993"/>
    <n v="3.6"/>
    <n v="0.8"/>
    <x v="0"/>
    <x v="26"/>
    <n v="1"/>
  </r>
  <r>
    <x v="27"/>
    <x v="16"/>
    <x v="744"/>
    <s v="NA"/>
    <n v="12"/>
    <n v="618"/>
    <n v="10353"/>
    <n v="3209"/>
    <n v="2705"/>
    <n v="357"/>
    <n v="0.53300000000000003"/>
    <n v="0.16"/>
    <n v="0.61199999999999999"/>
    <n v="26.1"/>
    <n v="0.121"/>
    <n v="2005"/>
    <n v="16.8"/>
    <n v="5.2"/>
    <n v="4.4000000000000004"/>
    <n v="0.6"/>
    <x v="0"/>
    <x v="27"/>
    <n v="1"/>
  </r>
  <r>
    <x v="28"/>
    <x v="8"/>
    <x v="745"/>
    <s v="Kansas"/>
    <n v="2"/>
    <n v="51"/>
    <n v="507"/>
    <n v="169"/>
    <n v="99"/>
    <n v="11"/>
    <n v="0.46899999999999997"/>
    <n v="0"/>
    <n v="0.85399999999999998"/>
    <n v="0.9"/>
    <n v="8.3000000000000004E-2"/>
    <n v="2005"/>
    <n v="9.9"/>
    <n v="3.3"/>
    <n v="1.9"/>
    <n v="0.2"/>
    <x v="0"/>
    <x v="28"/>
    <n v="0"/>
  </r>
  <r>
    <x v="29"/>
    <x v="13"/>
    <x v="746"/>
    <s v="Florida"/>
    <n v="12"/>
    <n v="829"/>
    <n v="24293"/>
    <n v="11232"/>
    <n v="7320"/>
    <n v="1825"/>
    <n v="0.53500000000000003"/>
    <n v="3.4000000000000002E-2"/>
    <n v="0.77200000000000002"/>
    <n v="76"/>
    <n v="0.15"/>
    <n v="2005"/>
    <n v="29.3"/>
    <n v="13.5"/>
    <n v="8.8000000000000007"/>
    <n v="2.2000000000000002"/>
    <x v="0"/>
    <x v="29"/>
    <n v="1"/>
  </r>
  <r>
    <x v="30"/>
    <x v="9"/>
    <x v="747"/>
    <s v="Arizona"/>
    <n v="3"/>
    <n v="157"/>
    <n v="2672"/>
    <n v="1260"/>
    <n v="214"/>
    <n v="164"/>
    <n v="0.40699999999999997"/>
    <n v="0.36599999999999999"/>
    <n v="0.88200000000000001"/>
    <n v="2.2000000000000002"/>
    <n v="0.04"/>
    <n v="2005"/>
    <n v="17"/>
    <n v="8"/>
    <n v="1.4"/>
    <n v="1"/>
    <x v="1"/>
    <x v="0"/>
    <n v="0"/>
  </r>
  <r>
    <x v="31"/>
    <x v="7"/>
    <x v="748"/>
    <s v="Duke"/>
    <n v="2"/>
    <n v="127"/>
    <n v="1683"/>
    <n v="431"/>
    <n v="158"/>
    <n v="174"/>
    <n v="0.38900000000000001"/>
    <n v="0.29499999999999998"/>
    <n v="0.78"/>
    <n v="0.8"/>
    <n v="2.4E-2"/>
    <n v="2005"/>
    <n v="13.3"/>
    <n v="3.4"/>
    <n v="1.2"/>
    <n v="1.4"/>
    <x v="1"/>
    <x v="1"/>
    <n v="0"/>
  </r>
  <r>
    <x v="32"/>
    <x v="29"/>
    <x v="749"/>
    <s v="LSU"/>
    <n v="12"/>
    <n v="758"/>
    <n v="16410"/>
    <n v="6575"/>
    <n v="3448"/>
    <n v="608"/>
    <n v="0.499"/>
    <n v="0.20699999999999999"/>
    <n v="0.83199999999999996"/>
    <n v="42.8"/>
    <n v="0.125"/>
    <n v="2005"/>
    <n v="21.6"/>
    <n v="8.6999999999999993"/>
    <n v="4.5"/>
    <n v="0.8"/>
    <x v="1"/>
    <x v="2"/>
    <n v="1"/>
  </r>
  <r>
    <x v="33"/>
    <x v="22"/>
    <x v="750"/>
    <s v="NA"/>
    <n v="16"/>
    <n v="849"/>
    <n v="17284"/>
    <n v="8108"/>
    <n v="2011"/>
    <n v="914"/>
    <n v="0.41099999999999998"/>
    <n v="0.35799999999999998"/>
    <n v="0.80900000000000005"/>
    <n v="30.1"/>
    <n v="8.4000000000000005E-2"/>
    <n v="2005"/>
    <n v="20.399999999999999"/>
    <n v="9.6"/>
    <n v="2.4"/>
    <n v="1.1000000000000001"/>
    <x v="1"/>
    <x v="3"/>
    <n v="1"/>
  </r>
  <r>
    <x v="35"/>
    <x v="12"/>
    <x v="751"/>
    <s v="NA"/>
    <n v="13"/>
    <n v="825"/>
    <n v="18957"/>
    <n v="8364"/>
    <n v="4661"/>
    <n v="908"/>
    <n v="0.443"/>
    <n v="0.36699999999999999"/>
    <n v="0.77700000000000002"/>
    <n v="48.8"/>
    <n v="0.124"/>
    <n v="2005"/>
    <n v="23"/>
    <n v="10.1"/>
    <n v="5.6"/>
    <n v="1.1000000000000001"/>
    <x v="1"/>
    <x v="5"/>
    <n v="1"/>
  </r>
  <r>
    <x v="36"/>
    <x v="19"/>
    <x v="752"/>
    <s v="Gonzaga"/>
    <n v="10"/>
    <n v="473"/>
    <n v="8020"/>
    <n v="2209"/>
    <n v="1757"/>
    <n v="618"/>
    <n v="0.53300000000000003"/>
    <n v="0"/>
    <n v="0.63600000000000001"/>
    <n v="19.2"/>
    <n v="0.115"/>
    <n v="2005"/>
    <n v="17"/>
    <n v="4.7"/>
    <n v="3.7"/>
    <n v="1.3"/>
    <x v="1"/>
    <x v="6"/>
    <n v="1"/>
  </r>
  <r>
    <x v="37"/>
    <x v="3"/>
    <x v="753"/>
    <s v="Marquette"/>
    <n v="5"/>
    <n v="179"/>
    <n v="2660"/>
    <n v="854"/>
    <n v="243"/>
    <n v="432"/>
    <n v="0.38800000000000001"/>
    <n v="0.35299999999999998"/>
    <n v="0.84699999999999998"/>
    <n v="5.6"/>
    <n v="0.10199999999999999"/>
    <n v="2005"/>
    <n v="14.9"/>
    <n v="4.8"/>
    <n v="1.4"/>
    <n v="2.4"/>
    <x v="1"/>
    <x v="7"/>
    <n v="0"/>
  </r>
  <r>
    <x v="38"/>
    <x v="19"/>
    <x v="754"/>
    <s v="Florida State"/>
    <n v="6"/>
    <n v="200"/>
    <n v="2475"/>
    <n v="1054"/>
    <n v="234"/>
    <n v="146"/>
    <n v="0.42"/>
    <n v="0.32500000000000001"/>
    <n v="0.751"/>
    <n v="3.3"/>
    <n v="6.4000000000000001E-2"/>
    <n v="2005"/>
    <n v="12.4"/>
    <n v="5.3"/>
    <n v="1.2"/>
    <n v="0.7"/>
    <x v="1"/>
    <x v="8"/>
    <n v="1"/>
  </r>
  <r>
    <x v="39"/>
    <x v="10"/>
    <x v="755"/>
    <s v="NA"/>
    <n v="12"/>
    <n v="833"/>
    <n v="29011"/>
    <n v="14858"/>
    <n v="2874"/>
    <n v="3856"/>
    <n v="0.45100000000000001"/>
    <n v="0.314"/>
    <n v="0.77200000000000002"/>
    <n v="41.9"/>
    <n v="6.9000000000000006E-2"/>
    <n v="2005"/>
    <n v="34.799999999999997"/>
    <n v="17.8"/>
    <n v="3.5"/>
    <n v="4.5999999999999996"/>
    <x v="1"/>
    <x v="9"/>
    <n v="1"/>
  </r>
  <r>
    <x v="40"/>
    <x v="28"/>
    <x v="756"/>
    <s v="NA"/>
    <n v="2"/>
    <n v="85"/>
    <n v="987"/>
    <n v="341"/>
    <n v="78"/>
    <n v="165"/>
    <n v="0.38700000000000001"/>
    <n v="0.189"/>
    <n v="0.746"/>
    <n v="-0.2"/>
    <n v="-7.0000000000000001E-3"/>
    <n v="2005"/>
    <n v="11.6"/>
    <n v="4"/>
    <n v="0.9"/>
    <n v="1.9"/>
    <x v="1"/>
    <x v="10"/>
    <n v="0"/>
  </r>
  <r>
    <x v="41"/>
    <x v="10"/>
    <x v="757"/>
    <s v="Pitt"/>
    <n v="1"/>
    <n v="17"/>
    <n v="144"/>
    <n v="47"/>
    <n v="36"/>
    <n v="2"/>
    <n v="0.60499999999999998"/>
    <n v="0"/>
    <n v="0.16700000000000001"/>
    <n v="0.5"/>
    <n v="0.155"/>
    <n v="2005"/>
    <n v="8.5"/>
    <n v="2.8"/>
    <n v="2.1"/>
    <n v="0.1"/>
    <x v="1"/>
    <x v="11"/>
    <n v="0"/>
  </r>
  <r>
    <x v="42"/>
    <x v="0"/>
    <x v="758"/>
    <s v="NA"/>
    <n v="1"/>
    <n v="5"/>
    <n v="6"/>
    <n v="0"/>
    <n v="1"/>
    <n v="0"/>
    <n v="0"/>
    <n v="0"/>
    <n v="0"/>
    <n v="-0.2"/>
    <n v="-1.264"/>
    <n v="2005"/>
    <n v="1.2"/>
    <n v="0"/>
    <n v="0.2"/>
    <n v="0"/>
    <x v="1"/>
    <x v="12"/>
    <n v="0"/>
  </r>
  <r>
    <x v="43"/>
    <x v="3"/>
    <x v="759"/>
    <s v="NA"/>
    <n v="1"/>
    <n v="6"/>
    <n v="9"/>
    <n v="0"/>
    <n v="4"/>
    <n v="0"/>
    <n v="0"/>
    <n v="0"/>
    <n v="0"/>
    <n v="0"/>
    <n v="0.155"/>
    <n v="2005"/>
    <n v="1.5"/>
    <n v="0"/>
    <n v="0.7"/>
    <n v="0"/>
    <x v="1"/>
    <x v="13"/>
    <n v="0"/>
  </r>
  <r>
    <x v="44"/>
    <x v="21"/>
    <x v="760"/>
    <s v="NA"/>
    <n v="17"/>
    <n v="1107"/>
    <n v="26891"/>
    <n v="15511"/>
    <n v="2460"/>
    <n v="3765"/>
    <n v="0.41899999999999998"/>
    <n v="0.35099999999999998"/>
    <n v="0.84199999999999997"/>
    <n v="65.7"/>
    <n v="0.11700000000000001"/>
    <n v="2005"/>
    <n v="24.3"/>
    <n v="14"/>
    <n v="2.2000000000000002"/>
    <n v="3.4"/>
    <x v="1"/>
    <x v="14"/>
    <n v="1"/>
  </r>
  <r>
    <x v="46"/>
    <x v="5"/>
    <x v="761"/>
    <s v="Indiana"/>
    <n v="2"/>
    <n v="26"/>
    <n v="325"/>
    <n v="129"/>
    <n v="39"/>
    <n v="20"/>
    <n v="0.40500000000000003"/>
    <n v="0.32400000000000001"/>
    <n v="0.79400000000000004"/>
    <n v="0.5"/>
    <n v="6.8000000000000005E-2"/>
    <n v="2005"/>
    <n v="12.5"/>
    <n v="5"/>
    <n v="1.5"/>
    <n v="0.8"/>
    <x v="1"/>
    <x v="16"/>
    <n v="0"/>
  </r>
  <r>
    <x v="47"/>
    <x v="1"/>
    <x v="762"/>
    <s v="NA"/>
    <n v="3"/>
    <n v="145"/>
    <n v="2348"/>
    <n v="670"/>
    <n v="330"/>
    <n v="115"/>
    <n v="0.47"/>
    <n v="0.316"/>
    <n v="0.81499999999999995"/>
    <n v="3"/>
    <n v="6.2E-2"/>
    <n v="2005"/>
    <n v="16.2"/>
    <n v="4.5999999999999996"/>
    <n v="2.2999999999999998"/>
    <n v="0.8"/>
    <x v="1"/>
    <x v="17"/>
    <n v="0"/>
  </r>
  <r>
    <x v="52"/>
    <x v="23"/>
    <x v="763"/>
    <s v="NA"/>
    <n v="9"/>
    <n v="564"/>
    <n v="12462"/>
    <n v="5706"/>
    <n v="3024"/>
    <n v="798"/>
    <n v="0.46700000000000003"/>
    <n v="0.23699999999999999"/>
    <n v="0.72499999999999998"/>
    <n v="19.2"/>
    <n v="7.3999999999999996E-2"/>
    <n v="2005"/>
    <n v="22.1"/>
    <n v="10.1"/>
    <n v="5.4"/>
    <n v="1.4"/>
    <x v="1"/>
    <x v="18"/>
    <n v="1"/>
  </r>
  <r>
    <x v="48"/>
    <x v="14"/>
    <x v="764"/>
    <s v="Providence"/>
    <n v="8"/>
    <n v="487"/>
    <n v="13463"/>
    <n v="4926"/>
    <n v="2239"/>
    <n v="712"/>
    <n v="0.44500000000000001"/>
    <n v="0.34899999999999998"/>
    <n v="0.79900000000000004"/>
    <n v="19.399999999999999"/>
    <n v="6.9000000000000006E-2"/>
    <n v="2005"/>
    <n v="27.6"/>
    <n v="10.1"/>
    <n v="4.5999999999999996"/>
    <n v="1.5"/>
    <x v="1"/>
    <x v="19"/>
    <n v="1"/>
  </r>
  <r>
    <x v="49"/>
    <x v="22"/>
    <x v="765"/>
    <s v="Walsh University"/>
    <n v="1"/>
    <n v="23"/>
    <n v="212"/>
    <n v="49"/>
    <n v="43"/>
    <n v="17"/>
    <n v="0.40400000000000003"/>
    <n v="0"/>
    <n v="0.5"/>
    <n v="0"/>
    <n v="4.0000000000000001E-3"/>
    <n v="2005"/>
    <n v="9.1999999999999993"/>
    <n v="2.1"/>
    <n v="1.9"/>
    <n v="0.7"/>
    <x v="1"/>
    <x v="20"/>
    <n v="0"/>
  </r>
  <r>
    <x v="57"/>
    <x v="14"/>
    <x v="766"/>
    <s v="Louisiana"/>
    <n v="4"/>
    <n v="131"/>
    <n v="1555"/>
    <n v="326"/>
    <n v="195"/>
    <n v="155"/>
    <n v="0.38700000000000001"/>
    <n v="0.21199999999999999"/>
    <n v="0.64200000000000002"/>
    <n v="-0.7"/>
    <n v="-2.1999999999999999E-2"/>
    <n v="2005"/>
    <n v="11.9"/>
    <n v="2.5"/>
    <n v="1.5"/>
    <n v="1.2"/>
    <x v="1"/>
    <x v="22"/>
    <n v="0"/>
  </r>
  <r>
    <x v="51"/>
    <x v="13"/>
    <x v="767"/>
    <s v="UCLA"/>
    <n v="2"/>
    <n v="16"/>
    <n v="93"/>
    <n v="45"/>
    <n v="19"/>
    <n v="3"/>
    <n v="0.42499999999999999"/>
    <n v="0.308"/>
    <n v="0.875"/>
    <n v="0.2"/>
    <n v="0.10199999999999999"/>
    <n v="2005"/>
    <n v="5.8"/>
    <n v="2.8"/>
    <n v="1.2"/>
    <n v="0.2"/>
    <x v="1"/>
    <x v="23"/>
    <n v="0"/>
  </r>
  <r>
    <x v="53"/>
    <x v="1"/>
    <x v="768"/>
    <s v="Mississippi State"/>
    <n v="2"/>
    <n v="87"/>
    <n v="1150"/>
    <n v="334"/>
    <n v="310"/>
    <n v="35"/>
    <n v="0.45200000000000001"/>
    <n v="0"/>
    <n v="0.68799999999999994"/>
    <n v="2.5"/>
    <n v="0.106"/>
    <n v="2005"/>
    <n v="13.2"/>
    <n v="3.8"/>
    <n v="3.6"/>
    <n v="0.4"/>
    <x v="1"/>
    <x v="24"/>
    <n v="0"/>
  </r>
  <r>
    <x v="54"/>
    <x v="18"/>
    <x v="769"/>
    <s v="NA"/>
    <n v="14"/>
    <n v="870"/>
    <n v="18323"/>
    <n v="6102"/>
    <n v="4692"/>
    <n v="1073"/>
    <n v="0.56999999999999995"/>
    <n v="0.33200000000000002"/>
    <n v="0.67300000000000004"/>
    <n v="55.3"/>
    <n v="0.14499999999999999"/>
    <n v="2005"/>
    <n v="21.1"/>
    <n v="7"/>
    <n v="5.4"/>
    <n v="1.2"/>
    <x v="1"/>
    <x v="25"/>
    <n v="1"/>
  </r>
  <r>
    <x v="55"/>
    <x v="15"/>
    <x v="770"/>
    <s v="NA"/>
    <n v="12"/>
    <n v="806"/>
    <n v="20691"/>
    <n v="7951"/>
    <n v="6407"/>
    <n v="915"/>
    <n v="0.55100000000000005"/>
    <n v="0.15"/>
    <n v="0.68"/>
    <n v="61.3"/>
    <n v="0.14199999999999999"/>
    <n v="2005"/>
    <n v="25.7"/>
    <n v="9.9"/>
    <n v="7.9"/>
    <n v="1.1000000000000001"/>
    <x v="1"/>
    <x v="26"/>
    <n v="1"/>
  </r>
  <r>
    <x v="56"/>
    <x v="28"/>
    <x v="771"/>
    <s v="NA"/>
    <n v="1"/>
    <n v="20"/>
    <n v="72"/>
    <n v="38"/>
    <n v="14"/>
    <n v="1"/>
    <n v="0.53800000000000003"/>
    <n v="0.5"/>
    <n v="0.69199999999999995"/>
    <n v="0.1"/>
    <n v="4.2000000000000003E-2"/>
    <n v="2005"/>
    <n v="3.6"/>
    <n v="1.9"/>
    <n v="0.7"/>
    <n v="0.1"/>
    <x v="1"/>
    <x v="27"/>
    <n v="0"/>
  </r>
  <r>
    <x v="58"/>
    <x v="18"/>
    <x v="772"/>
    <s v="Pepperdine"/>
    <n v="2"/>
    <n v="30"/>
    <n v="234"/>
    <n v="81"/>
    <n v="29"/>
    <n v="16"/>
    <n v="0.37"/>
    <n v="0.32"/>
    <n v="0.5"/>
    <n v="-0.2"/>
    <n v="-4.2999999999999997E-2"/>
    <n v="2005"/>
    <n v="7.8"/>
    <n v="2.7"/>
    <n v="1"/>
    <n v="0.5"/>
    <x v="1"/>
    <x v="29"/>
    <n v="0"/>
  </r>
  <r>
    <x v="0"/>
    <x v="28"/>
    <x v="773"/>
    <s v="NA"/>
    <n v="10"/>
    <n v="550"/>
    <n v="15806"/>
    <n v="7873"/>
    <n v="2541"/>
    <n v="653"/>
    <n v="0.439"/>
    <n v="0.35399999999999998"/>
    <n v="0.82399999999999995"/>
    <n v="18.899999999999999"/>
    <n v="5.7000000000000002E-2"/>
    <n v="2006"/>
    <n v="28.7"/>
    <n v="14.3"/>
    <n v="4.5999999999999996"/>
    <n v="1.2"/>
    <x v="0"/>
    <x v="0"/>
    <n v="1"/>
  </r>
  <r>
    <x v="1"/>
    <x v="20"/>
    <x v="774"/>
    <s v="Texas"/>
    <n v="16"/>
    <n v="1068"/>
    <n v="36086"/>
    <n v="20488"/>
    <n v="8702"/>
    <n v="2067"/>
    <n v="0.49299999999999999"/>
    <n v="0.32"/>
    <n v="0.81200000000000006"/>
    <n v="115.3"/>
    <n v="0.153"/>
    <n v="2006"/>
    <n v="33.799999999999997"/>
    <n v="19.2"/>
    <n v="8.1"/>
    <n v="1.9"/>
    <x v="0"/>
    <x v="1"/>
    <n v="1"/>
  </r>
  <r>
    <x v="2"/>
    <x v="4"/>
    <x v="775"/>
    <s v="Gonzaga"/>
    <n v="3"/>
    <n v="161"/>
    <n v="3278"/>
    <n v="1200"/>
    <n v="342"/>
    <n v="222"/>
    <n v="0.373"/>
    <n v="0.33100000000000002"/>
    <n v="0.71"/>
    <n v="-1.4"/>
    <n v="-2.1000000000000001E-2"/>
    <n v="2006"/>
    <n v="20.399999999999999"/>
    <n v="7.5"/>
    <n v="2.1"/>
    <n v="1.4"/>
    <x v="0"/>
    <x v="2"/>
    <n v="0"/>
  </r>
  <r>
    <x v="3"/>
    <x v="17"/>
    <x v="776"/>
    <s v="LSU"/>
    <n v="8"/>
    <n v="402"/>
    <n v="7932"/>
    <n v="3093"/>
    <n v="1938"/>
    <n v="347"/>
    <n v="0.438"/>
    <n v="0.23499999999999999"/>
    <n v="0.73199999999999998"/>
    <n v="13"/>
    <n v="7.8E-2"/>
    <n v="2006"/>
    <n v="19.7"/>
    <n v="7.7"/>
    <n v="4.8"/>
    <n v="0.9"/>
    <x v="0"/>
    <x v="3"/>
    <n v="1"/>
  </r>
  <r>
    <x v="4"/>
    <x v="9"/>
    <x v="777"/>
    <s v="Duke"/>
    <n v="6"/>
    <n v="361"/>
    <n v="5586"/>
    <n v="1618"/>
    <n v="1562"/>
    <n v="163"/>
    <n v="0.46200000000000002"/>
    <n v="0.222"/>
    <n v="0.74"/>
    <n v="9.9"/>
    <n v="8.5000000000000006E-2"/>
    <n v="2006"/>
    <n v="15.5"/>
    <n v="4.5"/>
    <n v="4.3"/>
    <n v="0.5"/>
    <x v="0"/>
    <x v="4"/>
    <n v="1"/>
  </r>
  <r>
    <x v="5"/>
    <x v="5"/>
    <x v="778"/>
    <s v="Washington"/>
    <n v="6"/>
    <n v="326"/>
    <n v="11561"/>
    <n v="6136"/>
    <n v="1388"/>
    <n v="1517"/>
    <n v="0.45900000000000002"/>
    <n v="0.34799999999999998"/>
    <n v="0.8"/>
    <n v="37.4"/>
    <n v="0.155"/>
    <n v="2006"/>
    <n v="35.5"/>
    <n v="18.8"/>
    <n v="4.3"/>
    <n v="4.7"/>
    <x v="0"/>
    <x v="5"/>
    <n v="1"/>
  </r>
  <r>
    <x v="6"/>
    <x v="14"/>
    <x v="779"/>
    <s v="Villanova"/>
    <n v="11"/>
    <n v="752"/>
    <n v="19279"/>
    <n v="7729"/>
    <n v="1686"/>
    <n v="2112"/>
    <n v="0.40100000000000002"/>
    <n v="0.36599999999999999"/>
    <n v="0.85199999999999998"/>
    <n v="23.5"/>
    <n v="5.8000000000000003E-2"/>
    <n v="2006"/>
    <n v="25.6"/>
    <n v="10.3"/>
    <n v="2.2000000000000002"/>
    <n v="2.8"/>
    <x v="0"/>
    <x v="6"/>
    <n v="1"/>
  </r>
  <r>
    <x v="7"/>
    <x v="11"/>
    <x v="780"/>
    <s v="UConn"/>
    <n v="16"/>
    <n v="1044"/>
    <n v="33406"/>
    <n v="17215"/>
    <n v="6040"/>
    <n v="2206"/>
    <n v="0.45300000000000001"/>
    <n v="0.34899999999999998"/>
    <n v="0.79900000000000004"/>
    <n v="60.3"/>
    <n v="8.6999999999999994E-2"/>
    <n v="2006"/>
    <n v="32"/>
    <n v="16.5"/>
    <n v="5.8"/>
    <n v="2.1"/>
    <x v="0"/>
    <x v="7"/>
    <n v="1"/>
  </r>
  <r>
    <x v="8"/>
    <x v="10"/>
    <x v="781"/>
    <s v="Bradley"/>
    <n v="4"/>
    <n v="90"/>
    <n v="524"/>
    <n v="186"/>
    <n v="127"/>
    <n v="25"/>
    <n v="0.49399999999999999"/>
    <n v="0"/>
    <n v="0.58299999999999996"/>
    <n v="0.5"/>
    <n v="4.5999999999999999E-2"/>
    <n v="2006"/>
    <n v="5.8"/>
    <n v="2.1"/>
    <n v="1.4"/>
    <n v="0.3"/>
    <x v="0"/>
    <x v="8"/>
    <n v="0"/>
  </r>
  <r>
    <x v="9"/>
    <x v="1"/>
    <x v="782"/>
    <s v="NA"/>
    <n v="3"/>
    <n v="47"/>
    <n v="260"/>
    <n v="103"/>
    <n v="75"/>
    <n v="1"/>
    <n v="0.42699999999999999"/>
    <n v="0"/>
    <n v="0.58899999999999997"/>
    <n v="0.3"/>
    <n v="5.1999999999999998E-2"/>
    <n v="2006"/>
    <n v="5.5"/>
    <n v="2.2000000000000002"/>
    <n v="1.6"/>
    <n v="0"/>
    <x v="0"/>
    <x v="9"/>
    <n v="0"/>
  </r>
  <r>
    <x v="10"/>
    <x v="3"/>
    <x v="783"/>
    <s v="Duke"/>
    <n v="15"/>
    <n v="940"/>
    <n v="23964"/>
    <n v="12028"/>
    <n v="1903"/>
    <n v="1862"/>
    <n v="0.44700000000000001"/>
    <n v="0.41499999999999998"/>
    <n v="0.89200000000000002"/>
    <n v="63.7"/>
    <n v="0.128"/>
    <n v="2006"/>
    <n v="25.5"/>
    <n v="12.8"/>
    <n v="2"/>
    <n v="2"/>
    <x v="0"/>
    <x v="10"/>
    <n v="1"/>
  </r>
  <r>
    <x v="11"/>
    <x v="4"/>
    <x v="784"/>
    <s v="UConn"/>
    <n v="6"/>
    <n v="292"/>
    <n v="3378"/>
    <n v="880"/>
    <n v="766"/>
    <n v="102"/>
    <n v="0.501"/>
    <n v="0.28599999999999998"/>
    <n v="0.58199999999999996"/>
    <n v="3.9"/>
    <n v="5.5E-2"/>
    <n v="2006"/>
    <n v="11.6"/>
    <n v="3"/>
    <n v="2.6"/>
    <n v="0.3"/>
    <x v="0"/>
    <x v="11"/>
    <n v="1"/>
  </r>
  <r>
    <x v="12"/>
    <x v="21"/>
    <x v="785"/>
    <s v="NA"/>
    <n v="14"/>
    <n v="869"/>
    <n v="19062"/>
    <n v="4994"/>
    <n v="3252"/>
    <n v="1196"/>
    <n v="0.44900000000000001"/>
    <n v="0.34899999999999998"/>
    <n v="0.73199999999999998"/>
    <n v="39.299999999999997"/>
    <n v="9.9000000000000005E-2"/>
    <n v="2006"/>
    <n v="21.9"/>
    <n v="5.7"/>
    <n v="3.7"/>
    <n v="1.4"/>
    <x v="0"/>
    <x v="12"/>
    <n v="1"/>
  </r>
  <r>
    <x v="13"/>
    <x v="22"/>
    <x v="786"/>
    <s v="Arkansas"/>
    <n v="8"/>
    <n v="502"/>
    <n v="11539"/>
    <n v="3940"/>
    <n v="1427"/>
    <n v="828"/>
    <n v="0.49"/>
    <n v="0.254"/>
    <n v="0.67500000000000004"/>
    <n v="30.4"/>
    <n v="0.127"/>
    <n v="2006"/>
    <n v="23"/>
    <n v="7.8"/>
    <n v="2.8"/>
    <n v="1.6"/>
    <x v="0"/>
    <x v="13"/>
    <n v="1"/>
  </r>
  <r>
    <x v="14"/>
    <x v="4"/>
    <x v="787"/>
    <s v="NC State"/>
    <n v="3"/>
    <n v="75"/>
    <n v="705"/>
    <n v="163"/>
    <n v="141"/>
    <n v="14"/>
    <n v="0.40899999999999997"/>
    <n v="0"/>
    <n v="0.39"/>
    <n v="0.1"/>
    <n v="5.0000000000000001E-3"/>
    <n v="2006"/>
    <n v="9.4"/>
    <n v="2.2000000000000002"/>
    <n v="1.9"/>
    <n v="0.2"/>
    <x v="0"/>
    <x v="14"/>
    <n v="0"/>
  </r>
  <r>
    <x v="15"/>
    <x v="20"/>
    <x v="788"/>
    <s v="Memphis"/>
    <n v="5"/>
    <n v="299"/>
    <n v="4600"/>
    <n v="1778"/>
    <n v="588"/>
    <n v="132"/>
    <n v="0.42199999999999999"/>
    <n v="0.33800000000000002"/>
    <n v="0.70399999999999996"/>
    <n v="6.2"/>
    <n v="6.4000000000000001E-2"/>
    <n v="2006"/>
    <n v="15.4"/>
    <n v="5.9"/>
    <n v="2"/>
    <n v="0.4"/>
    <x v="0"/>
    <x v="15"/>
    <n v="0"/>
  </r>
  <r>
    <x v="16"/>
    <x v="24"/>
    <x v="789"/>
    <s v="Memphis"/>
    <n v="7"/>
    <n v="314"/>
    <n v="5368"/>
    <n v="1769"/>
    <n v="945"/>
    <n v="220"/>
    <n v="0.40300000000000002"/>
    <n v="0.33900000000000002"/>
    <n v="0.755"/>
    <n v="6.7"/>
    <n v="0.06"/>
    <n v="2006"/>
    <n v="17.100000000000001"/>
    <n v="5.6"/>
    <n v="3"/>
    <n v="0.7"/>
    <x v="0"/>
    <x v="16"/>
    <n v="1"/>
  </r>
  <r>
    <x v="17"/>
    <x v="23"/>
    <x v="790"/>
    <s v="NA"/>
    <n v="3"/>
    <n v="111"/>
    <n v="1044"/>
    <n v="438"/>
    <n v="266"/>
    <n v="20"/>
    <n v="0.38600000000000001"/>
    <n v="0.28999999999999998"/>
    <n v="0.79300000000000004"/>
    <n v="0.5"/>
    <n v="2.5000000000000001E-2"/>
    <n v="2006"/>
    <n v="9.4"/>
    <n v="3.9"/>
    <n v="2.4"/>
    <n v="0.2"/>
    <x v="0"/>
    <x v="17"/>
    <n v="0"/>
  </r>
  <r>
    <x v="18"/>
    <x v="6"/>
    <x v="791"/>
    <s v="Rutgers University"/>
    <n v="3"/>
    <n v="143"/>
    <n v="1535"/>
    <n v="588"/>
    <n v="152"/>
    <n v="93"/>
    <n v="0.38900000000000001"/>
    <n v="0.312"/>
    <n v="0.88400000000000001"/>
    <n v="0"/>
    <n v="0"/>
    <n v="2006"/>
    <n v="10.7"/>
    <n v="4.0999999999999996"/>
    <n v="1.1000000000000001"/>
    <n v="0.7"/>
    <x v="0"/>
    <x v="18"/>
    <n v="0"/>
  </r>
  <r>
    <x v="19"/>
    <x v="13"/>
    <x v="792"/>
    <s v="South Carolina"/>
    <n v="6"/>
    <n v="221"/>
    <n v="3064"/>
    <n v="894"/>
    <n v="769"/>
    <n v="132"/>
    <n v="0.51"/>
    <n v="0.17199999999999999"/>
    <n v="0.54200000000000004"/>
    <n v="7.2"/>
    <n v="0.113"/>
    <n v="2006"/>
    <n v="13.9"/>
    <n v="4"/>
    <n v="3.5"/>
    <n v="0.6"/>
    <x v="0"/>
    <x v="19"/>
    <n v="1"/>
  </r>
  <r>
    <x v="20"/>
    <x v="15"/>
    <x v="793"/>
    <s v="Kentucky"/>
    <n v="16"/>
    <n v="949"/>
    <n v="28440"/>
    <n v="9299"/>
    <n v="4335"/>
    <n v="7542"/>
    <n v="0.45600000000000002"/>
    <n v="0.32300000000000001"/>
    <n v="0.61199999999999999"/>
    <n v="61.5"/>
    <n v="0.104"/>
    <n v="2006"/>
    <n v="30"/>
    <n v="9.8000000000000007"/>
    <n v="4.5999999999999996"/>
    <n v="7.9"/>
    <x v="0"/>
    <x v="20"/>
    <n v="1"/>
  </r>
  <r>
    <x v="21"/>
    <x v="0"/>
    <x v="794"/>
    <s v="UConn"/>
    <n v="4"/>
    <n v="203"/>
    <n v="3095"/>
    <n v="1128"/>
    <n v="361"/>
    <n v="574"/>
    <n v="0.38600000000000001"/>
    <n v="0.32100000000000001"/>
    <n v="0.76700000000000002"/>
    <n v="0"/>
    <n v="-1E-3"/>
    <n v="2006"/>
    <n v="15.2"/>
    <n v="5.6"/>
    <n v="1.8"/>
    <n v="2.8"/>
    <x v="0"/>
    <x v="21"/>
    <n v="0"/>
  </r>
  <r>
    <x v="22"/>
    <x v="0"/>
    <x v="795"/>
    <s v="UConn"/>
    <n v="4"/>
    <n v="256"/>
    <n v="4482"/>
    <n v="1340"/>
    <n v="1258"/>
    <n v="125"/>
    <n v="0.54400000000000004"/>
    <n v="0"/>
    <n v="0.44500000000000001"/>
    <n v="9.1"/>
    <n v="9.7000000000000003E-2"/>
    <n v="2006"/>
    <n v="17.5"/>
    <n v="5.2"/>
    <n v="4.9000000000000004"/>
    <n v="0.5"/>
    <x v="0"/>
    <x v="22"/>
    <n v="0"/>
  </r>
  <r>
    <x v="23"/>
    <x v="27"/>
    <x v="796"/>
    <s v="Villanova"/>
    <n v="16"/>
    <n v="1006"/>
    <n v="32057"/>
    <n v="14882"/>
    <n v="4403"/>
    <n v="6359"/>
    <n v="0.42399999999999999"/>
    <n v="0.36699999999999999"/>
    <n v="0.81299999999999994"/>
    <n v="102.5"/>
    <n v="0.154"/>
    <n v="2006"/>
    <n v="31.9"/>
    <n v="14.8"/>
    <n v="4.4000000000000004"/>
    <n v="6.3"/>
    <x v="0"/>
    <x v="23"/>
    <n v="1"/>
  </r>
  <r>
    <x v="24"/>
    <x v="25"/>
    <x v="797"/>
    <s v="Michigan State"/>
    <n v="9"/>
    <n v="408"/>
    <n v="7329"/>
    <n v="3118"/>
    <n v="760"/>
    <n v="458"/>
    <n v="0.42"/>
    <n v="0.33200000000000002"/>
    <n v="0.80700000000000005"/>
    <n v="9.1999999999999993"/>
    <n v="0.06"/>
    <n v="2006"/>
    <n v="18"/>
    <n v="7.6"/>
    <n v="1.9"/>
    <n v="1.1000000000000001"/>
    <x v="0"/>
    <x v="24"/>
    <n v="1"/>
  </r>
  <r>
    <x v="25"/>
    <x v="19"/>
    <x v="798"/>
    <s v="UCLA"/>
    <n v="10"/>
    <n v="504"/>
    <n v="9840"/>
    <n v="3888"/>
    <n v="958"/>
    <n v="1453"/>
    <n v="0.42299999999999999"/>
    <n v="0.374"/>
    <n v="0.73899999999999999"/>
    <n v="13.9"/>
    <n v="6.8000000000000005E-2"/>
    <n v="2006"/>
    <n v="19.5"/>
    <n v="7.7"/>
    <n v="1.9"/>
    <n v="2.9"/>
    <x v="0"/>
    <x v="25"/>
    <n v="1"/>
  </r>
  <r>
    <x v="26"/>
    <x v="15"/>
    <x v="799"/>
    <s v="NA"/>
    <n v="5"/>
    <n v="353"/>
    <n v="5281"/>
    <n v="1747"/>
    <n v="525"/>
    <n v="1183"/>
    <n v="0.40899999999999997"/>
    <n v="0.33700000000000002"/>
    <n v="0.73899999999999999"/>
    <n v="4.3"/>
    <n v="3.9E-2"/>
    <n v="2006"/>
    <n v="15"/>
    <n v="4.9000000000000004"/>
    <n v="1.5"/>
    <n v="3.4"/>
    <x v="0"/>
    <x v="26"/>
    <n v="0"/>
  </r>
  <r>
    <x v="27"/>
    <x v="26"/>
    <x v="800"/>
    <s v="Michigan State"/>
    <n v="4"/>
    <n v="82"/>
    <n v="505"/>
    <n v="169"/>
    <n v="46"/>
    <n v="19"/>
    <n v="0.33900000000000002"/>
    <n v="0.25"/>
    <n v="0.56599999999999995"/>
    <n v="-0.9"/>
    <n v="-8.8999999999999996E-2"/>
    <n v="2006"/>
    <n v="6.2"/>
    <n v="2.1"/>
    <n v="0.6"/>
    <n v="0.2"/>
    <x v="0"/>
    <x v="27"/>
    <n v="0"/>
  </r>
  <r>
    <x v="28"/>
    <x v="13"/>
    <x v="801"/>
    <s v="Temple"/>
    <n v="4"/>
    <n v="189"/>
    <n v="2771"/>
    <n v="742"/>
    <n v="336"/>
    <n v="327"/>
    <n v="0.38"/>
    <n v="0.29899999999999999"/>
    <n v="0.59899999999999998"/>
    <n v="-1.6"/>
    <n v="-2.7E-2"/>
    <n v="2006"/>
    <n v="14.7"/>
    <n v="3.9"/>
    <n v="1.8"/>
    <n v="1.7"/>
    <x v="0"/>
    <x v="28"/>
    <n v="0"/>
  </r>
  <r>
    <x v="29"/>
    <x v="17"/>
    <x v="802"/>
    <s v="NA"/>
    <n v="3"/>
    <n v="151"/>
    <n v="1821"/>
    <n v="477"/>
    <n v="518"/>
    <n v="65"/>
    <n v="0.45900000000000002"/>
    <n v="0"/>
    <n v="0.72799999999999998"/>
    <n v="3.2"/>
    <n v="8.4000000000000005E-2"/>
    <n v="2006"/>
    <n v="12.1"/>
    <n v="3.2"/>
    <n v="3.4"/>
    <n v="0.4"/>
    <x v="0"/>
    <x v="29"/>
    <n v="0"/>
  </r>
  <r>
    <x v="30"/>
    <x v="17"/>
    <x v="803"/>
    <s v="Cincinnati"/>
    <n v="3"/>
    <n v="67"/>
    <n v="583"/>
    <n v="182"/>
    <n v="68"/>
    <n v="35"/>
    <n v="0.438"/>
    <n v="0.34"/>
    <n v="0.67600000000000005"/>
    <n v="0.8"/>
    <n v="6.2E-2"/>
    <n v="2006"/>
    <n v="8.6999999999999993"/>
    <n v="2.7"/>
    <n v="1"/>
    <n v="0.5"/>
    <x v="1"/>
    <x v="0"/>
    <n v="0"/>
  </r>
  <r>
    <x v="31"/>
    <x v="11"/>
    <x v="804"/>
    <s v="Marquette"/>
    <n v="11"/>
    <n v="467"/>
    <n v="5657"/>
    <n v="2177"/>
    <n v="591"/>
    <n v="132"/>
    <n v="0.437"/>
    <n v="0.43"/>
    <n v="0.877"/>
    <n v="14.5"/>
    <n v="0.123"/>
    <n v="2006"/>
    <n v="12.1"/>
    <n v="4.7"/>
    <n v="1.3"/>
    <n v="0.3"/>
    <x v="1"/>
    <x v="1"/>
    <n v="1"/>
  </r>
  <r>
    <x v="32"/>
    <x v="9"/>
    <x v="805"/>
    <s v="South Florida"/>
    <n v="8"/>
    <n v="281"/>
    <n v="3092"/>
    <n v="839"/>
    <n v="654"/>
    <n v="99"/>
    <n v="0.46700000000000003"/>
    <n v="0.111"/>
    <n v="0.71699999999999997"/>
    <n v="5"/>
    <n v="7.8E-2"/>
    <n v="2006"/>
    <n v="11"/>
    <n v="3"/>
    <n v="2.2999999999999998"/>
    <n v="0.4"/>
    <x v="1"/>
    <x v="2"/>
    <n v="1"/>
  </r>
  <r>
    <x v="33"/>
    <x v="7"/>
    <x v="806"/>
    <s v="Michigan State"/>
    <n v="4"/>
    <n v="82"/>
    <n v="702"/>
    <n v="217"/>
    <n v="158"/>
    <n v="32"/>
    <n v="0.40200000000000002"/>
    <n v="0"/>
    <n v="0.73199999999999998"/>
    <n v="0.5"/>
    <n v="3.5000000000000003E-2"/>
    <n v="2006"/>
    <n v="8.6"/>
    <n v="2.6"/>
    <n v="1.9"/>
    <n v="0.4"/>
    <x v="1"/>
    <x v="3"/>
    <n v="0"/>
  </r>
  <r>
    <x v="34"/>
    <x v="28"/>
    <x v="807"/>
    <s v="Texas"/>
    <n v="11"/>
    <n v="758"/>
    <n v="22037"/>
    <n v="5438"/>
    <n v="4291"/>
    <n v="1109"/>
    <n v="0.42499999999999999"/>
    <n v="0.36599999999999999"/>
    <n v="0.747"/>
    <n v="39.1"/>
    <n v="8.5000000000000006E-2"/>
    <n v="2006"/>
    <n v="29.1"/>
    <n v="7.2"/>
    <n v="5.7"/>
    <n v="1.5"/>
    <x v="1"/>
    <x v="4"/>
    <n v="1"/>
  </r>
  <r>
    <x v="35"/>
    <x v="5"/>
    <x v="808"/>
    <s v="Boston College"/>
    <n v="6"/>
    <n v="403"/>
    <n v="6826"/>
    <n v="3080"/>
    <n v="1567"/>
    <n v="322"/>
    <n v="0.55300000000000005"/>
    <n v="3.6999999999999998E-2"/>
    <n v="0.66100000000000003"/>
    <n v="16"/>
    <n v="0.113"/>
    <n v="2006"/>
    <n v="16.899999999999999"/>
    <n v="7.6"/>
    <n v="3.9"/>
    <n v="0.8"/>
    <x v="1"/>
    <x v="5"/>
    <n v="1"/>
  </r>
  <r>
    <x v="36"/>
    <x v="5"/>
    <x v="809"/>
    <s v="Washington"/>
    <n v="2"/>
    <n v="91"/>
    <n v="867"/>
    <n v="288"/>
    <n v="149"/>
    <n v="44"/>
    <n v="0.442"/>
    <n v="0.30599999999999999"/>
    <n v="0.68500000000000005"/>
    <n v="1.1000000000000001"/>
    <n v="0.06"/>
    <n v="2006"/>
    <n v="9.5"/>
    <n v="3.2"/>
    <n v="1.6"/>
    <n v="0.5"/>
    <x v="1"/>
    <x v="6"/>
    <n v="0"/>
  </r>
  <r>
    <x v="37"/>
    <x v="10"/>
    <x v="810"/>
    <s v="NA"/>
    <n v="1"/>
    <n v="7"/>
    <n v="38"/>
    <n v="10"/>
    <n v="13"/>
    <n v="1"/>
    <n v="0.3"/>
    <n v="0"/>
    <n v="0.66700000000000004"/>
    <n v="0"/>
    <n v="0.06"/>
    <n v="2006"/>
    <n v="5.4"/>
    <n v="1.4"/>
    <n v="1.9"/>
    <n v="0.1"/>
    <x v="1"/>
    <x v="7"/>
    <n v="0"/>
  </r>
  <r>
    <x v="38"/>
    <x v="12"/>
    <x v="811"/>
    <s v="UNC"/>
    <n v="1"/>
    <n v="68"/>
    <n v="792"/>
    <n v="184"/>
    <n v="123"/>
    <n v="65"/>
    <n v="0.36699999999999999"/>
    <n v="0.32100000000000001"/>
    <n v="0.86"/>
    <n v="0.4"/>
    <n v="2.4E-2"/>
    <n v="2006"/>
    <n v="11.6"/>
    <n v="2.7"/>
    <n v="1.8"/>
    <n v="1"/>
    <x v="1"/>
    <x v="8"/>
    <n v="0"/>
  </r>
  <r>
    <x v="40"/>
    <x v="3"/>
    <x v="812"/>
    <s v="Illinois"/>
    <n v="2"/>
    <n v="27"/>
    <n v="156"/>
    <n v="42"/>
    <n v="33"/>
    <n v="4"/>
    <n v="0.51400000000000001"/>
    <n v="0"/>
    <n v="0.5"/>
    <n v="0.3"/>
    <n v="0.10100000000000001"/>
    <n v="2006"/>
    <n v="5.8"/>
    <n v="1.6"/>
    <n v="1.2"/>
    <n v="0.1"/>
    <x v="1"/>
    <x v="10"/>
    <n v="0"/>
  </r>
  <r>
    <x v="41"/>
    <x v="25"/>
    <x v="813"/>
    <s v="Texas"/>
    <n v="7"/>
    <n v="397"/>
    <n v="9316"/>
    <n v="3115"/>
    <n v="792"/>
    <n v="775"/>
    <n v="0.40200000000000002"/>
    <n v="0.40699999999999997"/>
    <n v="0.78"/>
    <n v="16"/>
    <n v="8.2000000000000003E-2"/>
    <n v="2006"/>
    <n v="23.5"/>
    <n v="7.8"/>
    <n v="2"/>
    <n v="2"/>
    <x v="1"/>
    <x v="11"/>
    <n v="1"/>
  </r>
  <r>
    <x v="42"/>
    <x v="4"/>
    <x v="814"/>
    <s v="NA"/>
    <n v="2"/>
    <n v="26"/>
    <n v="172"/>
    <n v="50"/>
    <n v="19"/>
    <n v="7"/>
    <n v="0.45700000000000002"/>
    <n v="0.42099999999999999"/>
    <n v="0.55600000000000005"/>
    <n v="0.2"/>
    <n v="5.6000000000000001E-2"/>
    <n v="2006"/>
    <n v="6.6"/>
    <n v="1.9"/>
    <n v="0.7"/>
    <n v="0.3"/>
    <x v="1"/>
    <x v="12"/>
    <n v="0"/>
  </r>
  <r>
    <x v="44"/>
    <x v="24"/>
    <x v="815"/>
    <s v="Florida State"/>
    <n v="2"/>
    <n v="102"/>
    <n v="1302"/>
    <n v="439"/>
    <n v="275"/>
    <n v="30"/>
    <n v="0.51700000000000002"/>
    <n v="0"/>
    <n v="0.67200000000000004"/>
    <n v="1.5"/>
    <n v="5.6000000000000001E-2"/>
    <n v="2006"/>
    <n v="12.8"/>
    <n v="4.3"/>
    <n v="2.7"/>
    <n v="0.3"/>
    <x v="1"/>
    <x v="14"/>
    <n v="0"/>
  </r>
  <r>
    <x v="46"/>
    <x v="22"/>
    <x v="816"/>
    <s v="Louisiana Tech"/>
    <n v="16"/>
    <n v="1078"/>
    <n v="30413"/>
    <n v="14516"/>
    <n v="7655"/>
    <n v="2375"/>
    <n v="0.48899999999999999"/>
    <n v="0.34200000000000003"/>
    <n v="0.73599999999999999"/>
    <n v="95.4"/>
    <n v="0.151"/>
    <n v="2006"/>
    <n v="28.2"/>
    <n v="13.5"/>
    <n v="7.1"/>
    <n v="2.2000000000000002"/>
    <x v="1"/>
    <x v="16"/>
    <n v="1"/>
  </r>
  <r>
    <x v="52"/>
    <x v="2"/>
    <x v="817"/>
    <s v="California"/>
    <n v="5"/>
    <n v="239"/>
    <n v="3320"/>
    <n v="1484"/>
    <n v="911"/>
    <n v="78"/>
    <n v="0.51500000000000001"/>
    <n v="0"/>
    <n v="0.68200000000000005"/>
    <n v="12"/>
    <n v="0.17399999999999999"/>
    <n v="2006"/>
    <n v="13.9"/>
    <n v="6.2"/>
    <n v="3.8"/>
    <n v="0.3"/>
    <x v="1"/>
    <x v="18"/>
    <n v="0"/>
  </r>
  <r>
    <x v="48"/>
    <x v="4"/>
    <x v="818"/>
    <s v="UCLA"/>
    <n v="10"/>
    <n v="518"/>
    <n v="6134"/>
    <n v="1913"/>
    <n v="1140"/>
    <n v="151"/>
    <n v="0.58399999999999996"/>
    <n v="0"/>
    <n v="0.64900000000000002"/>
    <n v="10.4"/>
    <n v="8.1000000000000003E-2"/>
    <n v="2006"/>
    <n v="11.8"/>
    <n v="3.7"/>
    <n v="2.2000000000000002"/>
    <n v="0.3"/>
    <x v="1"/>
    <x v="19"/>
    <n v="1"/>
  </r>
  <r>
    <x v="49"/>
    <x v="19"/>
    <x v="819"/>
    <s v="NA"/>
    <n v="2"/>
    <n v="22"/>
    <n v="114"/>
    <n v="22"/>
    <n v="31"/>
    <n v="1"/>
    <n v="0.25"/>
    <n v="0"/>
    <n v="0.44400000000000001"/>
    <n v="-0.1"/>
    <n v="-5.6000000000000001E-2"/>
    <n v="2006"/>
    <n v="5.2"/>
    <n v="1"/>
    <n v="1.4"/>
    <n v="0"/>
    <x v="1"/>
    <x v="20"/>
    <n v="0"/>
  </r>
  <r>
    <x v="50"/>
    <x v="7"/>
    <x v="820"/>
    <s v="Miami (FL)"/>
    <n v="1"/>
    <n v="6"/>
    <n v="18"/>
    <n v="5"/>
    <n v="2"/>
    <n v="1"/>
    <n v="0.25"/>
    <n v="0"/>
    <n v="0.6"/>
    <n v="0"/>
    <n v="3.3000000000000002E-2"/>
    <n v="2006"/>
    <n v="3"/>
    <n v="0.8"/>
    <n v="0.3"/>
    <n v="0.2"/>
    <x v="1"/>
    <x v="21"/>
    <n v="0"/>
  </r>
  <r>
    <x v="51"/>
    <x v="0"/>
    <x v="821"/>
    <s v="Arizona"/>
    <n v="2"/>
    <n v="73"/>
    <n v="547"/>
    <n v="185"/>
    <n v="84"/>
    <n v="14"/>
    <n v="0.53400000000000003"/>
    <n v="0"/>
    <n v="0.64300000000000002"/>
    <n v="0.8"/>
    <n v="7.1999999999999995E-2"/>
    <n v="2006"/>
    <n v="7.5"/>
    <n v="2.5"/>
    <n v="1.2"/>
    <n v="0.2"/>
    <x v="1"/>
    <x v="23"/>
    <n v="0"/>
  </r>
  <r>
    <x v="59"/>
    <x v="16"/>
    <x v="822"/>
    <s v="NA"/>
    <n v="1"/>
    <n v="30"/>
    <n v="170"/>
    <n v="51"/>
    <n v="31"/>
    <n v="6"/>
    <n v="0.36499999999999999"/>
    <n v="0.375"/>
    <n v="0.63600000000000001"/>
    <n v="-0.2"/>
    <n v="-7.0000000000000007E-2"/>
    <n v="2006"/>
    <n v="5.7"/>
    <n v="1.7"/>
    <n v="1"/>
    <n v="0.2"/>
    <x v="1"/>
    <x v="28"/>
    <n v="0"/>
  </r>
  <r>
    <x v="58"/>
    <x v="18"/>
    <x v="823"/>
    <s v="Iowa State"/>
    <n v="1"/>
    <n v="14"/>
    <n v="166"/>
    <n v="25"/>
    <n v="15"/>
    <n v="17"/>
    <n v="0.3"/>
    <n v="0.2"/>
    <n v="1"/>
    <n v="-0.1"/>
    <n v="-3.2000000000000001E-2"/>
    <n v="2006"/>
    <n v="11.9"/>
    <n v="1.8"/>
    <n v="1.1000000000000001"/>
    <n v="1.2"/>
    <x v="1"/>
    <x v="29"/>
    <n v="0"/>
  </r>
  <r>
    <x v="0"/>
    <x v="17"/>
    <x v="824"/>
    <s v="Ohio State"/>
    <n v="3"/>
    <n v="105"/>
    <n v="2028"/>
    <n v="840"/>
    <n v="656"/>
    <n v="51"/>
    <n v="0.57399999999999995"/>
    <n v="0"/>
    <n v="0.65800000000000003"/>
    <n v="7.3"/>
    <n v="0.17399999999999999"/>
    <n v="2007"/>
    <n v="19.3"/>
    <n v="8"/>
    <n v="6.2"/>
    <n v="0.5"/>
    <x v="0"/>
    <x v="0"/>
    <n v="0"/>
  </r>
  <r>
    <x v="1"/>
    <x v="1"/>
    <x v="825"/>
    <s v="Texas"/>
    <n v="14"/>
    <n v="920"/>
    <n v="33775"/>
    <n v="24936"/>
    <n v="6506"/>
    <n v="3888"/>
    <n v="0.495"/>
    <n v="0.38300000000000001"/>
    <n v="0.88300000000000001"/>
    <n v="152.30000000000001"/>
    <n v="0.216"/>
    <n v="2007"/>
    <n v="36.700000000000003"/>
    <n v="27.1"/>
    <n v="7.1"/>
    <n v="4.2"/>
    <x v="0"/>
    <x v="1"/>
    <n v="1"/>
  </r>
  <r>
    <x v="2"/>
    <x v="9"/>
    <x v="826"/>
    <s v="Florida"/>
    <n v="15"/>
    <n v="932"/>
    <n v="30034"/>
    <n v="12802"/>
    <n v="7625"/>
    <n v="3085"/>
    <n v="0.51400000000000001"/>
    <n v="0.35699999999999998"/>
    <n v="0.75800000000000001"/>
    <n v="97.9"/>
    <n v="0.156"/>
    <n v="2007"/>
    <n v="32.200000000000003"/>
    <n v="13.7"/>
    <n v="8.1999999999999993"/>
    <n v="3.3"/>
    <x v="0"/>
    <x v="2"/>
    <n v="1"/>
  </r>
  <r>
    <x v="3"/>
    <x v="27"/>
    <x v="827"/>
    <s v="Ohio State"/>
    <n v="15"/>
    <n v="938"/>
    <n v="30031"/>
    <n v="13954"/>
    <n v="2815"/>
    <n v="5298"/>
    <n v="0.439"/>
    <n v="0.38100000000000001"/>
    <n v="0.82099999999999995"/>
    <n v="85.3"/>
    <n v="0.13600000000000001"/>
    <n v="2007"/>
    <n v="32"/>
    <n v="14.9"/>
    <n v="3"/>
    <n v="5.6"/>
    <x v="0"/>
    <x v="3"/>
    <n v="1"/>
  </r>
  <r>
    <x v="4"/>
    <x v="14"/>
    <x v="828"/>
    <s v="Georgetown"/>
    <n v="14"/>
    <n v="1030"/>
    <n v="29939"/>
    <n v="13084"/>
    <n v="4441"/>
    <n v="1596"/>
    <n v="0.44700000000000001"/>
    <n v="0.34"/>
    <n v="0.80500000000000005"/>
    <n v="49.2"/>
    <n v="7.9000000000000001E-2"/>
    <n v="2007"/>
    <n v="29.1"/>
    <n v="12.7"/>
    <n v="4.3"/>
    <n v="1.5"/>
    <x v="0"/>
    <x v="4"/>
    <n v="1"/>
  </r>
  <r>
    <x v="5"/>
    <x v="12"/>
    <x v="829"/>
    <s v="NA"/>
    <n v="5"/>
    <n v="272"/>
    <n v="6038"/>
    <n v="2148"/>
    <n v="1339"/>
    <n v="192"/>
    <n v="0.40400000000000003"/>
    <n v="0.33300000000000002"/>
    <n v="0.78"/>
    <n v="3.1"/>
    <n v="2.5000000000000001E-2"/>
    <n v="2007"/>
    <n v="22.2"/>
    <n v="7.9"/>
    <n v="4.9000000000000004"/>
    <n v="0.7"/>
    <x v="0"/>
    <x v="5"/>
    <n v="0"/>
  </r>
  <r>
    <x v="6"/>
    <x v="5"/>
    <x v="830"/>
    <s v="Florida"/>
    <n v="13"/>
    <n v="819"/>
    <n v="18771"/>
    <n v="7097"/>
    <n v="2287"/>
    <n v="1250"/>
    <n v="0.42499999999999999"/>
    <n v="0.28399999999999997"/>
    <n v="0.71299999999999997"/>
    <n v="22.5"/>
    <n v="5.8000000000000003E-2"/>
    <n v="2007"/>
    <n v="22.9"/>
    <n v="8.6999999999999993"/>
    <n v="2.8"/>
    <n v="1.5"/>
    <x v="0"/>
    <x v="6"/>
    <n v="1"/>
  </r>
  <r>
    <x v="7"/>
    <x v="4"/>
    <x v="831"/>
    <s v="UNC"/>
    <n v="10"/>
    <n v="428"/>
    <n v="6949"/>
    <n v="2976"/>
    <n v="1560"/>
    <n v="199"/>
    <n v="0.60699999999999998"/>
    <n v="0"/>
    <n v="0.67400000000000004"/>
    <n v="26.2"/>
    <n v="0.18099999999999999"/>
    <n v="2007"/>
    <n v="16.2"/>
    <n v="7"/>
    <n v="3.6"/>
    <n v="0.5"/>
    <x v="0"/>
    <x v="7"/>
    <n v="1"/>
  </r>
  <r>
    <x v="8"/>
    <x v="20"/>
    <x v="832"/>
    <s v="Florida"/>
    <n v="13"/>
    <n v="672"/>
    <n v="18646"/>
    <n v="5881"/>
    <n v="6058"/>
    <n v="1907"/>
    <n v="0.49099999999999999"/>
    <n v="0"/>
    <n v="0.7"/>
    <n v="61.9"/>
    <n v="0.159"/>
    <n v="2007"/>
    <n v="27.7"/>
    <n v="8.8000000000000007"/>
    <n v="9"/>
    <n v="2.8"/>
    <x v="0"/>
    <x v="8"/>
    <n v="1"/>
  </r>
  <r>
    <x v="9"/>
    <x v="6"/>
    <x v="833"/>
    <s v="Washington"/>
    <n v="10"/>
    <n v="684"/>
    <n v="15541"/>
    <n v="5932"/>
    <n v="3893"/>
    <n v="1271"/>
    <n v="0.45700000000000002"/>
    <n v="0.35"/>
    <n v="0.71599999999999997"/>
    <n v="22.6"/>
    <n v="7.0000000000000007E-2"/>
    <n v="2007"/>
    <n v="22.7"/>
    <n v="8.6999999999999993"/>
    <n v="5.7"/>
    <n v="1.9"/>
    <x v="0"/>
    <x v="9"/>
    <n v="1"/>
  </r>
  <r>
    <x v="10"/>
    <x v="9"/>
    <x v="834"/>
    <s v="Texas A&amp;M"/>
    <n v="4"/>
    <n v="188"/>
    <n v="2385"/>
    <n v="725"/>
    <n v="195"/>
    <n v="309"/>
    <n v="0.41299999999999998"/>
    <n v="0.23499999999999999"/>
    <n v="0.77800000000000002"/>
    <n v="1.6"/>
    <n v="3.2000000000000001E-2"/>
    <n v="2007"/>
    <n v="12.7"/>
    <n v="3.9"/>
    <n v="1"/>
    <n v="1.6"/>
    <x v="0"/>
    <x v="10"/>
    <n v="0"/>
  </r>
  <r>
    <x v="11"/>
    <x v="21"/>
    <x v="835"/>
    <s v="Georgia Tech"/>
    <n v="15"/>
    <n v="1061"/>
    <n v="31336"/>
    <n v="13698"/>
    <n v="6239"/>
    <n v="1960"/>
    <n v="0.502"/>
    <n v="0.33"/>
    <n v="0.66500000000000004"/>
    <n v="67.7"/>
    <n v="0.104"/>
    <n v="2007"/>
    <n v="29.5"/>
    <n v="12.9"/>
    <n v="5.9"/>
    <n v="1.8"/>
    <x v="0"/>
    <x v="11"/>
    <n v="1"/>
  </r>
  <r>
    <x v="12"/>
    <x v="4"/>
    <x v="836"/>
    <s v="Kansas"/>
    <n v="4"/>
    <n v="231"/>
    <n v="3049"/>
    <n v="907"/>
    <n v="531"/>
    <n v="182"/>
    <n v="0.499"/>
    <n v="0.26200000000000001"/>
    <n v="0.58399999999999996"/>
    <n v="3.9"/>
    <n v="6.0999999999999999E-2"/>
    <n v="2007"/>
    <n v="13.2"/>
    <n v="3.9"/>
    <n v="2.2999999999999998"/>
    <n v="0.8"/>
    <x v="0"/>
    <x v="12"/>
    <n v="0"/>
  </r>
  <r>
    <x v="13"/>
    <x v="7"/>
    <x v="837"/>
    <s v="Florida State"/>
    <n v="4"/>
    <n v="296"/>
    <n v="8274"/>
    <n v="3527"/>
    <n v="1233"/>
    <n v="353"/>
    <n v="0.45200000000000001"/>
    <n v="0.29299999999999998"/>
    <n v="0.747"/>
    <n v="6.1"/>
    <n v="3.5000000000000003E-2"/>
    <n v="2007"/>
    <n v="28"/>
    <n v="11.9"/>
    <n v="4.2"/>
    <n v="1.2"/>
    <x v="0"/>
    <x v="13"/>
    <n v="0"/>
  </r>
  <r>
    <x v="14"/>
    <x v="18"/>
    <x v="838"/>
    <s v="Eastern Washington"/>
    <n v="10"/>
    <n v="651"/>
    <n v="17890"/>
    <n v="8185"/>
    <n v="1912"/>
    <n v="2333"/>
    <n v="0.42299999999999999"/>
    <n v="0.3"/>
    <n v="0.82399999999999995"/>
    <n v="28.7"/>
    <n v="7.6999999999999999E-2"/>
    <n v="2007"/>
    <n v="27.5"/>
    <n v="12.6"/>
    <n v="2.9"/>
    <n v="3.6"/>
    <x v="0"/>
    <x v="14"/>
    <n v="1"/>
  </r>
  <r>
    <x v="15"/>
    <x v="23"/>
    <x v="839"/>
    <s v="USC"/>
    <n v="12"/>
    <n v="720"/>
    <n v="16419"/>
    <n v="8194"/>
    <n v="1427"/>
    <n v="687"/>
    <n v="0.41799999999999998"/>
    <n v="0.376"/>
    <n v="0.83599999999999997"/>
    <n v="18.600000000000001"/>
    <n v="5.3999999999999999E-2"/>
    <n v="2007"/>
    <n v="22.8"/>
    <n v="11.4"/>
    <n v="2"/>
    <n v="1"/>
    <x v="0"/>
    <x v="15"/>
    <n v="1"/>
  </r>
  <r>
    <x v="16"/>
    <x v="0"/>
    <x v="840"/>
    <s v="Boston College"/>
    <n v="4"/>
    <n v="137"/>
    <n v="1978"/>
    <n v="581"/>
    <n v="472"/>
    <n v="47"/>
    <n v="0.51100000000000001"/>
    <n v="0"/>
    <n v="0.624"/>
    <n v="3"/>
    <n v="7.2999999999999995E-2"/>
    <n v="2007"/>
    <n v="14.4"/>
    <n v="4.2"/>
    <n v="3.4"/>
    <n v="0.3"/>
    <x v="0"/>
    <x v="16"/>
    <n v="0"/>
  </r>
  <r>
    <x v="17"/>
    <x v="10"/>
    <x v="841"/>
    <s v="NA"/>
    <n v="13"/>
    <n v="860"/>
    <n v="19548"/>
    <n v="8370"/>
    <n v="1769"/>
    <n v="1429"/>
    <n v="0.42399999999999999"/>
    <n v="0.376"/>
    <n v="0.84599999999999997"/>
    <n v="30.5"/>
    <n v="7.4999999999999997E-2"/>
    <n v="2007"/>
    <n v="22.7"/>
    <n v="9.6999999999999993"/>
    <n v="2.1"/>
    <n v="1.7"/>
    <x v="0"/>
    <x v="17"/>
    <n v="1"/>
  </r>
  <r>
    <x v="18"/>
    <x v="19"/>
    <x v="842"/>
    <s v="Georgia Tech"/>
    <n v="2"/>
    <n v="113"/>
    <n v="1853"/>
    <n v="595"/>
    <n v="276"/>
    <n v="201"/>
    <n v="0.442"/>
    <n v="0.23100000000000001"/>
    <n v="0.63800000000000001"/>
    <n v="0.1"/>
    <n v="2E-3"/>
    <n v="2007"/>
    <n v="16.399999999999999"/>
    <n v="5.3"/>
    <n v="2.4"/>
    <n v="1.8"/>
    <x v="0"/>
    <x v="18"/>
    <n v="0"/>
  </r>
  <r>
    <x v="19"/>
    <x v="8"/>
    <x v="843"/>
    <s v="Colorado State"/>
    <n v="11"/>
    <n v="616"/>
    <n v="10029"/>
    <n v="3777"/>
    <n v="2075"/>
    <n v="453"/>
    <n v="0.46800000000000003"/>
    <n v="0.33300000000000002"/>
    <n v="0.78300000000000003"/>
    <n v="14.1"/>
    <n v="6.7000000000000004E-2"/>
    <n v="2007"/>
    <n v="16.3"/>
    <n v="6.1"/>
    <n v="3.4"/>
    <n v="0.7"/>
    <x v="0"/>
    <x v="19"/>
    <n v="1"/>
  </r>
  <r>
    <x v="20"/>
    <x v="21"/>
    <x v="844"/>
    <s v="Ohio State"/>
    <n v="6"/>
    <n v="328"/>
    <n v="5993"/>
    <n v="2114"/>
    <n v="703"/>
    <n v="243"/>
    <n v="0.36899999999999999"/>
    <n v="0.35899999999999999"/>
    <n v="0.81299999999999994"/>
    <n v="4.9000000000000004"/>
    <n v="3.9E-2"/>
    <n v="2007"/>
    <n v="18.3"/>
    <n v="6.4"/>
    <n v="2.1"/>
    <n v="0.7"/>
    <x v="0"/>
    <x v="20"/>
    <n v="1"/>
  </r>
  <r>
    <x v="21"/>
    <x v="4"/>
    <x v="845"/>
    <s v="Boston College"/>
    <n v="14"/>
    <n v="904"/>
    <n v="20117"/>
    <n v="6633"/>
    <n v="2849"/>
    <n v="1394"/>
    <n v="0.46300000000000002"/>
    <n v="0.39300000000000002"/>
    <n v="0.73199999999999998"/>
    <n v="43"/>
    <n v="0.10299999999999999"/>
    <n v="2007"/>
    <n v="22.3"/>
    <n v="7.3"/>
    <n v="3.2"/>
    <n v="1.5"/>
    <x v="0"/>
    <x v="21"/>
    <n v="1"/>
  </r>
  <r>
    <x v="22"/>
    <x v="13"/>
    <x v="846"/>
    <s v="DePaul"/>
    <n v="12"/>
    <n v="676"/>
    <n v="20287"/>
    <n v="8463"/>
    <n v="3574"/>
    <n v="1205"/>
    <n v="0.443"/>
    <n v="0.34100000000000003"/>
    <n v="0.77"/>
    <n v="29"/>
    <n v="6.9000000000000006E-2"/>
    <n v="2007"/>
    <n v="30"/>
    <n v="12.5"/>
    <n v="5.3"/>
    <n v="1.8"/>
    <x v="0"/>
    <x v="22"/>
    <n v="1"/>
  </r>
  <r>
    <x v="23"/>
    <x v="15"/>
    <x v="847"/>
    <s v="NA"/>
    <n v="4"/>
    <n v="249"/>
    <n v="5965"/>
    <n v="2254"/>
    <n v="608"/>
    <n v="554"/>
    <n v="0.39900000000000002"/>
    <n v="0.36"/>
    <n v="0.84"/>
    <n v="14.2"/>
    <n v="0.114"/>
    <n v="2007"/>
    <n v="24"/>
    <n v="9.1"/>
    <n v="2.4"/>
    <n v="2.2000000000000002"/>
    <x v="0"/>
    <x v="23"/>
    <n v="0"/>
  </r>
  <r>
    <x v="24"/>
    <x v="22"/>
    <x v="848"/>
    <s v="Rice University"/>
    <n v="3"/>
    <n v="38"/>
    <n v="361"/>
    <n v="119"/>
    <n v="46"/>
    <n v="12"/>
    <n v="0.38100000000000001"/>
    <n v="0.29199999999999998"/>
    <n v="0.74299999999999999"/>
    <n v="0"/>
    <n v="5.0000000000000001E-3"/>
    <n v="2007"/>
    <n v="9.5"/>
    <n v="3.1"/>
    <n v="1.2"/>
    <n v="0.3"/>
    <x v="0"/>
    <x v="24"/>
    <n v="0"/>
  </r>
  <r>
    <x v="25"/>
    <x v="11"/>
    <x v="849"/>
    <s v="Oregon"/>
    <n v="10"/>
    <n v="645"/>
    <n v="13439"/>
    <n v="6259"/>
    <n v="1079"/>
    <n v="1925"/>
    <n v="0.41299999999999998"/>
    <n v="0.37"/>
    <n v="0.83699999999999997"/>
    <n v="19.2"/>
    <n v="6.9000000000000006E-2"/>
    <n v="2007"/>
    <n v="20.8"/>
    <n v="9.6999999999999993"/>
    <n v="1.7"/>
    <n v="3"/>
    <x v="0"/>
    <x v="25"/>
    <n v="1"/>
  </r>
  <r>
    <x v="26"/>
    <x v="18"/>
    <x v="850"/>
    <s v="UCLA"/>
    <n v="11"/>
    <n v="762"/>
    <n v="20829"/>
    <n v="8198"/>
    <n v="2176"/>
    <n v="1386"/>
    <n v="0.45"/>
    <n v="0.38600000000000001"/>
    <n v="0.82499999999999996"/>
    <n v="33.5"/>
    <n v="7.6999999999999999E-2"/>
    <n v="2007"/>
    <n v="27.3"/>
    <n v="10.8"/>
    <n v="2.9"/>
    <n v="1.8"/>
    <x v="0"/>
    <x v="26"/>
    <n v="1"/>
  </r>
  <r>
    <x v="27"/>
    <x v="16"/>
    <x v="851"/>
    <s v="NA"/>
    <n v="7"/>
    <n v="355"/>
    <n v="6812"/>
    <n v="2816"/>
    <n v="1779"/>
    <n v="423"/>
    <n v="0.55500000000000005"/>
    <n v="0.14299999999999999"/>
    <n v="0.69699999999999995"/>
    <n v="25.3"/>
    <n v="0.17799999999999999"/>
    <n v="2007"/>
    <n v="19.2"/>
    <n v="7.9"/>
    <n v="5"/>
    <n v="1.2"/>
    <x v="0"/>
    <x v="27"/>
    <n v="1"/>
  </r>
  <r>
    <x v="28"/>
    <x v="15"/>
    <x v="852"/>
    <s v="Wisconsin"/>
    <n v="3"/>
    <n v="51"/>
    <n v="426"/>
    <n v="211"/>
    <n v="49"/>
    <n v="16"/>
    <n v="0.42299999999999999"/>
    <n v="0.29399999999999998"/>
    <n v="0.78300000000000003"/>
    <n v="0.4"/>
    <n v="4.4999999999999998E-2"/>
    <n v="2007"/>
    <n v="8.4"/>
    <n v="4.0999999999999996"/>
    <n v="1"/>
    <n v="0.3"/>
    <x v="0"/>
    <x v="28"/>
    <n v="0"/>
  </r>
  <r>
    <x v="30"/>
    <x v="1"/>
    <x v="853"/>
    <s v="Purdue"/>
    <n v="9"/>
    <n v="513"/>
    <n v="11524"/>
    <n v="5541"/>
    <n v="2533"/>
    <n v="355"/>
    <n v="0.53500000000000003"/>
    <n v="0.3"/>
    <n v="0.78500000000000003"/>
    <n v="35.9"/>
    <n v="0.14899999999999999"/>
    <n v="2007"/>
    <n v="22.5"/>
    <n v="10.8"/>
    <n v="4.9000000000000004"/>
    <n v="0.7"/>
    <x v="1"/>
    <x v="0"/>
    <n v="1"/>
  </r>
  <r>
    <x v="31"/>
    <x v="14"/>
    <x v="854"/>
    <s v="USC"/>
    <n v="2"/>
    <n v="62"/>
    <n v="461"/>
    <n v="125"/>
    <n v="51"/>
    <n v="52"/>
    <n v="0.32100000000000001"/>
    <n v="0.28299999999999997"/>
    <n v="0.78300000000000003"/>
    <n v="0.4"/>
    <n v="4.2999999999999997E-2"/>
    <n v="2007"/>
    <n v="7.4"/>
    <n v="2"/>
    <n v="0.8"/>
    <n v="0.8"/>
    <x v="1"/>
    <x v="1"/>
    <n v="0"/>
  </r>
  <r>
    <x v="33"/>
    <x v="26"/>
    <x v="855"/>
    <s v="Nevada"/>
    <n v="1"/>
    <n v="26"/>
    <n v="269"/>
    <n v="107"/>
    <n v="89"/>
    <n v="11"/>
    <n v="0.56100000000000005"/>
    <n v="0"/>
    <n v="0.68200000000000005"/>
    <n v="0.8"/>
    <n v="0.14799999999999999"/>
    <n v="2007"/>
    <n v="10.3"/>
    <n v="4.0999999999999996"/>
    <n v="3.4"/>
    <n v="0.4"/>
    <x v="1"/>
    <x v="3"/>
    <n v="0"/>
  </r>
  <r>
    <x v="34"/>
    <x v="1"/>
    <x v="856"/>
    <s v="LSU"/>
    <n v="8"/>
    <n v="514"/>
    <n v="10865"/>
    <n v="4111"/>
    <n v="2236"/>
    <n v="457"/>
    <n v="0.44700000000000001"/>
    <n v="0.182"/>
    <n v="0.7"/>
    <n v="18.600000000000001"/>
    <n v="8.2000000000000003E-2"/>
    <n v="2007"/>
    <n v="21.1"/>
    <n v="8"/>
    <n v="4.4000000000000004"/>
    <n v="0.9"/>
    <x v="1"/>
    <x v="4"/>
    <n v="1"/>
  </r>
  <r>
    <x v="35"/>
    <x v="10"/>
    <x v="857"/>
    <s v="Alabama"/>
    <n v="2"/>
    <n v="52"/>
    <n v="433"/>
    <n v="162"/>
    <n v="96"/>
    <n v="14"/>
    <n v="0.42499999999999999"/>
    <n v="0"/>
    <n v="0.57799999999999996"/>
    <n v="0"/>
    <n v="0"/>
    <n v="2007"/>
    <n v="8.3000000000000007"/>
    <n v="3.1"/>
    <n v="1.8"/>
    <n v="0.3"/>
    <x v="1"/>
    <x v="5"/>
    <n v="0"/>
  </r>
  <r>
    <x v="36"/>
    <x v="17"/>
    <x v="858"/>
    <s v="Duke"/>
    <n v="11"/>
    <n v="433"/>
    <n v="8271"/>
    <n v="2333"/>
    <n v="1686"/>
    <n v="901"/>
    <n v="0.46300000000000002"/>
    <n v="0.34"/>
    <n v="0.70499999999999996"/>
    <n v="18.5"/>
    <n v="0.107"/>
    <n v="2007"/>
    <n v="19.100000000000001"/>
    <n v="5.4"/>
    <n v="3.9"/>
    <n v="2.1"/>
    <x v="1"/>
    <x v="6"/>
    <n v="1"/>
  </r>
  <r>
    <x v="37"/>
    <x v="21"/>
    <x v="859"/>
    <s v="NA"/>
    <n v="5"/>
    <n v="135"/>
    <n v="1107"/>
    <n v="305"/>
    <n v="269"/>
    <n v="40"/>
    <n v="0.496"/>
    <n v="0"/>
    <n v="0.41"/>
    <n v="0.9"/>
    <n v="3.7999999999999999E-2"/>
    <n v="2007"/>
    <n v="8.1999999999999993"/>
    <n v="2.2999999999999998"/>
    <n v="2"/>
    <n v="0.3"/>
    <x v="1"/>
    <x v="7"/>
    <n v="0"/>
  </r>
  <r>
    <x v="39"/>
    <x v="19"/>
    <x v="860"/>
    <s v="NA"/>
    <n v="1"/>
    <n v="10"/>
    <n v="28"/>
    <n v="6"/>
    <n v="0"/>
    <n v="2"/>
    <n v="0.27300000000000002"/>
    <n v="0"/>
    <n v="0"/>
    <n v="-0.1"/>
    <n v="-0.22600000000000001"/>
    <n v="2007"/>
    <n v="2.8"/>
    <n v="0.6"/>
    <n v="0"/>
    <n v="0.2"/>
    <x v="1"/>
    <x v="9"/>
    <n v="0"/>
  </r>
  <r>
    <x v="40"/>
    <x v="5"/>
    <x v="861"/>
    <s v="Florida"/>
    <n v="2"/>
    <n v="70"/>
    <n v="780"/>
    <n v="135"/>
    <n v="194"/>
    <n v="25"/>
    <n v="0.48299999999999998"/>
    <n v="0"/>
    <n v="0.60499999999999998"/>
    <n v="0.7"/>
    <n v="4.4999999999999998E-2"/>
    <n v="2007"/>
    <n v="11.1"/>
    <n v="1.9"/>
    <n v="2.8"/>
    <n v="0.4"/>
    <x v="1"/>
    <x v="10"/>
    <n v="0"/>
  </r>
  <r>
    <x v="41"/>
    <x v="17"/>
    <x v="862"/>
    <s v="Vanderbilt"/>
    <n v="1"/>
    <n v="2"/>
    <n v="37"/>
    <n v="10"/>
    <n v="11"/>
    <n v="1"/>
    <n v="0.27300000000000002"/>
    <n v="0"/>
    <n v="1"/>
    <n v="0.1"/>
    <n v="0.14699999999999999"/>
    <n v="2007"/>
    <n v="18.5"/>
    <n v="5"/>
    <n v="5.5"/>
    <n v="0.5"/>
    <x v="1"/>
    <x v="11"/>
    <n v="0"/>
  </r>
  <r>
    <x v="45"/>
    <x v="10"/>
    <x v="863"/>
    <s v="UMass"/>
    <n v="1"/>
    <n v="16"/>
    <n v="303"/>
    <n v="83"/>
    <n v="53"/>
    <n v="3"/>
    <n v="0.45100000000000001"/>
    <n v="0"/>
    <n v="0.59399999999999997"/>
    <n v="0.3"/>
    <n v="4.1000000000000002E-2"/>
    <n v="2007"/>
    <n v="18.899999999999999"/>
    <n v="5.2"/>
    <n v="3.3"/>
    <n v="0.2"/>
    <x v="1"/>
    <x v="15"/>
    <n v="0"/>
  </r>
  <r>
    <x v="46"/>
    <x v="23"/>
    <x v="864"/>
    <s v="Fresno State"/>
    <n v="6"/>
    <n v="342"/>
    <n v="5348"/>
    <n v="939"/>
    <n v="1169"/>
    <n v="422"/>
    <n v="0.41899999999999998"/>
    <n v="0.188"/>
    <n v="0.65800000000000003"/>
    <n v="4.0999999999999996"/>
    <n v="3.6999999999999998E-2"/>
    <n v="2007"/>
    <n v="15.6"/>
    <n v="2.7"/>
    <n v="3.4"/>
    <n v="1.2"/>
    <x v="1"/>
    <x v="16"/>
    <n v="1"/>
  </r>
  <r>
    <x v="47"/>
    <x v="19"/>
    <x v="865"/>
    <s v="NA"/>
    <n v="13"/>
    <n v="891"/>
    <n v="28719"/>
    <n v="12514"/>
    <n v="6604"/>
    <n v="2996"/>
    <n v="0.48099999999999998"/>
    <n v="0.36"/>
    <n v="0.77600000000000002"/>
    <n v="85.3"/>
    <n v="0.14299999999999999"/>
    <n v="2007"/>
    <n v="32.200000000000003"/>
    <n v="14"/>
    <n v="7.4"/>
    <n v="3.4"/>
    <x v="1"/>
    <x v="17"/>
    <n v="1"/>
  </r>
  <r>
    <x v="52"/>
    <x v="20"/>
    <x v="866"/>
    <s v="Pitt"/>
    <n v="7"/>
    <n v="318"/>
    <n v="3851"/>
    <n v="1066"/>
    <n v="1190"/>
    <n v="207"/>
    <n v="0.50900000000000001"/>
    <n v="0"/>
    <n v="0.56200000000000006"/>
    <n v="6.2"/>
    <n v="7.6999999999999999E-2"/>
    <n v="2007"/>
    <n v="12.1"/>
    <n v="3.4"/>
    <n v="3.7"/>
    <n v="0.7"/>
    <x v="1"/>
    <x v="18"/>
    <n v="1"/>
  </r>
  <r>
    <x v="49"/>
    <x v="20"/>
    <x v="867"/>
    <s v="Oklahoma State"/>
    <n v="1"/>
    <n v="1"/>
    <n v="0"/>
    <n v="0"/>
    <n v="0"/>
    <n v="0"/>
    <n v="0"/>
    <n v="0"/>
    <n v="0"/>
    <n v="0"/>
    <n v="0"/>
    <n v="2007"/>
    <n v="0"/>
    <n v="0"/>
    <n v="0"/>
    <n v="0"/>
    <x v="1"/>
    <x v="20"/>
    <n v="0"/>
  </r>
  <r>
    <x v="50"/>
    <x v="17"/>
    <x v="868"/>
    <s v="Florida"/>
    <n v="1"/>
    <n v="17"/>
    <n v="74"/>
    <n v="27"/>
    <n v="10"/>
    <n v="11"/>
    <n v="0.28000000000000003"/>
    <n v="0.182"/>
    <n v="0.91700000000000004"/>
    <n v="-0.1"/>
    <n v="-6.6000000000000003E-2"/>
    <n v="2007"/>
    <n v="4.4000000000000004"/>
    <n v="1.6"/>
    <n v="0.6"/>
    <n v="0.6"/>
    <x v="1"/>
    <x v="21"/>
    <n v="0"/>
  </r>
  <r>
    <x v="57"/>
    <x v="17"/>
    <x v="869"/>
    <s v="Syracuse"/>
    <n v="2"/>
    <n v="18"/>
    <n v="58"/>
    <n v="22"/>
    <n v="7"/>
    <n v="2"/>
    <n v="0.28100000000000003"/>
    <n v="0.2"/>
    <n v="0.5"/>
    <n v="-0.2"/>
    <n v="-0.20300000000000001"/>
    <n v="2007"/>
    <n v="3.2"/>
    <n v="1.2"/>
    <n v="0.4"/>
    <n v="0.1"/>
    <x v="1"/>
    <x v="22"/>
    <n v="0"/>
  </r>
  <r>
    <x v="54"/>
    <x v="12"/>
    <x v="870"/>
    <s v="Nevada"/>
    <n v="11"/>
    <n v="691"/>
    <n v="16119"/>
    <n v="7141"/>
    <n v="1840"/>
    <n v="2807"/>
    <n v="0.434"/>
    <n v="0.316"/>
    <n v="0.79100000000000004"/>
    <n v="28.8"/>
    <n v="8.5999999999999993E-2"/>
    <n v="2007"/>
    <n v="23.3"/>
    <n v="10.3"/>
    <n v="2.7"/>
    <n v="4.0999999999999996"/>
    <x v="1"/>
    <x v="25"/>
    <n v="1"/>
  </r>
  <r>
    <x v="59"/>
    <x v="15"/>
    <x v="871"/>
    <s v="Maryland"/>
    <n v="1"/>
    <n v="33"/>
    <n v="270"/>
    <n v="73"/>
    <n v="28"/>
    <n v="30"/>
    <n v="0.315"/>
    <n v="0.24"/>
    <n v="0.47399999999999998"/>
    <n v="-0.2"/>
    <n v="-3.1E-2"/>
    <n v="2007"/>
    <n v="8.1999999999999993"/>
    <n v="2.2000000000000002"/>
    <n v="0.8"/>
    <n v="0.9"/>
    <x v="1"/>
    <x v="28"/>
    <n v="0"/>
  </r>
  <r>
    <x v="0"/>
    <x v="20"/>
    <x v="872"/>
    <s v="Memphis"/>
    <n v="13"/>
    <n v="672"/>
    <n v="21317"/>
    <n v="12230"/>
    <n v="2239"/>
    <n v="3646"/>
    <n v="0.45700000000000002"/>
    <n v="0.316"/>
    <n v="0.83"/>
    <n v="44.2"/>
    <n v="0.1"/>
    <n v="2008"/>
    <n v="31.7"/>
    <n v="18.2"/>
    <n v="3.3"/>
    <n v="5.4"/>
    <x v="0"/>
    <x v="0"/>
    <n v="1"/>
  </r>
  <r>
    <x v="1"/>
    <x v="8"/>
    <x v="873"/>
    <s v="Kansas State"/>
    <n v="11"/>
    <n v="609"/>
    <n v="13903"/>
    <n v="7568"/>
    <n v="2861"/>
    <n v="788"/>
    <n v="0.46500000000000002"/>
    <n v="0.34899999999999998"/>
    <n v="0.75900000000000001"/>
    <n v="15.6"/>
    <n v="5.3999999999999999E-2"/>
    <n v="2008"/>
    <n v="22.8"/>
    <n v="12.4"/>
    <n v="4.7"/>
    <n v="1.3"/>
    <x v="0"/>
    <x v="1"/>
    <n v="1"/>
  </r>
  <r>
    <x v="2"/>
    <x v="5"/>
    <x v="874"/>
    <s v="USC"/>
    <n v="8"/>
    <n v="547"/>
    <n v="16919"/>
    <n v="7574"/>
    <n v="1706"/>
    <n v="1607"/>
    <n v="0.42899999999999999"/>
    <n v="0.373"/>
    <n v="0.82"/>
    <n v="21.8"/>
    <n v="6.2E-2"/>
    <n v="2008"/>
    <n v="30.9"/>
    <n v="13.8"/>
    <n v="3.1"/>
    <n v="2.9"/>
    <x v="0"/>
    <x v="2"/>
    <n v="1"/>
  </r>
  <r>
    <x v="3"/>
    <x v="1"/>
    <x v="875"/>
    <s v="UCLA"/>
    <n v="14"/>
    <n v="1000"/>
    <n v="34718"/>
    <n v="22899"/>
    <n v="7405"/>
    <n v="8491"/>
    <n v="0.437"/>
    <n v="0.30499999999999999"/>
    <n v="0.78500000000000003"/>
    <n v="106.4"/>
    <n v="0.14699999999999999"/>
    <n v="2008"/>
    <n v="34.700000000000003"/>
    <n v="22.9"/>
    <n v="7.4"/>
    <n v="8.5"/>
    <x v="0"/>
    <x v="3"/>
    <n v="1"/>
  </r>
  <r>
    <x v="4"/>
    <x v="27"/>
    <x v="876"/>
    <s v="UCLA"/>
    <n v="14"/>
    <n v="788"/>
    <n v="24542"/>
    <n v="14013"/>
    <n v="8497"/>
    <n v="1867"/>
    <n v="0.441"/>
    <n v="0.372"/>
    <n v="0.82899999999999996"/>
    <n v="87.5"/>
    <n v="0.17100000000000001"/>
    <n v="2008"/>
    <n v="31.1"/>
    <n v="17.8"/>
    <n v="10.8"/>
    <n v="2.4"/>
    <x v="0"/>
    <x v="4"/>
    <n v="1"/>
  </r>
  <r>
    <x v="5"/>
    <x v="13"/>
    <x v="877"/>
    <s v="NA"/>
    <n v="13"/>
    <n v="709"/>
    <n v="21209"/>
    <n v="11053"/>
    <n v="3408"/>
    <n v="1377"/>
    <n v="0.42699999999999999"/>
    <n v="0.38300000000000001"/>
    <n v="0.877"/>
    <n v="62.9"/>
    <n v="0.14199999999999999"/>
    <n v="2008"/>
    <n v="29.9"/>
    <n v="15.6"/>
    <n v="4.8"/>
    <n v="1.9"/>
    <x v="0"/>
    <x v="5"/>
    <n v="1"/>
  </r>
  <r>
    <x v="6"/>
    <x v="7"/>
    <x v="878"/>
    <s v="Indiana"/>
    <n v="14"/>
    <n v="739"/>
    <n v="23982"/>
    <n v="12169"/>
    <n v="1793"/>
    <n v="2107"/>
    <n v="0.42799999999999999"/>
    <n v="0.37"/>
    <n v="0.81"/>
    <n v="36.299999999999997"/>
    <n v="7.2999999999999995E-2"/>
    <n v="2008"/>
    <n v="32.5"/>
    <n v="16.5"/>
    <n v="2.4"/>
    <n v="2.9"/>
    <x v="0"/>
    <x v="6"/>
    <n v="1"/>
  </r>
  <r>
    <x v="7"/>
    <x v="12"/>
    <x v="879"/>
    <s v="West Virginia"/>
    <n v="2"/>
    <n v="67"/>
    <n v="745"/>
    <n v="282"/>
    <n v="120"/>
    <n v="44"/>
    <n v="0.41"/>
    <n v="0.34"/>
    <n v="0.69799999999999995"/>
    <n v="0.5"/>
    <n v="0.03"/>
    <n v="2008"/>
    <n v="11.1"/>
    <n v="4.2"/>
    <n v="1.8"/>
    <n v="0.7"/>
    <x v="0"/>
    <x v="7"/>
    <n v="0"/>
  </r>
  <r>
    <x v="8"/>
    <x v="4"/>
    <x v="880"/>
    <s v="Texas"/>
    <n v="14"/>
    <n v="955"/>
    <n v="22478"/>
    <n v="9147"/>
    <n v="1778"/>
    <n v="3728"/>
    <n v="0.41099999999999998"/>
    <n v="0.38"/>
    <n v="0.86699999999999999"/>
    <n v="47"/>
    <n v="0.1"/>
    <n v="2008"/>
    <n v="23.5"/>
    <n v="9.6"/>
    <n v="1.9"/>
    <n v="3.9"/>
    <x v="0"/>
    <x v="8"/>
    <n v="1"/>
  </r>
  <r>
    <x v="9"/>
    <x v="0"/>
    <x v="881"/>
    <s v="Stanford"/>
    <n v="14"/>
    <n v="856"/>
    <n v="25922"/>
    <n v="14094"/>
    <n v="5359"/>
    <n v="1240"/>
    <n v="0.49399999999999999"/>
    <n v="0.34"/>
    <n v="0.79600000000000004"/>
    <n v="70.900000000000006"/>
    <n v="0.13100000000000001"/>
    <n v="2008"/>
    <n v="30.3"/>
    <n v="16.5"/>
    <n v="6.3"/>
    <n v="1.4"/>
    <x v="0"/>
    <x v="9"/>
    <n v="1"/>
  </r>
  <r>
    <x v="10"/>
    <x v="24"/>
    <x v="882"/>
    <s v="Arizona"/>
    <n v="11"/>
    <n v="586"/>
    <n v="12486"/>
    <n v="4909"/>
    <n v="1235"/>
    <n v="1674"/>
    <n v="0.41099999999999998"/>
    <n v="0.36099999999999999"/>
    <n v="0.81799999999999995"/>
    <n v="18.600000000000001"/>
    <n v="7.1999999999999995E-2"/>
    <n v="2008"/>
    <n v="21.3"/>
    <n v="8.4"/>
    <n v="2.1"/>
    <n v="2.9"/>
    <x v="0"/>
    <x v="10"/>
    <n v="1"/>
  </r>
  <r>
    <x v="11"/>
    <x v="6"/>
    <x v="883"/>
    <s v="Rider University"/>
    <n v="8"/>
    <n v="588"/>
    <n v="14819"/>
    <n v="5210"/>
    <n v="3880"/>
    <n v="635"/>
    <n v="0.496"/>
    <n v="0.14299999999999999"/>
    <n v="0.65700000000000003"/>
    <n v="23.8"/>
    <n v="7.6999999999999999E-2"/>
    <n v="2008"/>
    <n v="25.2"/>
    <n v="8.9"/>
    <n v="6.6"/>
    <n v="1.1000000000000001"/>
    <x v="0"/>
    <x v="11"/>
    <n v="1"/>
  </r>
  <r>
    <x v="12"/>
    <x v="17"/>
    <x v="884"/>
    <s v="Kansas"/>
    <n v="9"/>
    <n v="481"/>
    <n v="10564"/>
    <n v="3250"/>
    <n v="1413"/>
    <n v="468"/>
    <n v="0.42599999999999999"/>
    <n v="0.40200000000000002"/>
    <n v="0.70599999999999996"/>
    <n v="11.2"/>
    <n v="5.0999999999999997E-2"/>
    <n v="2008"/>
    <n v="22"/>
    <n v="6.8"/>
    <n v="2.9"/>
    <n v="1"/>
    <x v="0"/>
    <x v="12"/>
    <n v="1"/>
  </r>
  <r>
    <x v="13"/>
    <x v="10"/>
    <x v="885"/>
    <s v="LSU"/>
    <n v="6"/>
    <n v="252"/>
    <n v="3841"/>
    <n v="1789"/>
    <n v="1078"/>
    <n v="187"/>
    <n v="0.45300000000000001"/>
    <n v="0.24099999999999999"/>
    <n v="0.74"/>
    <n v="5.8"/>
    <n v="7.1999999999999995E-2"/>
    <n v="2008"/>
    <n v="15.2"/>
    <n v="7.1"/>
    <n v="4.3"/>
    <n v="0.7"/>
    <x v="0"/>
    <x v="13"/>
    <n v="1"/>
  </r>
  <r>
    <x v="14"/>
    <x v="15"/>
    <x v="886"/>
    <s v="Stanford"/>
    <n v="14"/>
    <n v="930"/>
    <n v="20427"/>
    <n v="8151"/>
    <n v="4575"/>
    <n v="786"/>
    <n v="0.53700000000000003"/>
    <n v="0.29599999999999999"/>
    <n v="0.74299999999999999"/>
    <n v="48.9"/>
    <n v="0.115"/>
    <n v="2008"/>
    <n v="22"/>
    <n v="8.8000000000000007"/>
    <n v="4.9000000000000004"/>
    <n v="0.8"/>
    <x v="0"/>
    <x v="14"/>
    <n v="1"/>
  </r>
  <r>
    <x v="15"/>
    <x v="21"/>
    <x v="887"/>
    <s v="Florida"/>
    <n v="10"/>
    <n v="705"/>
    <n v="10640"/>
    <n v="5592"/>
    <n v="2875"/>
    <n v="461"/>
    <n v="0.45900000000000002"/>
    <n v="0.35599999999999998"/>
    <n v="0.79700000000000004"/>
    <n v="25.8"/>
    <n v="0.11600000000000001"/>
    <n v="2008"/>
    <n v="15.1"/>
    <n v="7.9"/>
    <n v="4.0999999999999996"/>
    <n v="0.7"/>
    <x v="0"/>
    <x v="15"/>
    <n v="1"/>
  </r>
  <r>
    <x v="16"/>
    <x v="28"/>
    <x v="888"/>
    <s v="Georgetown"/>
    <n v="9"/>
    <n v="662"/>
    <n v="16389"/>
    <n v="6611"/>
    <n v="4173"/>
    <n v="885"/>
    <n v="0.46500000000000002"/>
    <n v="0.25"/>
    <n v="0.755"/>
    <n v="35.9"/>
    <n v="0.105"/>
    <n v="2008"/>
    <n v="24.8"/>
    <n v="10"/>
    <n v="6.3"/>
    <n v="1.3"/>
    <x v="0"/>
    <x v="16"/>
    <n v="1"/>
  </r>
  <r>
    <x v="17"/>
    <x v="23"/>
    <x v="889"/>
    <s v="Nevada"/>
    <n v="14"/>
    <n v="799"/>
    <n v="13649"/>
    <n v="6373"/>
    <n v="4209"/>
    <n v="349"/>
    <n v="0.57699999999999996"/>
    <n v="0.19"/>
    <n v="0.60099999999999998"/>
    <n v="41.5"/>
    <n v="0.14599999999999999"/>
    <n v="2008"/>
    <n v="17.100000000000001"/>
    <n v="8"/>
    <n v="5.3"/>
    <n v="0.4"/>
    <x v="0"/>
    <x v="17"/>
    <n v="1"/>
  </r>
  <r>
    <x v="18"/>
    <x v="25"/>
    <x v="890"/>
    <s v="NC State"/>
    <n v="8"/>
    <n v="534"/>
    <n v="11925"/>
    <n v="5081"/>
    <n v="3639"/>
    <n v="449"/>
    <n v="0.505"/>
    <n v="0"/>
    <n v="0.61699999999999999"/>
    <n v="21.9"/>
    <n v="8.7999999999999995E-2"/>
    <n v="2008"/>
    <n v="22.3"/>
    <n v="9.5"/>
    <n v="6.8"/>
    <n v="0.8"/>
    <x v="0"/>
    <x v="18"/>
    <n v="1"/>
  </r>
  <r>
    <x v="19"/>
    <x v="4"/>
    <x v="891"/>
    <s v="NA"/>
    <n v="7"/>
    <n v="293"/>
    <n v="3905"/>
    <n v="1553"/>
    <n v="1150"/>
    <n v="143"/>
    <n v="0.503"/>
    <n v="0.28599999999999998"/>
    <n v="0.79700000000000004"/>
    <n v="7.5"/>
    <n v="9.2999999999999999E-2"/>
    <n v="2008"/>
    <n v="13.3"/>
    <n v="5.3"/>
    <n v="3.9"/>
    <n v="0.5"/>
    <x v="0"/>
    <x v="19"/>
    <n v="1"/>
  </r>
  <r>
    <x v="20"/>
    <x v="0"/>
    <x v="892"/>
    <s v="California"/>
    <n v="12"/>
    <n v="649"/>
    <n v="16769"/>
    <n v="8001"/>
    <n v="3413"/>
    <n v="586"/>
    <n v="0.42199999999999999"/>
    <n v="0.38"/>
    <n v="0.85399999999999998"/>
    <n v="46.7"/>
    <n v="0.13400000000000001"/>
    <n v="2008"/>
    <n v="25.8"/>
    <n v="12.3"/>
    <n v="5.3"/>
    <n v="0.9"/>
    <x v="0"/>
    <x v="20"/>
    <n v="1"/>
  </r>
  <r>
    <x v="21"/>
    <x v="3"/>
    <x v="893"/>
    <s v="Western Kentucky"/>
    <n v="12"/>
    <n v="811"/>
    <n v="21938"/>
    <n v="7765"/>
    <n v="2127"/>
    <n v="1353"/>
    <n v="0.45100000000000001"/>
    <n v="0.38800000000000001"/>
    <n v="0.85299999999999998"/>
    <n v="39.299999999999997"/>
    <n v="8.5999999999999993E-2"/>
    <n v="2008"/>
    <n v="27.1"/>
    <n v="9.6"/>
    <n v="2.6"/>
    <n v="1.7"/>
    <x v="0"/>
    <x v="21"/>
    <n v="1"/>
  </r>
  <r>
    <x v="22"/>
    <x v="22"/>
    <x v="894"/>
    <s v="Ohio State"/>
    <n v="11"/>
    <n v="686"/>
    <n v="11271"/>
    <n v="3913"/>
    <n v="3452"/>
    <n v="359"/>
    <n v="0.53400000000000003"/>
    <n v="0"/>
    <n v="0.58199999999999996"/>
    <n v="28.3"/>
    <n v="0.12"/>
    <n v="2008"/>
    <n v="16.399999999999999"/>
    <n v="5.7"/>
    <n v="5"/>
    <n v="0.5"/>
    <x v="0"/>
    <x v="22"/>
    <n v="1"/>
  </r>
  <r>
    <x v="23"/>
    <x v="1"/>
    <x v="895"/>
    <s v="NA"/>
    <n v="13"/>
    <n v="887"/>
    <n v="24681"/>
    <n v="10849"/>
    <n v="6387"/>
    <n v="735"/>
    <n v="0.51300000000000001"/>
    <n v="0.35899999999999999"/>
    <n v="0.75800000000000001"/>
    <n v="72"/>
    <n v="0.14000000000000001"/>
    <n v="2008"/>
    <n v="27.8"/>
    <n v="12.2"/>
    <n v="7.2"/>
    <n v="0.8"/>
    <x v="0"/>
    <x v="23"/>
    <n v="1"/>
  </r>
  <r>
    <x v="24"/>
    <x v="11"/>
    <x v="896"/>
    <s v="NA"/>
    <n v="14"/>
    <n v="896"/>
    <n v="27560"/>
    <n v="10011"/>
    <n v="4632"/>
    <n v="3176"/>
    <n v="0.438"/>
    <n v="0.36299999999999999"/>
    <n v="0.83799999999999997"/>
    <n v="62.6"/>
    <n v="0.109"/>
    <n v="2008"/>
    <n v="30.8"/>
    <n v="11.2"/>
    <n v="5.2"/>
    <n v="3.5"/>
    <x v="0"/>
    <x v="24"/>
    <n v="1"/>
  </r>
  <r>
    <x v="25"/>
    <x v="16"/>
    <x v="897"/>
    <s v="IUPUI"/>
    <n v="14"/>
    <n v="856"/>
    <n v="23458"/>
    <n v="9268"/>
    <n v="2623"/>
    <n v="2678"/>
    <n v="0.45700000000000002"/>
    <n v="0.38100000000000001"/>
    <n v="0.80700000000000005"/>
    <n v="69"/>
    <n v="0.14099999999999999"/>
    <n v="2008"/>
    <n v="27.4"/>
    <n v="10.8"/>
    <n v="3.1"/>
    <n v="3.1"/>
    <x v="0"/>
    <x v="25"/>
    <n v="1"/>
  </r>
  <r>
    <x v="26"/>
    <x v="29"/>
    <x v="898"/>
    <s v="Kansas"/>
    <n v="9"/>
    <n v="503"/>
    <n v="8945"/>
    <n v="3282"/>
    <n v="1768"/>
    <n v="409"/>
    <n v="0.44400000000000001"/>
    <n v="0.35199999999999998"/>
    <n v="0.76500000000000001"/>
    <n v="12.3"/>
    <n v="6.6000000000000003E-2"/>
    <n v="2008"/>
    <n v="17.8"/>
    <n v="6.5"/>
    <n v="3.5"/>
    <n v="0.8"/>
    <x v="0"/>
    <x v="26"/>
    <n v="1"/>
  </r>
  <r>
    <x v="27"/>
    <x v="27"/>
    <x v="899"/>
    <s v="Syracuse"/>
    <n v="4"/>
    <n v="253"/>
    <n v="4259"/>
    <n v="1541"/>
    <n v="600"/>
    <n v="183"/>
    <n v="0.40600000000000003"/>
    <n v="0.30399999999999999"/>
    <n v="0.70099999999999996"/>
    <n v="1.5"/>
    <n v="1.7000000000000001E-2"/>
    <n v="2008"/>
    <n v="16.8"/>
    <n v="6.1"/>
    <n v="2.4"/>
    <n v="0.7"/>
    <x v="0"/>
    <x v="27"/>
    <n v="0"/>
  </r>
  <r>
    <x v="28"/>
    <x v="18"/>
    <x v="900"/>
    <s v="Indiana"/>
    <n v="6"/>
    <n v="138"/>
    <n v="2111"/>
    <n v="810"/>
    <n v="437"/>
    <n v="80"/>
    <n v="0.50700000000000001"/>
    <n v="0.33300000000000002"/>
    <n v="0.72"/>
    <n v="3.8"/>
    <n v="8.6999999999999994E-2"/>
    <n v="2008"/>
    <n v="15.3"/>
    <n v="5.9"/>
    <n v="3.2"/>
    <n v="0.6"/>
    <x v="0"/>
    <x v="28"/>
    <n v="1"/>
  </r>
  <r>
    <x v="29"/>
    <x v="14"/>
    <x v="901"/>
    <s v="New Mexico"/>
    <n v="2"/>
    <n v="38"/>
    <n v="247"/>
    <n v="73"/>
    <n v="54"/>
    <n v="13"/>
    <n v="0.47599999999999998"/>
    <n v="0"/>
    <n v="0.56499999999999995"/>
    <n v="0.1"/>
    <n v="2.7E-2"/>
    <n v="2008"/>
    <n v="6.5"/>
    <n v="1.9"/>
    <n v="1.4"/>
    <n v="0.3"/>
    <x v="0"/>
    <x v="29"/>
    <n v="0"/>
  </r>
  <r>
    <x v="30"/>
    <x v="5"/>
    <x v="902"/>
    <s v="NA"/>
    <n v="6"/>
    <n v="271"/>
    <n v="6744"/>
    <n v="3405"/>
    <n v="1807"/>
    <n v="199"/>
    <n v="0.51800000000000002"/>
    <n v="0"/>
    <n v="0.76"/>
    <n v="18.8"/>
    <n v="0.13400000000000001"/>
    <n v="2008"/>
    <n v="24.9"/>
    <n v="12.6"/>
    <n v="6.7"/>
    <n v="0.7"/>
    <x v="1"/>
    <x v="0"/>
    <n v="1"/>
  </r>
  <r>
    <x v="31"/>
    <x v="1"/>
    <x v="903"/>
    <s v="UAB"/>
    <n v="1"/>
    <n v="8"/>
    <n v="20"/>
    <n v="8"/>
    <n v="3"/>
    <n v="0"/>
    <n v="0.36399999999999999"/>
    <n v="0"/>
    <n v="0"/>
    <n v="-0.1"/>
    <n v="-0.13100000000000001"/>
    <n v="2008"/>
    <n v="2.5"/>
    <n v="1"/>
    <n v="0.4"/>
    <n v="0"/>
    <x v="1"/>
    <x v="1"/>
    <n v="0"/>
  </r>
  <r>
    <x v="32"/>
    <x v="17"/>
    <x v="904"/>
    <s v="Memphis"/>
    <n v="4"/>
    <n v="130"/>
    <n v="1488"/>
    <n v="344"/>
    <n v="513"/>
    <n v="55"/>
    <n v="0.53400000000000003"/>
    <n v="0"/>
    <n v="0.375"/>
    <n v="2.9"/>
    <n v="9.1999999999999998E-2"/>
    <n v="2008"/>
    <n v="11.4"/>
    <n v="2.6"/>
    <n v="3.9"/>
    <n v="0.4"/>
    <x v="1"/>
    <x v="2"/>
    <n v="0"/>
  </r>
  <r>
    <x v="33"/>
    <x v="5"/>
    <x v="905"/>
    <s v="Kansas"/>
    <n v="9"/>
    <n v="646"/>
    <n v="17245"/>
    <n v="5743"/>
    <n v="1585"/>
    <n v="2412"/>
    <n v="0.41699999999999998"/>
    <n v="0.35099999999999998"/>
    <n v="0.79300000000000004"/>
    <n v="32.299999999999997"/>
    <n v="0.09"/>
    <n v="2008"/>
    <n v="26.7"/>
    <n v="8.9"/>
    <n v="2.5"/>
    <n v="3.7"/>
    <x v="1"/>
    <x v="3"/>
    <n v="1"/>
  </r>
  <r>
    <x v="34"/>
    <x v="7"/>
    <x v="906"/>
    <s v="Texas A&amp;M"/>
    <n v="14"/>
    <n v="963"/>
    <n v="25971"/>
    <n v="8857"/>
    <n v="10047"/>
    <n v="924"/>
    <n v="0.67400000000000004"/>
    <n v="8.3000000000000004E-2"/>
    <n v="0.47499999999999998"/>
    <n v="93.9"/>
    <n v="0.17399999999999999"/>
    <n v="2008"/>
    <n v="27"/>
    <n v="9.1999999999999993"/>
    <n v="10.4"/>
    <n v="1"/>
    <x v="1"/>
    <x v="4"/>
    <n v="1"/>
  </r>
  <r>
    <x v="35"/>
    <x v="17"/>
    <x v="907"/>
    <s v="NA"/>
    <n v="8"/>
    <n v="471"/>
    <n v="9216"/>
    <n v="2479"/>
    <n v="3362"/>
    <n v="280"/>
    <n v="0.52800000000000002"/>
    <n v="0"/>
    <n v="0.55100000000000005"/>
    <n v="20.9"/>
    <n v="0.109"/>
    <n v="2008"/>
    <n v="19.600000000000001"/>
    <n v="5.3"/>
    <n v="7.1"/>
    <n v="0.6"/>
    <x v="1"/>
    <x v="5"/>
    <n v="1"/>
  </r>
  <r>
    <x v="36"/>
    <x v="12"/>
    <x v="908"/>
    <s v="UCLA"/>
    <n v="12"/>
    <n v="689"/>
    <n v="16038"/>
    <n v="4380"/>
    <n v="2800"/>
    <n v="588"/>
    <n v="0.45400000000000001"/>
    <n v="0.33400000000000002"/>
    <n v="0.65900000000000003"/>
    <n v="26"/>
    <n v="7.8E-2"/>
    <n v="2008"/>
    <n v="23.3"/>
    <n v="6.4"/>
    <n v="4.0999999999999996"/>
    <n v="0.9"/>
    <x v="1"/>
    <x v="6"/>
    <n v="1"/>
  </r>
  <r>
    <x v="37"/>
    <x v="4"/>
    <x v="909"/>
    <s v="Washington State"/>
    <n v="3"/>
    <n v="73"/>
    <n v="1379"/>
    <n v="363"/>
    <n v="158"/>
    <n v="119"/>
    <n v="0.441"/>
    <n v="0.35299999999999998"/>
    <n v="0.73599999999999999"/>
    <n v="1.5"/>
    <n v="5.0999999999999997E-2"/>
    <n v="2008"/>
    <n v="18.899999999999999"/>
    <n v="5"/>
    <n v="2.2000000000000002"/>
    <n v="1.6"/>
    <x v="1"/>
    <x v="7"/>
    <n v="0"/>
  </r>
  <r>
    <x v="38"/>
    <x v="20"/>
    <x v="910"/>
    <s v="Arkansas"/>
    <n v="4"/>
    <n v="183"/>
    <n v="3335"/>
    <n v="1189"/>
    <n v="402"/>
    <n v="257"/>
    <n v="0.46500000000000002"/>
    <n v="0.28299999999999997"/>
    <n v="0.70199999999999996"/>
    <n v="0"/>
    <n v="1E-3"/>
    <n v="2008"/>
    <n v="18.2"/>
    <n v="6.5"/>
    <n v="2.2000000000000002"/>
    <n v="1.4"/>
    <x v="1"/>
    <x v="8"/>
    <n v="0"/>
  </r>
  <r>
    <x v="39"/>
    <x v="0"/>
    <x v="911"/>
    <s v="Memphis"/>
    <n v="6"/>
    <n v="222"/>
    <n v="4381"/>
    <n v="1571"/>
    <n v="472"/>
    <n v="254"/>
    <n v="0.439"/>
    <n v="0.32900000000000001"/>
    <n v="0.83099999999999996"/>
    <n v="5.4"/>
    <n v="5.8999999999999997E-2"/>
    <n v="2008"/>
    <n v="19.7"/>
    <n v="7.1"/>
    <n v="2.1"/>
    <n v="1.1000000000000001"/>
    <x v="1"/>
    <x v="9"/>
    <n v="1"/>
  </r>
  <r>
    <x v="40"/>
    <x v="24"/>
    <x v="912"/>
    <s v="NA"/>
    <n v="2"/>
    <n v="45"/>
    <n v="431"/>
    <n v="126"/>
    <n v="106"/>
    <n v="24"/>
    <n v="0.435"/>
    <n v="0"/>
    <n v="0.68400000000000005"/>
    <n v="0.2"/>
    <n v="0.02"/>
    <n v="2008"/>
    <n v="9.6"/>
    <n v="2.8"/>
    <n v="2.4"/>
    <n v="0.5"/>
    <x v="1"/>
    <x v="10"/>
    <n v="0"/>
  </r>
  <r>
    <x v="41"/>
    <x v="6"/>
    <x v="913"/>
    <s v="Virginia"/>
    <n v="1"/>
    <n v="37"/>
    <n v="303"/>
    <n v="90"/>
    <n v="35"/>
    <n v="29"/>
    <n v="0.36499999999999999"/>
    <n v="0.4"/>
    <n v="0.85699999999999998"/>
    <n v="0"/>
    <n v="6.0000000000000001E-3"/>
    <n v="2008"/>
    <n v="8.1999999999999993"/>
    <n v="2.4"/>
    <n v="0.9"/>
    <n v="0.8"/>
    <x v="1"/>
    <x v="11"/>
    <n v="0"/>
  </r>
  <r>
    <x v="42"/>
    <x v="6"/>
    <x v="914"/>
    <s v="Georgetown"/>
    <n v="1"/>
    <n v="7"/>
    <n v="19"/>
    <n v="3"/>
    <n v="2"/>
    <n v="2"/>
    <n v="0"/>
    <n v="0"/>
    <n v="0.75"/>
    <n v="-0.1"/>
    <n v="-0.158"/>
    <n v="2008"/>
    <n v="2.7"/>
    <n v="0.4"/>
    <n v="0.3"/>
    <n v="0.3"/>
    <x v="1"/>
    <x v="12"/>
    <n v="0"/>
  </r>
  <r>
    <x v="44"/>
    <x v="16"/>
    <x v="915"/>
    <s v="NA"/>
    <n v="14"/>
    <n v="872"/>
    <n v="24326"/>
    <n v="12086"/>
    <n v="2684"/>
    <n v="4177"/>
    <n v="0.46200000000000002"/>
    <n v="0.36399999999999999"/>
    <n v="0.76700000000000002"/>
    <n v="56.2"/>
    <n v="0.111"/>
    <n v="2008"/>
    <n v="27.9"/>
    <n v="13.9"/>
    <n v="3.1"/>
    <n v="4.8"/>
    <x v="1"/>
    <x v="14"/>
    <n v="1"/>
  </r>
  <r>
    <x v="46"/>
    <x v="23"/>
    <x v="916"/>
    <s v="Kansas State"/>
    <n v="5"/>
    <n v="181"/>
    <n v="3016"/>
    <n v="1079"/>
    <n v="401"/>
    <n v="153"/>
    <n v="0.44600000000000001"/>
    <n v="0.36899999999999999"/>
    <n v="0.76"/>
    <n v="5"/>
    <n v="7.9000000000000001E-2"/>
    <n v="2008"/>
    <n v="16.7"/>
    <n v="6"/>
    <n v="2.2000000000000002"/>
    <n v="0.8"/>
    <x v="1"/>
    <x v="16"/>
    <n v="0"/>
  </r>
  <r>
    <x v="47"/>
    <x v="15"/>
    <x v="917"/>
    <s v="Oregon"/>
    <n v="2"/>
    <n v="62"/>
    <n v="472"/>
    <n v="149"/>
    <n v="77"/>
    <n v="29"/>
    <n v="0.51200000000000001"/>
    <n v="0.16700000000000001"/>
    <n v="0.51400000000000001"/>
    <n v="0.8"/>
    <n v="8.5999999999999993E-2"/>
    <n v="2008"/>
    <n v="7.6"/>
    <n v="2.4"/>
    <n v="1.2"/>
    <n v="0.5"/>
    <x v="1"/>
    <x v="17"/>
    <n v="0"/>
  </r>
  <r>
    <x v="50"/>
    <x v="8"/>
    <x v="918"/>
    <s v="Kansas"/>
    <n v="3"/>
    <n v="138"/>
    <n v="1039"/>
    <n v="308"/>
    <n v="203"/>
    <n v="26"/>
    <n v="0.44900000000000001"/>
    <n v="0.23499999999999999"/>
    <n v="0.64400000000000002"/>
    <n v="1.3"/>
    <n v="5.8999999999999997E-2"/>
    <n v="2008"/>
    <n v="7.5"/>
    <n v="2.2000000000000002"/>
    <n v="1.5"/>
    <n v="0.2"/>
    <x v="1"/>
    <x v="21"/>
    <n v="0"/>
  </r>
  <r>
    <x v="53"/>
    <x v="17"/>
    <x v="919"/>
    <s v="Iowa State"/>
    <n v="1"/>
    <n v="51"/>
    <n v="771"/>
    <n v="289"/>
    <n v="87"/>
    <n v="106"/>
    <n v="0.41199999999999998"/>
    <n v="0.32500000000000001"/>
    <n v="0.69099999999999995"/>
    <n v="-0.4"/>
    <n v="-2.8000000000000001E-2"/>
    <n v="2008"/>
    <n v="15.1"/>
    <n v="5.7"/>
    <n v="1.7"/>
    <n v="2.1"/>
    <x v="1"/>
    <x v="24"/>
    <n v="0"/>
  </r>
  <r>
    <x v="54"/>
    <x v="1"/>
    <x v="920"/>
    <s v="Kansas"/>
    <n v="1"/>
    <n v="25"/>
    <n v="95"/>
    <n v="23"/>
    <n v="26"/>
    <n v="3"/>
    <n v="0.52900000000000003"/>
    <n v="0"/>
    <n v="0.45500000000000002"/>
    <n v="0.2"/>
    <n v="9.6000000000000002E-2"/>
    <n v="2008"/>
    <n v="3.8"/>
    <n v="0.9"/>
    <n v="1"/>
    <n v="0.1"/>
    <x v="1"/>
    <x v="25"/>
    <n v="0"/>
  </r>
  <r>
    <x v="56"/>
    <x v="19"/>
    <x v="921"/>
    <s v="Kentucky"/>
    <n v="1"/>
    <n v="2"/>
    <n v="23"/>
    <n v="9"/>
    <n v="4"/>
    <n v="1"/>
    <n v="0.3"/>
    <n v="0.25"/>
    <n v="1"/>
    <n v="0"/>
    <n v="3.6999999999999998E-2"/>
    <n v="2008"/>
    <n v="11.5"/>
    <n v="4.5"/>
    <n v="2"/>
    <n v="0.5"/>
    <x v="1"/>
    <x v="27"/>
    <n v="0"/>
  </r>
  <r>
    <x v="58"/>
    <x v="14"/>
    <x v="922"/>
    <s v="NA"/>
    <n v="2"/>
    <n v="69"/>
    <n v="928"/>
    <n v="262"/>
    <n v="190"/>
    <n v="29"/>
    <n v="0.54600000000000004"/>
    <n v="0"/>
    <n v="0.59399999999999997"/>
    <n v="1.8"/>
    <n v="9.4E-2"/>
    <n v="2008"/>
    <n v="13.4"/>
    <n v="3.8"/>
    <n v="2.8"/>
    <n v="0.4"/>
    <x v="1"/>
    <x v="29"/>
    <n v="0"/>
  </r>
  <r>
    <x v="0"/>
    <x v="7"/>
    <x v="923"/>
    <s v="Oklahoma"/>
    <n v="12"/>
    <n v="716"/>
    <n v="23730"/>
    <n v="14306"/>
    <n v="5935"/>
    <n v="2985"/>
    <n v="0.49299999999999999"/>
    <n v="0.32600000000000001"/>
    <n v="0.69599999999999995"/>
    <n v="79.2"/>
    <n v="0.16"/>
    <n v="2009"/>
    <n v="33.1"/>
    <n v="20"/>
    <n v="8.3000000000000007"/>
    <n v="4.2"/>
    <x v="0"/>
    <x v="0"/>
    <n v="1"/>
  </r>
  <r>
    <x v="1"/>
    <x v="27"/>
    <x v="924"/>
    <s v="UConn"/>
    <n v="5"/>
    <n v="224"/>
    <n v="2357"/>
    <n v="483"/>
    <n v="595"/>
    <n v="27"/>
    <n v="0.56699999999999995"/>
    <n v="0"/>
    <n v="0.57799999999999996"/>
    <n v="4.8"/>
    <n v="9.9000000000000005E-2"/>
    <n v="2009"/>
    <n v="10.5"/>
    <n v="2.2000000000000002"/>
    <n v="2.7"/>
    <n v="0.1"/>
    <x v="0"/>
    <x v="1"/>
    <n v="0"/>
  </r>
  <r>
    <x v="2"/>
    <x v="1"/>
    <x v="925"/>
    <s v="Arizona State"/>
    <n v="13"/>
    <n v="921"/>
    <n v="31825"/>
    <n v="23035"/>
    <n v="5145"/>
    <n v="6177"/>
    <n v="0.443"/>
    <n v="0.36199999999999999"/>
    <n v="0.85899999999999999"/>
    <n v="146.6"/>
    <n v="0.221"/>
    <n v="2009"/>
    <n v="34.6"/>
    <n v="25"/>
    <n v="5.6"/>
    <n v="6.7"/>
    <x v="0"/>
    <x v="2"/>
    <n v="1"/>
  </r>
  <r>
    <x v="3"/>
    <x v="6"/>
    <x v="926"/>
    <s v="Memphis"/>
    <n v="10"/>
    <n v="594"/>
    <n v="18242"/>
    <n v="9347"/>
    <n v="2720"/>
    <n v="2852"/>
    <n v="0.44"/>
    <n v="0.32300000000000001"/>
    <n v="0.75700000000000001"/>
    <n v="28.4"/>
    <n v="7.4999999999999997E-2"/>
    <n v="2009"/>
    <n v="30.7"/>
    <n v="15.7"/>
    <n v="4.5999999999999996"/>
    <n v="4.8"/>
    <x v="0"/>
    <x v="3"/>
    <n v="1"/>
  </r>
  <r>
    <x v="4"/>
    <x v="5"/>
    <x v="927"/>
    <s v="NA"/>
    <n v="11"/>
    <n v="665"/>
    <n v="20128"/>
    <n v="7399"/>
    <n v="2760"/>
    <n v="5045"/>
    <n v="0.38900000000000001"/>
    <n v="0.32600000000000001"/>
    <n v="0.84299999999999997"/>
    <n v="42"/>
    <n v="0.1"/>
    <n v="2009"/>
    <n v="30.3"/>
    <n v="11.1"/>
    <n v="4.2"/>
    <n v="7.6"/>
    <x v="0"/>
    <x v="4"/>
    <n v="1"/>
  </r>
  <r>
    <x v="5"/>
    <x v="5"/>
    <x v="928"/>
    <s v="Syracuse"/>
    <n v="3"/>
    <n v="163"/>
    <n v="3738"/>
    <n v="1504"/>
    <n v="307"/>
    <n v="634"/>
    <n v="0.4"/>
    <n v="0.33800000000000002"/>
    <n v="0.80900000000000005"/>
    <n v="-1.1000000000000001"/>
    <n v="-1.4999999999999999E-2"/>
    <n v="2009"/>
    <n v="22.9"/>
    <n v="9.1999999999999993"/>
    <n v="1.9"/>
    <n v="3.9"/>
    <x v="0"/>
    <x v="5"/>
    <n v="0"/>
  </r>
  <r>
    <x v="6"/>
    <x v="10"/>
    <x v="929"/>
    <s v="Davidson"/>
    <n v="13"/>
    <n v="816"/>
    <n v="28031"/>
    <n v="19827"/>
    <n v="3789"/>
    <n v="5326"/>
    <n v="0.47299999999999998"/>
    <n v="0.42799999999999999"/>
    <n v="0.90800000000000003"/>
    <n v="119.4"/>
    <n v="0.20399999999999999"/>
    <n v="2009"/>
    <n v="34.4"/>
    <n v="24.3"/>
    <n v="4.5999999999999996"/>
    <n v="6.5"/>
    <x v="0"/>
    <x v="6"/>
    <n v="1"/>
  </r>
  <r>
    <x v="7"/>
    <x v="13"/>
    <x v="930"/>
    <s v="Arizona"/>
    <n v="8"/>
    <n v="409"/>
    <n v="7692"/>
    <n v="3232"/>
    <n v="2389"/>
    <n v="322"/>
    <n v="0.497"/>
    <n v="0.13600000000000001"/>
    <n v="0.69899999999999995"/>
    <n v="16.399999999999999"/>
    <n v="0.10199999999999999"/>
    <n v="2009"/>
    <n v="18.8"/>
    <n v="7.9"/>
    <n v="5.8"/>
    <n v="0.8"/>
    <x v="0"/>
    <x v="7"/>
    <n v="1"/>
  </r>
  <r>
    <x v="8"/>
    <x v="28"/>
    <x v="931"/>
    <s v="USC"/>
    <n v="13"/>
    <n v="936"/>
    <n v="32006"/>
    <n v="19298"/>
    <n v="4122"/>
    <n v="3638"/>
    <n v="0.46500000000000002"/>
    <n v="0.28499999999999998"/>
    <n v="0.83599999999999997"/>
    <n v="82.7"/>
    <n v="0.124"/>
    <n v="2009"/>
    <n v="34.200000000000003"/>
    <n v="20.6"/>
    <n v="4.4000000000000004"/>
    <n v="3.9"/>
    <x v="0"/>
    <x v="8"/>
    <n v="1"/>
  </r>
  <r>
    <x v="9"/>
    <x v="12"/>
    <x v="932"/>
    <s v="NA"/>
    <n v="9"/>
    <n v="555"/>
    <n v="16844"/>
    <n v="7801"/>
    <n v="1659"/>
    <n v="3151"/>
    <n v="0.38700000000000001"/>
    <n v="0.34499999999999997"/>
    <n v="0.79600000000000004"/>
    <n v="29.9"/>
    <n v="8.5000000000000006E-2"/>
    <n v="2009"/>
    <n v="30.3"/>
    <n v="14.1"/>
    <n v="3"/>
    <n v="5.7"/>
    <x v="0"/>
    <x v="9"/>
    <n v="1"/>
  </r>
  <r>
    <x v="10"/>
    <x v="0"/>
    <x v="933"/>
    <s v="Louisville"/>
    <n v="4"/>
    <n v="153"/>
    <n v="2922"/>
    <n v="1085"/>
    <n v="545"/>
    <n v="364"/>
    <n v="0.41199999999999998"/>
    <n v="0.317"/>
    <n v="0.65900000000000003"/>
    <n v="-0.2"/>
    <n v="-4.0000000000000001E-3"/>
    <n v="2009"/>
    <n v="19.100000000000001"/>
    <n v="7.1"/>
    <n v="3.6"/>
    <n v="2.4"/>
    <x v="0"/>
    <x v="10"/>
    <n v="0"/>
  </r>
  <r>
    <x v="11"/>
    <x v="4"/>
    <x v="934"/>
    <s v="Duke"/>
    <n v="8"/>
    <n v="535"/>
    <n v="13854"/>
    <n v="5987"/>
    <n v="1716"/>
    <n v="1009"/>
    <n v="0.44"/>
    <n v="0.32700000000000001"/>
    <n v="0.79300000000000004"/>
    <n v="18.3"/>
    <n v="6.3E-2"/>
    <n v="2009"/>
    <n v="25.9"/>
    <n v="11.2"/>
    <n v="3.2"/>
    <n v="1.9"/>
    <x v="0"/>
    <x v="11"/>
    <n v="1"/>
  </r>
  <r>
    <x v="12"/>
    <x v="24"/>
    <x v="935"/>
    <s v="UNC"/>
    <n v="7"/>
    <n v="428"/>
    <n v="7233"/>
    <n v="2881"/>
    <n v="1808"/>
    <n v="181"/>
    <n v="0.439"/>
    <n v="0.13600000000000001"/>
    <n v="0.73799999999999999"/>
    <n v="20.2"/>
    <n v="0.13400000000000001"/>
    <n v="2009"/>
    <n v="16.899999999999999"/>
    <n v="6.7"/>
    <n v="4.2"/>
    <n v="0.4"/>
    <x v="0"/>
    <x v="12"/>
    <n v="1"/>
  </r>
  <r>
    <x v="13"/>
    <x v="15"/>
    <x v="936"/>
    <s v="Louisville"/>
    <n v="6"/>
    <n v="261"/>
    <n v="3630"/>
    <n v="1138"/>
    <n v="778"/>
    <n v="134"/>
    <n v="0.40300000000000002"/>
    <n v="0.32800000000000001"/>
    <n v="0.66400000000000003"/>
    <n v="2.9"/>
    <n v="3.7999999999999999E-2"/>
    <n v="2009"/>
    <n v="13.9"/>
    <n v="4.4000000000000004"/>
    <n v="3"/>
    <n v="0.5"/>
    <x v="0"/>
    <x v="13"/>
    <n v="1"/>
  </r>
  <r>
    <x v="14"/>
    <x v="18"/>
    <x v="937"/>
    <s v="Gonzaga"/>
    <n v="6"/>
    <n v="293"/>
    <n v="4132"/>
    <n v="1522"/>
    <n v="764"/>
    <n v="212"/>
    <n v="0.40200000000000002"/>
    <n v="0.35099999999999998"/>
    <n v="0.77800000000000002"/>
    <n v="4.5"/>
    <n v="5.2999999999999999E-2"/>
    <n v="2009"/>
    <n v="14.1"/>
    <n v="5.2"/>
    <n v="2.6"/>
    <n v="0.7"/>
    <x v="0"/>
    <x v="14"/>
    <n v="1"/>
  </r>
  <r>
    <x v="15"/>
    <x v="20"/>
    <x v="938"/>
    <s v="Wake Forest"/>
    <n v="13"/>
    <n v="728"/>
    <n v="14953"/>
    <n v="5677"/>
    <n v="2614"/>
    <n v="1538"/>
    <n v="0.47499999999999998"/>
    <n v="0.30199999999999999"/>
    <n v="0.68"/>
    <n v="27"/>
    <n v="8.6999999999999994E-2"/>
    <n v="2009"/>
    <n v="20.5"/>
    <n v="7.8"/>
    <n v="3.6"/>
    <n v="2.1"/>
    <x v="0"/>
    <x v="15"/>
    <n v="1"/>
  </r>
  <r>
    <x v="16"/>
    <x v="21"/>
    <x v="939"/>
    <s v="UCLA"/>
    <n v="13"/>
    <n v="819"/>
    <n v="27163"/>
    <n v="13212"/>
    <n v="3276"/>
    <n v="5225"/>
    <n v="0.46"/>
    <n v="0.36099999999999999"/>
    <n v="0.77700000000000002"/>
    <n v="54.5"/>
    <n v="9.6000000000000002E-2"/>
    <n v="2009"/>
    <n v="33.200000000000003"/>
    <n v="16.100000000000001"/>
    <n v="4"/>
    <n v="6.4"/>
    <x v="0"/>
    <x v="16"/>
    <n v="1"/>
  </r>
  <r>
    <x v="17"/>
    <x v="5"/>
    <x v="940"/>
    <s v="UNC"/>
    <n v="8"/>
    <n v="551"/>
    <n v="16088"/>
    <n v="6977"/>
    <n v="1506"/>
    <n v="3316"/>
    <n v="0.46"/>
    <n v="0.35899999999999999"/>
    <n v="0.77"/>
    <n v="42.1"/>
    <n v="0.126"/>
    <n v="2009"/>
    <n v="29.2"/>
    <n v="12.7"/>
    <n v="2.7"/>
    <n v="6"/>
    <x v="0"/>
    <x v="17"/>
    <n v="1"/>
  </r>
  <r>
    <x v="18"/>
    <x v="9"/>
    <x v="941"/>
    <s v="Wake Forest"/>
    <n v="12"/>
    <n v="826"/>
    <n v="22164"/>
    <n v="10061"/>
    <n v="1989"/>
    <n v="4585"/>
    <n v="0.44400000000000001"/>
    <n v="0.36"/>
    <n v="0.84399999999999997"/>
    <n v="52.4"/>
    <n v="0.113"/>
    <n v="2009"/>
    <n v="26.8"/>
    <n v="12.2"/>
    <n v="2.4"/>
    <n v="5.6"/>
    <x v="0"/>
    <x v="18"/>
    <n v="1"/>
  </r>
  <r>
    <x v="19"/>
    <x v="22"/>
    <x v="942"/>
    <s v="VCU"/>
    <n v="5"/>
    <n v="267"/>
    <n v="3896"/>
    <n v="1141"/>
    <n v="348"/>
    <n v="760"/>
    <n v="0.39200000000000002"/>
    <n v="0.35"/>
    <n v="0.72099999999999997"/>
    <n v="3.3"/>
    <n v="4.1000000000000002E-2"/>
    <n v="2009"/>
    <n v="14.6"/>
    <n v="4.3"/>
    <n v="1.3"/>
    <n v="2.8"/>
    <x v="0"/>
    <x v="19"/>
    <n v="0"/>
  </r>
  <r>
    <x v="20"/>
    <x v="29"/>
    <x v="943"/>
    <s v="UCLA"/>
    <n v="11"/>
    <n v="711"/>
    <n v="20833"/>
    <n v="8861"/>
    <n v="1889"/>
    <n v="3545"/>
    <n v="0.47099999999999997"/>
    <n v="0.39400000000000002"/>
    <n v="0.85299999999999998"/>
    <n v="49.9"/>
    <n v="0.115"/>
    <n v="2009"/>
    <n v="29.3"/>
    <n v="12.5"/>
    <n v="2.7"/>
    <n v="5"/>
    <x v="0"/>
    <x v="20"/>
    <n v="1"/>
  </r>
  <r>
    <x v="21"/>
    <x v="17"/>
    <x v="944"/>
    <s v="NA"/>
    <n v="3"/>
    <n v="80"/>
    <n v="1072"/>
    <n v="258"/>
    <n v="178"/>
    <n v="56"/>
    <n v="0.39800000000000002"/>
    <n v="0.29299999999999998"/>
    <n v="0.58499999999999996"/>
    <n v="0.2"/>
    <n v="1.0999999999999999E-2"/>
    <n v="2009"/>
    <n v="13.4"/>
    <n v="3.2"/>
    <n v="2.2000000000000002"/>
    <n v="0.7"/>
    <x v="0"/>
    <x v="21"/>
    <n v="0"/>
  </r>
  <r>
    <x v="22"/>
    <x v="6"/>
    <x v="945"/>
    <s v="NA"/>
    <n v="10"/>
    <n v="588"/>
    <n v="11959"/>
    <n v="4642"/>
    <n v="2355"/>
    <n v="662"/>
    <n v="0.45400000000000001"/>
    <n v="0.36799999999999999"/>
    <n v="0.67800000000000005"/>
    <n v="19.600000000000001"/>
    <n v="7.8E-2"/>
    <n v="2009"/>
    <n v="20.3"/>
    <n v="7.9"/>
    <n v="4"/>
    <n v="1.1000000000000001"/>
    <x v="0"/>
    <x v="22"/>
    <n v="1"/>
  </r>
  <r>
    <x v="23"/>
    <x v="26"/>
    <x v="946"/>
    <s v="Ohio State"/>
    <n v="5"/>
    <n v="189"/>
    <n v="3446"/>
    <n v="1398"/>
    <n v="790"/>
    <n v="153"/>
    <n v="0.40799999999999997"/>
    <n v="0.31900000000000001"/>
    <n v="0.70599999999999996"/>
    <n v="0.6"/>
    <n v="8.0000000000000002E-3"/>
    <n v="2009"/>
    <n v="18.2"/>
    <n v="7.4"/>
    <n v="4.2"/>
    <n v="0.8"/>
    <x v="0"/>
    <x v="23"/>
    <n v="0"/>
  </r>
  <r>
    <x v="24"/>
    <x v="1"/>
    <x v="947"/>
    <s v="NA"/>
    <n v="4"/>
    <n v="182"/>
    <n v="2896"/>
    <n v="1286"/>
    <n v="338"/>
    <n v="374"/>
    <n v="0.439"/>
    <n v="0.32500000000000001"/>
    <n v="0.81"/>
    <n v="4.8"/>
    <n v="7.9000000000000001E-2"/>
    <n v="2009"/>
    <n v="15.9"/>
    <n v="7.1"/>
    <n v="1.9"/>
    <n v="2.1"/>
    <x v="0"/>
    <x v="24"/>
    <n v="0"/>
  </r>
  <r>
    <x v="25"/>
    <x v="20"/>
    <x v="948"/>
    <s v="USC"/>
    <n v="13"/>
    <n v="883"/>
    <n v="21742"/>
    <n v="8012"/>
    <n v="5423"/>
    <n v="873"/>
    <n v="0.51800000000000002"/>
    <n v="0.23899999999999999"/>
    <n v="0.71099999999999997"/>
    <n v="57.9"/>
    <n v="0.128"/>
    <n v="2009"/>
    <n v="24.6"/>
    <n v="9.1"/>
    <n v="6.1"/>
    <n v="1"/>
    <x v="0"/>
    <x v="25"/>
    <n v="1"/>
  </r>
  <r>
    <x v="26"/>
    <x v="27"/>
    <x v="949"/>
    <s v="Missouri"/>
    <n v="11"/>
    <n v="578"/>
    <n v="13675"/>
    <n v="5150"/>
    <n v="2454"/>
    <n v="726"/>
    <n v="0.43"/>
    <n v="0.35799999999999998"/>
    <n v="0.74099999999999999"/>
    <n v="29.5"/>
    <n v="0.104"/>
    <n v="2009"/>
    <n v="23.7"/>
    <n v="8.9"/>
    <n v="4.2"/>
    <n v="1.3"/>
    <x v="0"/>
    <x v="26"/>
    <n v="1"/>
  </r>
  <r>
    <x v="27"/>
    <x v="5"/>
    <x v="950"/>
    <s v="UNC"/>
    <n v="13"/>
    <n v="762"/>
    <n v="15951"/>
    <n v="6118"/>
    <n v="1626"/>
    <n v="846"/>
    <n v="0.41"/>
    <n v="0.38200000000000001"/>
    <n v="0.84299999999999997"/>
    <n v="20.9"/>
    <n v="6.3E-2"/>
    <n v="2009"/>
    <n v="20.9"/>
    <n v="8"/>
    <n v="2.1"/>
    <n v="1.1000000000000001"/>
    <x v="0"/>
    <x v="27"/>
    <n v="1"/>
  </r>
  <r>
    <x v="28"/>
    <x v="19"/>
    <x v="951"/>
    <s v="Florida State"/>
    <n v="8"/>
    <n v="394"/>
    <n v="7511"/>
    <n v="3009"/>
    <n v="875"/>
    <n v="889"/>
    <n v="0.40400000000000003"/>
    <n v="0.35399999999999998"/>
    <n v="0.82399999999999995"/>
    <n v="12.1"/>
    <n v="7.6999999999999999E-2"/>
    <n v="2009"/>
    <n v="19.100000000000001"/>
    <n v="7.6"/>
    <n v="2.2000000000000002"/>
    <n v="2.2999999999999998"/>
    <x v="0"/>
    <x v="28"/>
    <n v="1"/>
  </r>
  <r>
    <x v="29"/>
    <x v="25"/>
    <x v="952"/>
    <s v="NA"/>
    <n v="2"/>
    <n v="51"/>
    <n v="1049"/>
    <n v="320"/>
    <n v="137"/>
    <n v="40"/>
    <n v="0.41099999999999998"/>
    <n v="0.27700000000000002"/>
    <n v="0.61099999999999999"/>
    <n v="-0.4"/>
    <n v="-0.02"/>
    <n v="2009"/>
    <n v="20.6"/>
    <n v="6.3"/>
    <n v="2.7"/>
    <n v="0.8"/>
    <x v="0"/>
    <x v="29"/>
    <n v="0"/>
  </r>
  <r>
    <x v="30"/>
    <x v="6"/>
    <x v="953"/>
    <s v="Arizona State"/>
    <n v="6"/>
    <n v="237"/>
    <n v="2322"/>
    <n v="690"/>
    <n v="632"/>
    <n v="99"/>
    <n v="0.55300000000000005"/>
    <n v="0.4"/>
    <n v="0.77600000000000002"/>
    <n v="6.3"/>
    <n v="0.13100000000000001"/>
    <n v="2009"/>
    <n v="9.8000000000000007"/>
    <n v="2.9"/>
    <n v="2.7"/>
    <n v="0.4"/>
    <x v="1"/>
    <x v="0"/>
    <n v="1"/>
  </r>
  <r>
    <x v="31"/>
    <x v="23"/>
    <x v="954"/>
    <s v="Central Florida"/>
    <n v="2"/>
    <n v="65"/>
    <n v="786"/>
    <n v="351"/>
    <n v="108"/>
    <n v="48"/>
    <n v="0.441"/>
    <n v="0.28399999999999997"/>
    <n v="0.73"/>
    <n v="0.2"/>
    <n v="1.4E-2"/>
    <n v="2009"/>
    <n v="12.1"/>
    <n v="5.4"/>
    <n v="1.7"/>
    <n v="0.7"/>
    <x v="1"/>
    <x v="1"/>
    <n v="0"/>
  </r>
  <r>
    <x v="32"/>
    <x v="17"/>
    <x v="955"/>
    <s v="Villanova"/>
    <n v="10"/>
    <n v="715"/>
    <n v="14875"/>
    <n v="4133"/>
    <n v="2676"/>
    <n v="506"/>
    <n v="0.46899999999999997"/>
    <n v="0.34499999999999997"/>
    <n v="0.64900000000000002"/>
    <n v="24.9"/>
    <n v="0.08"/>
    <n v="2009"/>
    <n v="20.8"/>
    <n v="5.8"/>
    <n v="3.7"/>
    <n v="0.7"/>
    <x v="1"/>
    <x v="2"/>
    <n v="1"/>
  </r>
  <r>
    <x v="34"/>
    <x v="18"/>
    <x v="956"/>
    <s v="Georgetown"/>
    <n v="4"/>
    <n v="83"/>
    <n v="820"/>
    <n v="278"/>
    <n v="82"/>
    <n v="29"/>
    <n v="0.38400000000000001"/>
    <n v="0.36699999999999999"/>
    <n v="0.64200000000000002"/>
    <n v="-0.1"/>
    <n v="-8.0000000000000002E-3"/>
    <n v="2009"/>
    <n v="9.9"/>
    <n v="3.3"/>
    <n v="1"/>
    <n v="0.3"/>
    <x v="1"/>
    <x v="4"/>
    <n v="0"/>
  </r>
  <r>
    <x v="35"/>
    <x v="27"/>
    <x v="957"/>
    <s v="Pitt"/>
    <n v="4"/>
    <n v="249"/>
    <n v="3966"/>
    <n v="1436"/>
    <n v="573"/>
    <n v="180"/>
    <n v="0.442"/>
    <n v="0.28000000000000003"/>
    <n v="0.74199999999999999"/>
    <n v="5.2"/>
    <n v="6.3E-2"/>
    <n v="2009"/>
    <n v="15.9"/>
    <n v="5.8"/>
    <n v="2.2999999999999998"/>
    <n v="0.7"/>
    <x v="1"/>
    <x v="5"/>
    <n v="0"/>
  </r>
  <r>
    <x v="36"/>
    <x v="16"/>
    <x v="958"/>
    <s v="Pitt"/>
    <n v="7"/>
    <n v="424"/>
    <n v="7054"/>
    <n v="2865"/>
    <n v="2153"/>
    <n v="349"/>
    <n v="0.52400000000000002"/>
    <n v="0"/>
    <n v="0.60799999999999998"/>
    <n v="19"/>
    <n v="0.129"/>
    <n v="2009"/>
    <n v="16.600000000000001"/>
    <n v="6.8"/>
    <n v="5.0999999999999996"/>
    <n v="0.8"/>
    <x v="1"/>
    <x v="6"/>
    <n v="1"/>
  </r>
  <r>
    <x v="37"/>
    <x v="17"/>
    <x v="959"/>
    <s v="Washington"/>
    <n v="3"/>
    <n v="150"/>
    <n v="1570"/>
    <n v="320"/>
    <n v="472"/>
    <n v="49"/>
    <n v="0.48799999999999999"/>
    <n v="0"/>
    <n v="0.61799999999999999"/>
    <n v="3.7"/>
    <n v="0.113"/>
    <n v="2009"/>
    <n v="10.5"/>
    <n v="2.1"/>
    <n v="3.1"/>
    <n v="0.3"/>
    <x v="1"/>
    <x v="7"/>
    <n v="0"/>
  </r>
  <r>
    <x v="38"/>
    <x v="18"/>
    <x v="960"/>
    <s v="NA"/>
    <n v="9"/>
    <n v="635"/>
    <n v="11323"/>
    <n v="3919"/>
    <n v="2522"/>
    <n v="525"/>
    <n v="0.45700000000000002"/>
    <n v="0.36299999999999999"/>
    <n v="0.77"/>
    <n v="25.8"/>
    <n v="0.109"/>
    <n v="2009"/>
    <n v="17.8"/>
    <n v="6.2"/>
    <n v="4"/>
    <n v="0.8"/>
    <x v="1"/>
    <x v="8"/>
    <n v="1"/>
  </r>
  <r>
    <x v="39"/>
    <x v="4"/>
    <x v="961"/>
    <s v="Xavier"/>
    <n v="3"/>
    <n v="171"/>
    <n v="2554"/>
    <n v="895"/>
    <n v="413"/>
    <n v="119"/>
    <n v="0.51500000000000001"/>
    <n v="0.317"/>
    <n v="0.63700000000000001"/>
    <n v="4.5"/>
    <n v="8.5000000000000006E-2"/>
    <n v="2009"/>
    <n v="14.9"/>
    <n v="5.2"/>
    <n v="2.4"/>
    <n v="0.7"/>
    <x v="1"/>
    <x v="9"/>
    <n v="0"/>
  </r>
  <r>
    <x v="40"/>
    <x v="12"/>
    <x v="962"/>
    <s v="Kentucky"/>
    <n v="10"/>
    <n v="539"/>
    <n v="12110"/>
    <n v="4988"/>
    <n v="1120"/>
    <n v="583"/>
    <n v="0.42"/>
    <n v="0.373"/>
    <n v="0.879"/>
    <n v="24.3"/>
    <n v="9.6000000000000002E-2"/>
    <n v="2009"/>
    <n v="22.5"/>
    <n v="9.3000000000000007"/>
    <n v="2.1"/>
    <n v="1.1000000000000001"/>
    <x v="1"/>
    <x v="10"/>
    <n v="1"/>
  </r>
  <r>
    <x v="41"/>
    <x v="19"/>
    <x v="963"/>
    <s v="Arkansas"/>
    <n v="10"/>
    <n v="508"/>
    <n v="13990"/>
    <n v="4489"/>
    <n v="2179"/>
    <n v="1766"/>
    <n v="0.41399999999999998"/>
    <n v="0.378"/>
    <n v="0.75700000000000001"/>
    <n v="33.299999999999997"/>
    <n v="0.114"/>
    <n v="2009"/>
    <n v="27.5"/>
    <n v="8.8000000000000007"/>
    <n v="4.3"/>
    <n v="3.5"/>
    <x v="1"/>
    <x v="11"/>
    <n v="1"/>
  </r>
  <r>
    <x v="42"/>
    <x v="8"/>
    <x v="964"/>
    <s v="LSU"/>
    <n v="8"/>
    <n v="483"/>
    <n v="11299"/>
    <n v="5750"/>
    <n v="1348"/>
    <n v="677"/>
    <n v="0.42499999999999999"/>
    <n v="0.35799999999999998"/>
    <n v="0.83"/>
    <n v="20"/>
    <n v="8.5000000000000006E-2"/>
    <n v="2009"/>
    <n v="23.4"/>
    <n v="11.9"/>
    <n v="2.8"/>
    <n v="1.4"/>
    <x v="1"/>
    <x v="12"/>
    <n v="1"/>
  </r>
  <r>
    <x v="43"/>
    <x v="18"/>
    <x v="965"/>
    <s v="Arizona"/>
    <n v="7"/>
    <n v="407"/>
    <n v="7998"/>
    <n v="3198"/>
    <n v="1240"/>
    <n v="473"/>
    <n v="0.43"/>
    <n v="0.35199999999999998"/>
    <n v="0.79700000000000004"/>
    <n v="13.9"/>
    <n v="8.3000000000000004E-2"/>
    <n v="2009"/>
    <n v="19.7"/>
    <n v="7.9"/>
    <n v="3"/>
    <n v="1.2"/>
    <x v="1"/>
    <x v="13"/>
    <n v="1"/>
  </r>
  <r>
    <x v="44"/>
    <x v="5"/>
    <x v="966"/>
    <s v="Florida"/>
    <n v="2"/>
    <n v="129"/>
    <n v="2011"/>
    <n v="590"/>
    <n v="243"/>
    <n v="353"/>
    <n v="0.441"/>
    <n v="0.28799999999999998"/>
    <n v="0.58099999999999996"/>
    <n v="2.6"/>
    <n v="6.3E-2"/>
    <n v="2009"/>
    <n v="15.6"/>
    <n v="4.5999999999999996"/>
    <n v="1.9"/>
    <n v="2.7"/>
    <x v="1"/>
    <x v="14"/>
    <n v="0"/>
  </r>
  <r>
    <x v="45"/>
    <x v="25"/>
    <x v="967"/>
    <s v="UNC"/>
    <n v="13"/>
    <n v="797"/>
    <n v="20311"/>
    <n v="7034"/>
    <n v="2750"/>
    <n v="1247"/>
    <n v="0.42199999999999999"/>
    <n v="0.4"/>
    <n v="0.80600000000000005"/>
    <n v="48.4"/>
    <n v="0.114"/>
    <n v="2009"/>
    <n v="25.5"/>
    <n v="8.8000000000000007"/>
    <n v="3.5"/>
    <n v="1.6"/>
    <x v="1"/>
    <x v="15"/>
    <n v="1"/>
  </r>
  <r>
    <x v="47"/>
    <x v="15"/>
    <x v="968"/>
    <s v="Oklahoma"/>
    <n v="1"/>
    <n v="8"/>
    <n v="32"/>
    <n v="10"/>
    <n v="2"/>
    <n v="1"/>
    <n v="0.4"/>
    <n v="0"/>
    <n v="0.5"/>
    <n v="0"/>
    <n v="-3.9E-2"/>
    <n v="2009"/>
    <n v="4"/>
    <n v="1.3"/>
    <n v="0.3"/>
    <n v="0.1"/>
    <x v="1"/>
    <x v="17"/>
    <n v="0"/>
  </r>
  <r>
    <x v="50"/>
    <x v="24"/>
    <x v="969"/>
    <s v="UConn"/>
    <n v="6"/>
    <n v="261"/>
    <n v="3929"/>
    <n v="1523"/>
    <n v="377"/>
    <n v="567"/>
    <n v="0.38"/>
    <n v="0.316"/>
    <n v="0.74199999999999999"/>
    <n v="4.7"/>
    <n v="5.8000000000000003E-2"/>
    <n v="2009"/>
    <n v="15.1"/>
    <n v="5.8"/>
    <n v="1.4"/>
    <n v="2.2000000000000002"/>
    <x v="1"/>
    <x v="21"/>
    <n v="1"/>
  </r>
  <r>
    <x v="57"/>
    <x v="16"/>
    <x v="970"/>
    <s v="NA"/>
    <n v="2"/>
    <n v="119"/>
    <n v="1414"/>
    <n v="453"/>
    <n v="211"/>
    <n v="203"/>
    <n v="0.42899999999999999"/>
    <n v="0.36299999999999999"/>
    <n v="0.83499999999999996"/>
    <n v="2.4"/>
    <n v="8.1000000000000003E-2"/>
    <n v="2009"/>
    <n v="11.9"/>
    <n v="3.8"/>
    <n v="1.8"/>
    <n v="1.7"/>
    <x v="1"/>
    <x v="22"/>
    <n v="0"/>
  </r>
  <r>
    <x v="53"/>
    <x v="17"/>
    <x v="971"/>
    <s v="Saint Mary's"/>
    <n v="13"/>
    <n v="797"/>
    <n v="16471"/>
    <n v="7372"/>
    <n v="1361"/>
    <n v="1861"/>
    <n v="0.42799999999999999"/>
    <n v="0.39100000000000001"/>
    <n v="0.85699999999999998"/>
    <n v="35.5"/>
    <n v="0.104"/>
    <n v="2009"/>
    <n v="20.7"/>
    <n v="9.1999999999999993"/>
    <n v="1.7"/>
    <n v="2.2999999999999998"/>
    <x v="1"/>
    <x v="24"/>
    <n v="1"/>
  </r>
  <r>
    <x v="56"/>
    <x v="14"/>
    <x v="972"/>
    <s v="University of Tennessee at Martin"/>
    <n v="4"/>
    <n v="57"/>
    <n v="594"/>
    <n v="268"/>
    <n v="77"/>
    <n v="71"/>
    <n v="0.375"/>
    <n v="0.27700000000000002"/>
    <n v="0.80600000000000005"/>
    <n v="0.2"/>
    <n v="1.6E-2"/>
    <n v="2009"/>
    <n v="10.4"/>
    <n v="4.7"/>
    <n v="1.4"/>
    <n v="1.2"/>
    <x v="1"/>
    <x v="27"/>
    <n v="0"/>
  </r>
  <r>
    <x v="0"/>
    <x v="23"/>
    <x v="973"/>
    <s v="Kentucky"/>
    <n v="10"/>
    <n v="613"/>
    <n v="21833"/>
    <n v="11702"/>
    <n v="2612"/>
    <n v="5557"/>
    <n v="0.43099999999999999"/>
    <n v="0.32300000000000001"/>
    <n v="0.77900000000000003"/>
    <n v="44.1"/>
    <n v="9.7000000000000003E-2"/>
    <n v="2010"/>
    <n v="35.6"/>
    <n v="19.100000000000001"/>
    <n v="4.3"/>
    <n v="9.1"/>
    <x v="0"/>
    <x v="0"/>
    <n v="1"/>
  </r>
  <r>
    <x v="1"/>
    <x v="21"/>
    <x v="974"/>
    <s v="Ohio State"/>
    <n v="10"/>
    <n v="705"/>
    <n v="18938"/>
    <n v="6824"/>
    <n v="3278"/>
    <n v="2462"/>
    <n v="0.434"/>
    <n v="0.29399999999999998"/>
    <n v="0.78200000000000003"/>
    <n v="20.2"/>
    <n v="5.0999999999999997E-2"/>
    <n v="2010"/>
    <n v="26.9"/>
    <n v="9.6999999999999993"/>
    <n v="4.5999999999999996"/>
    <n v="3.5"/>
    <x v="0"/>
    <x v="1"/>
    <n v="1"/>
  </r>
  <r>
    <x v="2"/>
    <x v="0"/>
    <x v="975"/>
    <s v="Georgia Tech"/>
    <n v="12"/>
    <n v="789"/>
    <n v="19184"/>
    <n v="8348"/>
    <n v="5605"/>
    <n v="850"/>
    <n v="0.53400000000000003"/>
    <n v="0.19800000000000001"/>
    <n v="0.66300000000000003"/>
    <n v="60.3"/>
    <n v="0.151"/>
    <n v="2010"/>
    <n v="24.3"/>
    <n v="10.6"/>
    <n v="7.1"/>
    <n v="1.1000000000000001"/>
    <x v="0"/>
    <x v="2"/>
    <n v="1"/>
  </r>
  <r>
    <x v="3"/>
    <x v="5"/>
    <x v="976"/>
    <s v="Syracuse"/>
    <n v="9"/>
    <n v="609"/>
    <n v="13472"/>
    <n v="4235"/>
    <n v="1924"/>
    <n v="645"/>
    <n v="0.40400000000000003"/>
    <n v="0.33700000000000002"/>
    <n v="0.74099999999999999"/>
    <n v="10.7"/>
    <n v="3.7999999999999999E-2"/>
    <n v="2010"/>
    <n v="22.1"/>
    <n v="7"/>
    <n v="3.2"/>
    <n v="1.1000000000000001"/>
    <x v="0"/>
    <x v="3"/>
    <n v="1"/>
  </r>
  <r>
    <x v="4"/>
    <x v="6"/>
    <x v="977"/>
    <s v="Kentucky"/>
    <n v="11"/>
    <n v="631"/>
    <n v="19183"/>
    <n v="12575"/>
    <n v="6542"/>
    <n v="1935"/>
    <n v="0.45900000000000002"/>
    <n v="0.33"/>
    <n v="0.73699999999999999"/>
    <n v="46"/>
    <n v="0.115"/>
    <n v="2010"/>
    <n v="30.4"/>
    <n v="19.899999999999999"/>
    <n v="10.4"/>
    <n v="3.1"/>
    <x v="0"/>
    <x v="4"/>
    <n v="1"/>
  </r>
  <r>
    <x v="5"/>
    <x v="10"/>
    <x v="978"/>
    <s v="Baylor"/>
    <n v="7"/>
    <n v="384"/>
    <n v="5694"/>
    <n v="1353"/>
    <n v="1100"/>
    <n v="260"/>
    <n v="0.45300000000000001"/>
    <n v="0"/>
    <n v="0.71799999999999997"/>
    <n v="10.4"/>
    <n v="8.7999999999999995E-2"/>
    <n v="2010"/>
    <n v="14.8"/>
    <n v="3.5"/>
    <n v="2.9"/>
    <n v="0.7"/>
    <x v="0"/>
    <x v="5"/>
    <n v="1"/>
  </r>
  <r>
    <x v="6"/>
    <x v="18"/>
    <x v="979"/>
    <s v="Georgetown"/>
    <n v="10"/>
    <n v="642"/>
    <n v="17626"/>
    <n v="8381"/>
    <n v="5281"/>
    <n v="1368"/>
    <n v="0.51400000000000001"/>
    <n v="5.8999999999999997E-2"/>
    <n v="0.70299999999999996"/>
    <n v="50.1"/>
    <n v="0.13700000000000001"/>
    <n v="2010"/>
    <n v="27.5"/>
    <n v="13.1"/>
    <n v="8.1999999999999993"/>
    <n v="2.1"/>
    <x v="0"/>
    <x v="6"/>
    <n v="1"/>
  </r>
  <r>
    <x v="7"/>
    <x v="7"/>
    <x v="980"/>
    <s v="Wake Forest"/>
    <n v="11"/>
    <n v="711"/>
    <n v="17698"/>
    <n v="5350"/>
    <n v="4280"/>
    <n v="879"/>
    <n v="0.42"/>
    <n v="0.33200000000000002"/>
    <n v="0.746"/>
    <n v="27.6"/>
    <n v="7.4999999999999997E-2"/>
    <n v="2010"/>
    <n v="24.9"/>
    <n v="7.5"/>
    <n v="6"/>
    <n v="1.2"/>
    <x v="0"/>
    <x v="7"/>
    <n v="1"/>
  </r>
  <r>
    <x v="8"/>
    <x v="22"/>
    <x v="981"/>
    <s v="Butler"/>
    <n v="12"/>
    <n v="733"/>
    <n v="22815"/>
    <n v="11449"/>
    <n v="3299"/>
    <n v="2572"/>
    <n v="0.45300000000000001"/>
    <n v="0.371"/>
    <n v="0.82599999999999996"/>
    <n v="60.2"/>
    <n v="0.127"/>
    <n v="2010"/>
    <n v="31.1"/>
    <n v="15.6"/>
    <n v="4.5"/>
    <n v="3.5"/>
    <x v="0"/>
    <x v="8"/>
    <n v="1"/>
  </r>
  <r>
    <x v="9"/>
    <x v="24"/>
    <x v="982"/>
    <s v="Fresno State"/>
    <n v="12"/>
    <n v="732"/>
    <n v="24588"/>
    <n v="14916"/>
    <n v="4707"/>
    <n v="2607"/>
    <n v="0.436"/>
    <n v="0.38100000000000001"/>
    <n v="0.84899999999999998"/>
    <n v="76.099999999999994"/>
    <n v="0.14899999999999999"/>
    <n v="2010"/>
    <n v="33.6"/>
    <n v="20.399999999999999"/>
    <n v="6.4"/>
    <n v="3.6"/>
    <x v="0"/>
    <x v="9"/>
    <n v="1"/>
  </r>
  <r>
    <x v="10"/>
    <x v="29"/>
    <x v="983"/>
    <s v="Kansas"/>
    <n v="8"/>
    <n v="339"/>
    <n v="3389"/>
    <n v="1050"/>
    <n v="1131"/>
    <n v="183"/>
    <n v="0.52700000000000002"/>
    <n v="0"/>
    <n v="0.73799999999999999"/>
    <n v="9.6"/>
    <n v="0.13500000000000001"/>
    <n v="2010"/>
    <n v="10"/>
    <n v="3.1"/>
    <n v="3.3"/>
    <n v="0.5"/>
    <x v="0"/>
    <x v="10"/>
    <n v="1"/>
  </r>
  <r>
    <x v="11"/>
    <x v="27"/>
    <x v="984"/>
    <s v="Kansas"/>
    <n v="5"/>
    <n v="185"/>
    <n v="2905"/>
    <n v="1050"/>
    <n v="351"/>
    <n v="120"/>
    <n v="0.40600000000000003"/>
    <n v="0.32500000000000001"/>
    <n v="0.63500000000000001"/>
    <n v="0.8"/>
    <n v="1.2999999999999999E-2"/>
    <n v="2010"/>
    <n v="15.7"/>
    <n v="5.7"/>
    <n v="1.9"/>
    <n v="0.6"/>
    <x v="0"/>
    <x v="11"/>
    <n v="0"/>
  </r>
  <r>
    <x v="12"/>
    <x v="28"/>
    <x v="985"/>
    <s v="UNC"/>
    <n v="12"/>
    <n v="710"/>
    <n v="13697"/>
    <n v="4284"/>
    <n v="4596"/>
    <n v="537"/>
    <n v="0.56699999999999995"/>
    <n v="0"/>
    <n v="0.58399999999999996"/>
    <n v="43.1"/>
    <n v="0.151"/>
    <n v="2010"/>
    <n v="19.3"/>
    <n v="6"/>
    <n v="6.5"/>
    <n v="0.8"/>
    <x v="0"/>
    <x v="12"/>
    <n v="1"/>
  </r>
  <r>
    <x v="13"/>
    <x v="11"/>
    <x v="986"/>
    <s v="Kentucky"/>
    <n v="11"/>
    <n v="719"/>
    <n v="14923"/>
    <n v="4782"/>
    <n v="2799"/>
    <n v="736"/>
    <n v="0.44700000000000001"/>
    <n v="0.36899999999999999"/>
    <n v="0.755"/>
    <n v="31.9"/>
    <n v="0.10199999999999999"/>
    <n v="2010"/>
    <n v="20.8"/>
    <n v="6.7"/>
    <n v="3.9"/>
    <n v="1"/>
    <x v="0"/>
    <x v="13"/>
    <n v="1"/>
  </r>
  <r>
    <x v="14"/>
    <x v="12"/>
    <x v="987"/>
    <s v="VCU"/>
    <n v="6"/>
    <n v="238"/>
    <n v="4635"/>
    <n v="1520"/>
    <n v="1345"/>
    <n v="174"/>
    <n v="0.48"/>
    <n v="0"/>
    <n v="0.55300000000000005"/>
    <n v="10.3"/>
    <n v="0.107"/>
    <n v="2010"/>
    <n v="19.5"/>
    <n v="6.4"/>
    <n v="5.7"/>
    <n v="0.7"/>
    <x v="0"/>
    <x v="14"/>
    <n v="1"/>
  </r>
  <r>
    <x v="15"/>
    <x v="5"/>
    <x v="988"/>
    <s v="Nevada"/>
    <n v="8"/>
    <n v="381"/>
    <n v="5332"/>
    <n v="1818"/>
    <n v="846"/>
    <n v="224"/>
    <n v="0.40799999999999997"/>
    <n v="0.40200000000000002"/>
    <n v="0.747"/>
    <n v="7.2"/>
    <n v="6.5000000000000002E-2"/>
    <n v="2010"/>
    <n v="14"/>
    <n v="4.8"/>
    <n v="2.2000000000000002"/>
    <n v="0.6"/>
    <x v="0"/>
    <x v="15"/>
    <n v="1"/>
  </r>
  <r>
    <x v="16"/>
    <x v="20"/>
    <x v="989"/>
    <s v="NA"/>
    <n v="7"/>
    <n v="423"/>
    <n v="6430"/>
    <n v="2516"/>
    <n v="1462"/>
    <n v="246"/>
    <n v="0.48899999999999999"/>
    <n v="0"/>
    <n v="0.71499999999999997"/>
    <n v="5.9"/>
    <n v="4.3999999999999997E-2"/>
    <n v="2010"/>
    <n v="15.2"/>
    <n v="5.9"/>
    <n v="3.5"/>
    <n v="0.6"/>
    <x v="0"/>
    <x v="16"/>
    <n v="1"/>
  </r>
  <r>
    <x v="17"/>
    <x v="1"/>
    <x v="990"/>
    <s v="Kentucky"/>
    <n v="12"/>
    <n v="756"/>
    <n v="21021"/>
    <n v="10348"/>
    <n v="2937"/>
    <n v="3545"/>
    <n v="0.45200000000000001"/>
    <n v="0.33600000000000002"/>
    <n v="0.78400000000000003"/>
    <n v="46.2"/>
    <n v="0.105"/>
    <n v="2010"/>
    <n v="27.8"/>
    <n v="13.7"/>
    <n v="3.9"/>
    <n v="4.7"/>
    <x v="0"/>
    <x v="17"/>
    <n v="1"/>
  </r>
  <r>
    <x v="18"/>
    <x v="14"/>
    <x v="991"/>
    <s v="Texas"/>
    <n v="12"/>
    <n v="647"/>
    <n v="17910"/>
    <n v="7210"/>
    <n v="1840"/>
    <n v="1099"/>
    <n v="0.434"/>
    <n v="0.36399999999999999"/>
    <n v="0.78200000000000003"/>
    <n v="17"/>
    <n v="4.5999999999999999E-2"/>
    <n v="2010"/>
    <n v="27.7"/>
    <n v="11.1"/>
    <n v="2.8"/>
    <n v="1.7"/>
    <x v="0"/>
    <x v="18"/>
    <n v="1"/>
  </r>
  <r>
    <x v="19"/>
    <x v="16"/>
    <x v="992"/>
    <s v="Oklahoma State"/>
    <n v="5"/>
    <n v="247"/>
    <n v="4320"/>
    <n v="1422"/>
    <n v="560"/>
    <n v="291"/>
    <n v="0.41099999999999998"/>
    <n v="0.32100000000000001"/>
    <n v="0.755"/>
    <n v="3.3"/>
    <n v="3.6999999999999998E-2"/>
    <n v="2010"/>
    <n v="17.5"/>
    <n v="5.8"/>
    <n v="2.2999999999999998"/>
    <n v="1.2"/>
    <x v="0"/>
    <x v="19"/>
    <n v="0"/>
  </r>
  <r>
    <x v="20"/>
    <x v="1"/>
    <x v="993"/>
    <s v="Iowa State"/>
    <n v="2"/>
    <n v="17"/>
    <n v="121"/>
    <n v="30"/>
    <n v="19"/>
    <n v="9"/>
    <n v="0.26500000000000001"/>
    <n v="0.214"/>
    <n v="0.5"/>
    <n v="-0.2"/>
    <n v="-8.8999999999999996E-2"/>
    <n v="2010"/>
    <n v="7.1"/>
    <n v="1.8"/>
    <n v="1.1000000000000001"/>
    <n v="0.5"/>
    <x v="0"/>
    <x v="20"/>
    <n v="0"/>
  </r>
  <r>
    <x v="21"/>
    <x v="17"/>
    <x v="994"/>
    <s v="Memphis"/>
    <n v="4"/>
    <n v="109"/>
    <n v="1470"/>
    <n v="537"/>
    <n v="161"/>
    <n v="94"/>
    <n v="0.42099999999999999"/>
    <n v="0.31"/>
    <n v="0.66900000000000004"/>
    <n v="0.7"/>
    <n v="2.4E-2"/>
    <n v="2010"/>
    <n v="13.5"/>
    <n v="4.9000000000000004"/>
    <n v="1.5"/>
    <n v="0.9"/>
    <x v="0"/>
    <x v="21"/>
    <n v="0"/>
  </r>
  <r>
    <x v="22"/>
    <x v="5"/>
    <x v="995"/>
    <s v="Clemson"/>
    <n v="8"/>
    <n v="532"/>
    <n v="10872"/>
    <n v="3679"/>
    <n v="2932"/>
    <n v="566"/>
    <n v="0.51500000000000001"/>
    <n v="0.30499999999999999"/>
    <n v="0.63600000000000001"/>
    <n v="26.2"/>
    <n v="0.11600000000000001"/>
    <n v="2010"/>
    <n v="20.399999999999999"/>
    <n v="6.9"/>
    <n v="5.5"/>
    <n v="1.1000000000000001"/>
    <x v="0"/>
    <x v="22"/>
    <n v="1"/>
  </r>
  <r>
    <x v="23"/>
    <x v="9"/>
    <x v="996"/>
    <s v="Texas"/>
    <n v="4"/>
    <n v="39"/>
    <n v="623"/>
    <n v="150"/>
    <n v="131"/>
    <n v="26"/>
    <n v="0.41499999999999998"/>
    <n v="0"/>
    <n v="0.66700000000000004"/>
    <n v="0"/>
    <n v="-1E-3"/>
    <n v="2010"/>
    <n v="16"/>
    <n v="3.8"/>
    <n v="3.4"/>
    <n v="0.7"/>
    <x v="0"/>
    <x v="23"/>
    <n v="0"/>
  </r>
  <r>
    <x v="24"/>
    <x v="27"/>
    <x v="997"/>
    <s v="South Florida"/>
    <n v="3"/>
    <n v="80"/>
    <n v="741"/>
    <n v="246"/>
    <n v="114"/>
    <n v="144"/>
    <n v="0.36599999999999999"/>
    <n v="9.5000000000000001E-2"/>
    <n v="0.72899999999999998"/>
    <n v="0.3"/>
    <n v="1.7000000000000001E-2"/>
    <n v="2010"/>
    <n v="9.3000000000000007"/>
    <n v="3.1"/>
    <n v="1.4"/>
    <n v="1.8"/>
    <x v="0"/>
    <x v="24"/>
    <n v="0"/>
  </r>
  <r>
    <x v="25"/>
    <x v="1"/>
    <x v="998"/>
    <s v="Washington"/>
    <n v="7"/>
    <n v="355"/>
    <n v="5530"/>
    <n v="1609"/>
    <n v="640"/>
    <n v="263"/>
    <n v="0.42299999999999999"/>
    <n v="0.35599999999999998"/>
    <n v="0.746"/>
    <n v="9.6999999999999993"/>
    <n v="8.4000000000000005E-2"/>
    <n v="2010"/>
    <n v="15.6"/>
    <n v="4.5"/>
    <n v="1.8"/>
    <n v="0.7"/>
    <x v="0"/>
    <x v="25"/>
    <n v="1"/>
  </r>
  <r>
    <x v="26"/>
    <x v="0"/>
    <x v="999"/>
    <s v="Xavier"/>
    <n v="6"/>
    <n v="281"/>
    <n v="6843"/>
    <n v="3432"/>
    <n v="703"/>
    <n v="883"/>
    <n v="0.41099999999999998"/>
    <n v="0.317"/>
    <n v="0.82599999999999996"/>
    <n v="6.3"/>
    <n v="4.3999999999999997E-2"/>
    <n v="2010"/>
    <n v="24.4"/>
    <n v="12.2"/>
    <n v="2.5"/>
    <n v="3.1"/>
    <x v="0"/>
    <x v="26"/>
    <n v="1"/>
  </r>
  <r>
    <x v="27"/>
    <x v="27"/>
    <x v="1000"/>
    <s v="Maryland"/>
    <n v="7"/>
    <n v="401"/>
    <n v="9520"/>
    <n v="3591"/>
    <n v="1021"/>
    <n v="1935"/>
    <n v="0.41799999999999998"/>
    <n v="0.34899999999999998"/>
    <n v="0.81699999999999995"/>
    <n v="12.6"/>
    <n v="6.4000000000000001E-2"/>
    <n v="2010"/>
    <n v="23.7"/>
    <n v="9"/>
    <n v="2.5"/>
    <n v="4.8"/>
    <x v="0"/>
    <x v="27"/>
    <n v="1"/>
  </r>
  <r>
    <x v="28"/>
    <x v="3"/>
    <x v="1001"/>
    <s v="Kentucky"/>
    <n v="3"/>
    <n v="51"/>
    <n v="542"/>
    <n v="143"/>
    <n v="126"/>
    <n v="24"/>
    <n v="0.48499999999999999"/>
    <n v="0"/>
    <n v="0.59699999999999998"/>
    <n v="1"/>
    <n v="9.2999999999999999E-2"/>
    <n v="2010"/>
    <n v="10.6"/>
    <n v="2.8"/>
    <n v="2.5"/>
    <n v="0.5"/>
    <x v="0"/>
    <x v="28"/>
    <n v="0"/>
  </r>
  <r>
    <x v="29"/>
    <x v="23"/>
    <x v="1002"/>
    <s v="Marquette"/>
    <n v="3"/>
    <n v="72"/>
    <n v="591"/>
    <n v="207"/>
    <n v="90"/>
    <n v="35"/>
    <n v="0.34699999999999998"/>
    <n v="0.26900000000000002"/>
    <n v="0.76700000000000002"/>
    <n v="0.2"/>
    <n v="0.02"/>
    <n v="2010"/>
    <n v="8.1999999999999993"/>
    <n v="2.9"/>
    <n v="1.3"/>
    <n v="0.5"/>
    <x v="0"/>
    <x v="29"/>
    <n v="0"/>
  </r>
  <r>
    <x v="30"/>
    <x v="0"/>
    <x v="1003"/>
    <s v="NA"/>
    <n v="1"/>
    <n v="12"/>
    <n v="82"/>
    <n v="24"/>
    <n v="15"/>
    <n v="2"/>
    <n v="0.44"/>
    <n v="0"/>
    <n v="1"/>
    <n v="-0.1"/>
    <n v="-4.1000000000000002E-2"/>
    <n v="2010"/>
    <n v="6.8"/>
    <n v="2"/>
    <n v="1.3"/>
    <n v="0.2"/>
    <x v="1"/>
    <x v="0"/>
    <n v="0"/>
  </r>
  <r>
    <x v="31"/>
    <x v="8"/>
    <x v="1004"/>
    <s v="Texas"/>
    <n v="4"/>
    <n v="50"/>
    <n v="347"/>
    <n v="116"/>
    <n v="89"/>
    <n v="9"/>
    <n v="0.45"/>
    <n v="0"/>
    <n v="0.54500000000000004"/>
    <n v="0.5"/>
    <n v="6.8000000000000005E-2"/>
    <n v="2010"/>
    <n v="6.9"/>
    <n v="2.2999999999999998"/>
    <n v="1.8"/>
    <n v="0.2"/>
    <x v="1"/>
    <x v="1"/>
    <n v="0"/>
  </r>
  <r>
    <x v="32"/>
    <x v="6"/>
    <x v="1005"/>
    <s v="Marshall"/>
    <n v="10"/>
    <n v="492"/>
    <n v="12334"/>
    <n v="6315"/>
    <n v="5388"/>
    <n v="319"/>
    <n v="0.58399999999999996"/>
    <n v="0.308"/>
    <n v="0.60699999999999998"/>
    <n v="50.3"/>
    <n v="0.19600000000000001"/>
    <n v="2010"/>
    <n v="25.1"/>
    <n v="12.8"/>
    <n v="11"/>
    <n v="0.6"/>
    <x v="1"/>
    <x v="2"/>
    <n v="1"/>
  </r>
  <r>
    <x v="33"/>
    <x v="17"/>
    <x v="1006"/>
    <s v="Nevada"/>
    <n v="2"/>
    <n v="47"/>
    <n v="401"/>
    <n v="157"/>
    <n v="49"/>
    <n v="56"/>
    <n v="0.45800000000000002"/>
    <n v="0.4"/>
    <n v="0.67900000000000005"/>
    <n v="-0.1"/>
    <n v="-1.4999999999999999E-2"/>
    <n v="2010"/>
    <n v="8.5"/>
    <n v="3.3"/>
    <n v="1"/>
    <n v="1.2"/>
    <x v="1"/>
    <x v="3"/>
    <n v="0"/>
  </r>
  <r>
    <x v="34"/>
    <x v="23"/>
    <x v="1007"/>
    <s v="NA"/>
    <n v="7"/>
    <n v="431"/>
    <n v="8843"/>
    <n v="3305"/>
    <n v="1966"/>
    <n v="767"/>
    <n v="0.46400000000000002"/>
    <n v="0.38200000000000001"/>
    <n v="0.753"/>
    <n v="19"/>
    <n v="0.10299999999999999"/>
    <n v="2010"/>
    <n v="20.5"/>
    <n v="7.7"/>
    <n v="4.5999999999999996"/>
    <n v="1.8"/>
    <x v="1"/>
    <x v="4"/>
    <n v="1"/>
  </r>
  <r>
    <x v="36"/>
    <x v="12"/>
    <x v="1008"/>
    <s v="New Mexico"/>
    <n v="1"/>
    <n v="5"/>
    <n v="39"/>
    <n v="4"/>
    <n v="3"/>
    <n v="6"/>
    <n v="0.154"/>
    <n v="0"/>
    <n v="0"/>
    <n v="-0.2"/>
    <n v="-0.22500000000000001"/>
    <n v="2010"/>
    <n v="7.8"/>
    <n v="0.8"/>
    <n v="0.6"/>
    <n v="1.2"/>
    <x v="1"/>
    <x v="6"/>
    <n v="0"/>
  </r>
  <r>
    <x v="37"/>
    <x v="13"/>
    <x v="1009"/>
    <s v="Syracuse"/>
    <n v="1"/>
    <n v="5"/>
    <n v="24"/>
    <n v="8"/>
    <n v="1"/>
    <n v="3"/>
    <n v="0.42899999999999999"/>
    <n v="0.25"/>
    <n v="0.5"/>
    <n v="-0.2"/>
    <n v="-0.314"/>
    <n v="2010"/>
    <n v="4.8"/>
    <n v="1.6"/>
    <n v="0.2"/>
    <n v="0.6"/>
    <x v="1"/>
    <x v="7"/>
    <n v="0"/>
  </r>
  <r>
    <x v="38"/>
    <x v="13"/>
    <x v="1010"/>
    <s v="Stanford"/>
    <n v="5"/>
    <n v="255"/>
    <n v="6010"/>
    <n v="1731"/>
    <n v="1092"/>
    <n v="419"/>
    <n v="0.47299999999999998"/>
    <n v="0.33200000000000002"/>
    <n v="0.66600000000000004"/>
    <n v="10.5"/>
    <n v="8.4000000000000005E-2"/>
    <n v="2010"/>
    <n v="23.6"/>
    <n v="6.8"/>
    <n v="4.3"/>
    <n v="1.6"/>
    <x v="1"/>
    <x v="8"/>
    <n v="0"/>
  </r>
  <r>
    <x v="39"/>
    <x v="24"/>
    <x v="1011"/>
    <s v="Cincinnati"/>
    <n v="10"/>
    <n v="538"/>
    <n v="12409"/>
    <n v="4605"/>
    <n v="2215"/>
    <n v="1566"/>
    <n v="0.44400000000000001"/>
    <n v="0.311"/>
    <n v="0.69199999999999995"/>
    <n v="17.3"/>
    <n v="6.7000000000000004E-2"/>
    <n v="2010"/>
    <n v="23.1"/>
    <n v="8.6"/>
    <n v="4.0999999999999996"/>
    <n v="2.9"/>
    <x v="1"/>
    <x v="9"/>
    <n v="1"/>
  </r>
  <r>
    <x v="40"/>
    <x v="8"/>
    <x v="1012"/>
    <s v="Mississippi State"/>
    <n v="2"/>
    <n v="37"/>
    <n v="397"/>
    <n v="107"/>
    <n v="72"/>
    <n v="16"/>
    <n v="0.58199999999999996"/>
    <n v="0"/>
    <n v="0.51800000000000002"/>
    <n v="0.7"/>
    <n v="8.8999999999999996E-2"/>
    <n v="2010"/>
    <n v="10.7"/>
    <n v="2.9"/>
    <n v="1.9"/>
    <n v="0.4"/>
    <x v="1"/>
    <x v="10"/>
    <n v="0"/>
  </r>
  <r>
    <x v="42"/>
    <x v="19"/>
    <x v="1013"/>
    <s v="West Virginia"/>
    <n v="3"/>
    <n v="63"/>
    <n v="711"/>
    <n v="224"/>
    <n v="122"/>
    <n v="24"/>
    <n v="0.38500000000000001"/>
    <n v="0.222"/>
    <n v="0.72199999999999998"/>
    <n v="0.5"/>
    <n v="3.5000000000000003E-2"/>
    <n v="2010"/>
    <n v="11.3"/>
    <n v="3.6"/>
    <n v="1.9"/>
    <n v="0.4"/>
    <x v="1"/>
    <x v="12"/>
    <n v="0"/>
  </r>
  <r>
    <x v="43"/>
    <x v="12"/>
    <x v="1014"/>
    <s v="Tulsa"/>
    <n v="2"/>
    <n v="65"/>
    <n v="491"/>
    <n v="180"/>
    <n v="132"/>
    <n v="17"/>
    <n v="0.52800000000000002"/>
    <n v="0"/>
    <n v="0.85199999999999998"/>
    <n v="1.7"/>
    <n v="0.16800000000000001"/>
    <n v="2010"/>
    <n v="7.6"/>
    <n v="2.8"/>
    <n v="2"/>
    <n v="0.3"/>
    <x v="1"/>
    <x v="13"/>
    <n v="0"/>
  </r>
  <r>
    <x v="45"/>
    <x v="15"/>
    <x v="1015"/>
    <s v="Georgia Tech"/>
    <n v="1"/>
    <n v="1"/>
    <n v="2"/>
    <n v="0"/>
    <n v="0"/>
    <n v="0"/>
    <n v="0"/>
    <n v="0"/>
    <n v="0"/>
    <n v="0"/>
    <n v="-8.9999999999999993E-3"/>
    <n v="2010"/>
    <n v="2"/>
    <n v="0"/>
    <n v="0"/>
    <n v="0"/>
    <x v="1"/>
    <x v="15"/>
    <n v="0"/>
  </r>
  <r>
    <x v="48"/>
    <x v="26"/>
    <x v="1016"/>
    <s v="Florida State"/>
    <n v="2"/>
    <n v="26"/>
    <n v="181"/>
    <n v="39"/>
    <n v="61"/>
    <n v="5"/>
    <n v="0.314"/>
    <n v="0"/>
    <n v="0.7"/>
    <n v="0"/>
    <n v="0.01"/>
    <n v="2010"/>
    <n v="7"/>
    <n v="1.5"/>
    <n v="2.2999999999999998"/>
    <n v="0.2"/>
    <x v="1"/>
    <x v="19"/>
    <n v="0"/>
  </r>
  <r>
    <x v="50"/>
    <x v="14"/>
    <x v="1017"/>
    <s v="Notre Dame"/>
    <n v="2"/>
    <n v="70"/>
    <n v="871"/>
    <n v="253"/>
    <n v="196"/>
    <n v="36"/>
    <n v="0.376"/>
    <n v="0.24099999999999999"/>
    <n v="0.73699999999999999"/>
    <n v="0.9"/>
    <n v="4.8000000000000001E-2"/>
    <n v="2010"/>
    <n v="12.4"/>
    <n v="3.6"/>
    <n v="2.8"/>
    <n v="0.5"/>
    <x v="1"/>
    <x v="21"/>
    <n v="0"/>
  </r>
  <r>
    <x v="57"/>
    <x v="9"/>
    <x v="1018"/>
    <s v="NA"/>
    <n v="1"/>
    <n v="3"/>
    <n v="21"/>
    <n v="7"/>
    <n v="3"/>
    <n v="2"/>
    <n v="0.33300000000000002"/>
    <n v="0"/>
    <n v="1"/>
    <n v="0"/>
    <n v="-4.7E-2"/>
    <n v="2010"/>
    <n v="7"/>
    <n v="2.2999999999999998"/>
    <n v="1"/>
    <n v="0.7"/>
    <x v="1"/>
    <x v="22"/>
    <n v="0"/>
  </r>
  <r>
    <x v="51"/>
    <x v="7"/>
    <x v="1019"/>
    <s v="Oklahoma"/>
    <n v="1"/>
    <n v="19"/>
    <n v="134"/>
    <n v="37"/>
    <n v="12"/>
    <n v="27"/>
    <n v="0.371"/>
    <n v="0.33300000000000002"/>
    <n v="0.75"/>
    <n v="0.2"/>
    <n v="6.5000000000000002E-2"/>
    <n v="2010"/>
    <n v="7.1"/>
    <n v="1.9"/>
    <n v="0.6"/>
    <n v="1.4"/>
    <x v="1"/>
    <x v="23"/>
    <n v="0"/>
  </r>
  <r>
    <x v="53"/>
    <x v="22"/>
    <x v="1020"/>
    <s v="Western Kentucky"/>
    <n v="7"/>
    <n v="250"/>
    <n v="2626"/>
    <n v="879"/>
    <n v="641"/>
    <n v="107"/>
    <n v="0.56899999999999995"/>
    <n v="0.23100000000000001"/>
    <n v="0.68700000000000006"/>
    <n v="8.1999999999999993"/>
    <n v="0.15"/>
    <n v="2010"/>
    <n v="10.5"/>
    <n v="3.5"/>
    <n v="2.6"/>
    <n v="0.4"/>
    <x v="1"/>
    <x v="24"/>
    <n v="1"/>
  </r>
  <r>
    <x v="54"/>
    <x v="5"/>
    <x v="1021"/>
    <s v="Rutgers University"/>
    <n v="3"/>
    <n v="33"/>
    <n v="157"/>
    <n v="20"/>
    <n v="25"/>
    <n v="3"/>
    <n v="0.46700000000000003"/>
    <n v="0"/>
    <n v="0.46200000000000002"/>
    <n v="0"/>
    <n v="1.2999999999999999E-2"/>
    <n v="2010"/>
    <n v="4.8"/>
    <n v="0.6"/>
    <n v="0.8"/>
    <n v="0.1"/>
    <x v="1"/>
    <x v="25"/>
    <n v="0"/>
  </r>
  <r>
    <x v="55"/>
    <x v="24"/>
    <x v="1022"/>
    <s v="Florida State"/>
    <n v="1"/>
    <n v="5"/>
    <n v="17"/>
    <n v="8"/>
    <n v="2"/>
    <n v="0"/>
    <n v="0.8"/>
    <n v="0"/>
    <n v="0"/>
    <n v="0.1"/>
    <n v="0.14199999999999999"/>
    <n v="2010"/>
    <n v="3.4"/>
    <n v="1.6"/>
    <n v="0.4"/>
    <n v="0"/>
    <x v="1"/>
    <x v="26"/>
    <n v="0"/>
  </r>
  <r>
    <x v="56"/>
    <x v="19"/>
    <x v="1023"/>
    <s v="Texas-El Paso"/>
    <n v="1"/>
    <n v="41"/>
    <n v="215"/>
    <n v="81"/>
    <n v="43"/>
    <n v="7"/>
    <n v="0.48499999999999999"/>
    <n v="0"/>
    <n v="0.73899999999999999"/>
    <n v="0.3"/>
    <n v="5.7000000000000002E-2"/>
    <n v="2010"/>
    <n v="5.2"/>
    <n v="2"/>
    <n v="1"/>
    <n v="0.2"/>
    <x v="1"/>
    <x v="27"/>
    <n v="0"/>
  </r>
  <r>
    <x v="0"/>
    <x v="25"/>
    <x v="1024"/>
    <s v="Duke"/>
    <n v="11"/>
    <n v="596"/>
    <n v="20220"/>
    <n v="13631"/>
    <n v="2279"/>
    <n v="3411"/>
    <n v="0.46899999999999997"/>
    <n v="0.39100000000000001"/>
    <n v="0.88200000000000001"/>
    <n v="69.8"/>
    <n v="0.16600000000000001"/>
    <n v="2011"/>
    <n v="33.9"/>
    <n v="22.9"/>
    <n v="3.8"/>
    <n v="5.7"/>
    <x v="0"/>
    <x v="0"/>
    <n v="1"/>
  </r>
  <r>
    <x v="1"/>
    <x v="5"/>
    <x v="1025"/>
    <s v="Arizona"/>
    <n v="7"/>
    <n v="428"/>
    <n v="8864"/>
    <n v="3809"/>
    <n v="1693"/>
    <n v="293"/>
    <n v="0.434"/>
    <n v="0.3"/>
    <n v="0.71"/>
    <n v="14.1"/>
    <n v="7.5999999999999998E-2"/>
    <n v="2011"/>
    <n v="20.7"/>
    <n v="8.9"/>
    <n v="4"/>
    <n v="0.7"/>
    <x v="0"/>
    <x v="1"/>
    <n v="1"/>
  </r>
  <r>
    <x v="2"/>
    <x v="22"/>
    <x v="1026"/>
    <s v="NA"/>
    <n v="11"/>
    <n v="748"/>
    <n v="16101"/>
    <n v="8349"/>
    <n v="5822"/>
    <n v="638"/>
    <n v="0.54800000000000004"/>
    <n v="0.28899999999999998"/>
    <n v="0.77700000000000002"/>
    <n v="52.8"/>
    <n v="0.157"/>
    <n v="2011"/>
    <n v="21.5"/>
    <n v="11.2"/>
    <n v="7.8"/>
    <n v="0.9"/>
    <x v="0"/>
    <x v="2"/>
    <n v="1"/>
  </r>
  <r>
    <x v="3"/>
    <x v="25"/>
    <x v="1027"/>
    <s v="Texas"/>
    <n v="11"/>
    <n v="707"/>
    <n v="19180"/>
    <n v="6462"/>
    <n v="6011"/>
    <n v="711"/>
    <n v="0.51800000000000002"/>
    <n v="0.27800000000000002"/>
    <n v="0.60599999999999998"/>
    <n v="46.6"/>
    <n v="0.11700000000000001"/>
    <n v="2011"/>
    <n v="27.1"/>
    <n v="9.1"/>
    <n v="8.5"/>
    <n v="1"/>
    <x v="0"/>
    <x v="3"/>
    <n v="1"/>
  </r>
  <r>
    <x v="4"/>
    <x v="28"/>
    <x v="1028"/>
    <s v="NA"/>
    <n v="10"/>
    <n v="674"/>
    <n v="17559"/>
    <n v="8958"/>
    <n v="6338"/>
    <n v="771"/>
    <n v="0.56299999999999994"/>
    <n v="0.36599999999999999"/>
    <n v="0.78400000000000003"/>
    <n v="65.400000000000006"/>
    <n v="0.17899999999999999"/>
    <n v="2011"/>
    <n v="26.1"/>
    <n v="13.3"/>
    <n v="9.4"/>
    <n v="1.1000000000000001"/>
    <x v="0"/>
    <x v="4"/>
    <n v="1"/>
  </r>
  <r>
    <x v="5"/>
    <x v="23"/>
    <x v="1029"/>
    <s v="NA"/>
    <n v="3"/>
    <n v="162"/>
    <n v="2455"/>
    <n v="590"/>
    <n v="562"/>
    <n v="96"/>
    <n v="0.52100000000000002"/>
    <n v="0"/>
    <n v="0.40799999999999997"/>
    <n v="4"/>
    <n v="7.8E-2"/>
    <n v="2011"/>
    <n v="15.2"/>
    <n v="3.6"/>
    <n v="3.5"/>
    <n v="0.6"/>
    <x v="0"/>
    <x v="5"/>
    <n v="0"/>
  </r>
  <r>
    <x v="6"/>
    <x v="6"/>
    <x v="1030"/>
    <s v="NA"/>
    <n v="11"/>
    <n v="719"/>
    <n v="14521"/>
    <n v="3749"/>
    <n v="4423"/>
    <n v="433"/>
    <n v="0.53"/>
    <n v="0"/>
    <n v="0.56499999999999995"/>
    <n v="29"/>
    <n v="9.6000000000000002E-2"/>
    <n v="2011"/>
    <n v="20.2"/>
    <n v="5.2"/>
    <n v="6.2"/>
    <n v="0.6"/>
    <x v="0"/>
    <x v="6"/>
    <n v="1"/>
  </r>
  <r>
    <x v="7"/>
    <x v="18"/>
    <x v="1031"/>
    <s v="Kentucky"/>
    <n v="9"/>
    <n v="449"/>
    <n v="13191"/>
    <n v="6299"/>
    <n v="1384"/>
    <n v="1777"/>
    <n v="0.41099999999999998"/>
    <n v="0.35299999999999998"/>
    <n v="0.80700000000000005"/>
    <n v="11.7"/>
    <n v="4.2999999999999997E-2"/>
    <n v="2011"/>
    <n v="29.4"/>
    <n v="14"/>
    <n v="3.1"/>
    <n v="4"/>
    <x v="0"/>
    <x v="7"/>
    <n v="1"/>
  </r>
  <r>
    <x v="8"/>
    <x v="4"/>
    <x v="1032"/>
    <s v="UConn"/>
    <n v="11"/>
    <n v="741"/>
    <n v="24666"/>
    <n v="14414"/>
    <n v="2815"/>
    <n v="3919"/>
    <n v="0.41799999999999998"/>
    <n v="0.36"/>
    <n v="0.84"/>
    <n v="59.5"/>
    <n v="0.11600000000000001"/>
    <n v="2011"/>
    <n v="33.299999999999997"/>
    <n v="19.5"/>
    <n v="3.8"/>
    <n v="5.3"/>
    <x v="0"/>
    <x v="8"/>
    <n v="1"/>
  </r>
  <r>
    <x v="9"/>
    <x v="12"/>
    <x v="1033"/>
    <s v="BYU"/>
    <n v="6"/>
    <n v="241"/>
    <n v="3213"/>
    <n v="1438"/>
    <n v="243"/>
    <n v="331"/>
    <n v="0.40899999999999997"/>
    <n v="0.372"/>
    <n v="0.879"/>
    <n v="2.2000000000000002"/>
    <n v="3.3000000000000002E-2"/>
    <n v="2011"/>
    <n v="13.3"/>
    <n v="6"/>
    <n v="1"/>
    <n v="1.4"/>
    <x v="0"/>
    <x v="9"/>
    <n v="1"/>
  </r>
  <r>
    <x v="10"/>
    <x v="10"/>
    <x v="1034"/>
    <s v="Washington State"/>
    <n v="9"/>
    <n v="631"/>
    <n v="20744"/>
    <n v="12268"/>
    <n v="2190"/>
    <n v="1465"/>
    <n v="0.45800000000000002"/>
    <n v="0.41799999999999998"/>
    <n v="0.84899999999999998"/>
    <n v="47.8"/>
    <n v="0.11"/>
    <n v="2011"/>
    <n v="32.9"/>
    <n v="19.399999999999999"/>
    <n v="3.5"/>
    <n v="2.2999999999999998"/>
    <x v="0"/>
    <x v="10"/>
    <n v="1"/>
  </r>
  <r>
    <x v="11"/>
    <x v="22"/>
    <x v="1035"/>
    <s v="Colorado"/>
    <n v="11"/>
    <n v="602"/>
    <n v="13605"/>
    <n v="6339"/>
    <n v="2068"/>
    <n v="1179"/>
    <n v="0.41799999999999998"/>
    <n v="0.375"/>
    <n v="0.79900000000000004"/>
    <n v="23.9"/>
    <n v="8.4000000000000005E-2"/>
    <n v="2011"/>
    <n v="22.6"/>
    <n v="10.5"/>
    <n v="3.4"/>
    <n v="2"/>
    <x v="0"/>
    <x v="11"/>
    <n v="1"/>
  </r>
  <r>
    <x v="12"/>
    <x v="15"/>
    <x v="1036"/>
    <s v="Kansas"/>
    <n v="11"/>
    <n v="708"/>
    <n v="17613"/>
    <n v="7770"/>
    <n v="3697"/>
    <n v="1144"/>
    <n v="0.44600000000000001"/>
    <n v="0.34100000000000003"/>
    <n v="0.77700000000000002"/>
    <n v="27"/>
    <n v="7.2999999999999995E-2"/>
    <n v="2011"/>
    <n v="24.9"/>
    <n v="11"/>
    <n v="5.2"/>
    <n v="1.6"/>
    <x v="0"/>
    <x v="12"/>
    <n v="1"/>
  </r>
  <r>
    <x v="13"/>
    <x v="11"/>
    <x v="1037"/>
    <s v="Kansas"/>
    <n v="11"/>
    <n v="700"/>
    <n v="18965"/>
    <n v="8674"/>
    <n v="3232"/>
    <n v="1050"/>
    <n v="0.436"/>
    <n v="0.379"/>
    <n v="0.76800000000000002"/>
    <n v="35.9"/>
    <n v="9.0999999999999998E-2"/>
    <n v="2011"/>
    <n v="27.1"/>
    <n v="12.4"/>
    <n v="4.5999999999999996"/>
    <n v="1.5"/>
    <x v="0"/>
    <x v="13"/>
    <n v="1"/>
  </r>
  <r>
    <x v="14"/>
    <x v="24"/>
    <x v="1038"/>
    <s v="San Diego State"/>
    <n v="10"/>
    <n v="576"/>
    <n v="18025"/>
    <n v="11085"/>
    <n v="3689"/>
    <n v="1672"/>
    <n v="0.49299999999999999"/>
    <n v="0.38400000000000001"/>
    <n v="0.85799999999999998"/>
    <n v="83.3"/>
    <n v="0.222"/>
    <n v="2011"/>
    <n v="31.3"/>
    <n v="19.2"/>
    <n v="6.4"/>
    <n v="2.9"/>
    <x v="0"/>
    <x v="14"/>
    <n v="1"/>
  </r>
  <r>
    <x v="15"/>
    <x v="21"/>
    <x v="1039"/>
    <s v="USC"/>
    <n v="11"/>
    <n v="720"/>
    <n v="22214"/>
    <n v="12210"/>
    <n v="7536"/>
    <n v="1990"/>
    <n v="0.49399999999999999"/>
    <n v="0.35099999999999998"/>
    <n v="0.75600000000000001"/>
    <n v="58.5"/>
    <n v="0.126"/>
    <n v="2011"/>
    <n v="30.9"/>
    <n v="17"/>
    <n v="10.5"/>
    <n v="2.8"/>
    <x v="0"/>
    <x v="15"/>
    <n v="1"/>
  </r>
  <r>
    <x v="16"/>
    <x v="13"/>
    <x v="1040"/>
    <s v="Georgia Tech"/>
    <n v="10"/>
    <n v="461"/>
    <n v="11470"/>
    <n v="3320"/>
    <n v="1534"/>
    <n v="845"/>
    <n v="0.39100000000000001"/>
    <n v="0.33700000000000002"/>
    <n v="0.76400000000000001"/>
    <n v="12.9"/>
    <n v="5.3999999999999999E-2"/>
    <n v="2011"/>
    <n v="24.9"/>
    <n v="7.2"/>
    <n v="3.3"/>
    <n v="1.8"/>
    <x v="0"/>
    <x v="16"/>
    <n v="1"/>
  </r>
  <r>
    <x v="17"/>
    <x v="23"/>
    <x v="1041"/>
    <s v="Florida State"/>
    <n v="3"/>
    <n v="148"/>
    <n v="2605"/>
    <n v="612"/>
    <n v="472"/>
    <n v="92"/>
    <n v="0.376"/>
    <n v="0.31900000000000001"/>
    <n v="0.63300000000000001"/>
    <n v="2.2999999999999998"/>
    <n v="4.2000000000000003E-2"/>
    <n v="2011"/>
    <n v="17.600000000000001"/>
    <n v="4.0999999999999996"/>
    <n v="3.2"/>
    <n v="0.6"/>
    <x v="0"/>
    <x v="17"/>
    <n v="0"/>
  </r>
  <r>
    <x v="18"/>
    <x v="4"/>
    <x v="1042"/>
    <s v="Tennessee"/>
    <n v="11"/>
    <n v="729"/>
    <n v="22807"/>
    <n v="11970"/>
    <n v="4523"/>
    <n v="1655"/>
    <n v="0.47599999999999998"/>
    <n v="0.36599999999999999"/>
    <n v="0.82899999999999996"/>
    <n v="56.9"/>
    <n v="0.12"/>
    <n v="2011"/>
    <n v="31.3"/>
    <n v="16.399999999999999"/>
    <n v="6.2"/>
    <n v="2.2999999999999998"/>
    <x v="0"/>
    <x v="18"/>
    <n v="1"/>
  </r>
  <r>
    <x v="19"/>
    <x v="5"/>
    <x v="1043"/>
    <s v="NA"/>
    <n v="6"/>
    <n v="251"/>
    <n v="4566"/>
    <n v="1832"/>
    <n v="952"/>
    <n v="269"/>
    <n v="0.46899999999999997"/>
    <n v="0.3"/>
    <n v="0.59699999999999998"/>
    <n v="7.1"/>
    <n v="7.4999999999999997E-2"/>
    <n v="2011"/>
    <n v="18.2"/>
    <n v="7.3"/>
    <n v="3.8"/>
    <n v="1.1000000000000001"/>
    <x v="0"/>
    <x v="19"/>
    <n v="1"/>
  </r>
  <r>
    <x v="20"/>
    <x v="17"/>
    <x v="1044"/>
    <s v="Duke"/>
    <n v="2"/>
    <n v="84"/>
    <n v="829"/>
    <n v="277"/>
    <n v="83"/>
    <n v="97"/>
    <n v="0.371"/>
    <n v="0.26"/>
    <n v="0.71399999999999997"/>
    <n v="-0.8"/>
    <n v="-4.7E-2"/>
    <n v="2011"/>
    <n v="9.9"/>
    <n v="3.3"/>
    <n v="1"/>
    <n v="1.2"/>
    <x v="0"/>
    <x v="20"/>
    <n v="0"/>
  </r>
  <r>
    <x v="21"/>
    <x v="2"/>
    <x v="1045"/>
    <s v="Morehead State University"/>
    <n v="8"/>
    <n v="478"/>
    <n v="11728"/>
    <n v="5430"/>
    <n v="3884"/>
    <n v="470"/>
    <n v="0.54600000000000004"/>
    <n v="0.222"/>
    <n v="0.65400000000000003"/>
    <n v="38.799999999999997"/>
    <n v="0.159"/>
    <n v="2011"/>
    <n v="24.5"/>
    <n v="11.4"/>
    <n v="8.1"/>
    <n v="1"/>
    <x v="0"/>
    <x v="21"/>
    <n v="1"/>
  </r>
  <r>
    <x v="22"/>
    <x v="11"/>
    <x v="1046"/>
    <s v="NA"/>
    <n v="5"/>
    <n v="319"/>
    <n v="7718"/>
    <n v="3910"/>
    <n v="1894"/>
    <n v="407"/>
    <n v="0.42299999999999999"/>
    <n v="0.35899999999999999"/>
    <n v="0.80800000000000005"/>
    <n v="20.8"/>
    <n v="0.129"/>
    <n v="2011"/>
    <n v="24.2"/>
    <n v="12.3"/>
    <n v="5.9"/>
    <n v="1.3"/>
    <x v="0"/>
    <x v="22"/>
    <n v="0"/>
  </r>
  <r>
    <x v="23"/>
    <x v="1"/>
    <x v="1047"/>
    <s v="Boston College"/>
    <n v="11"/>
    <n v="685"/>
    <n v="17423"/>
    <n v="8864"/>
    <n v="2047"/>
    <n v="2920"/>
    <n v="0.42499999999999999"/>
    <n v="0.34499999999999997"/>
    <n v="0.85399999999999998"/>
    <n v="33.700000000000003"/>
    <n v="9.2999999999999999E-2"/>
    <n v="2011"/>
    <n v="25.4"/>
    <n v="12.9"/>
    <n v="3"/>
    <n v="4.3"/>
    <x v="0"/>
    <x v="23"/>
    <n v="1"/>
  </r>
  <r>
    <x v="24"/>
    <x v="14"/>
    <x v="1048"/>
    <s v="Providence"/>
    <n v="5"/>
    <n v="200"/>
    <n v="3456"/>
    <n v="1592"/>
    <n v="424"/>
    <n v="282"/>
    <n v="0.44700000000000001"/>
    <n v="0.34499999999999997"/>
    <n v="0.751"/>
    <n v="3.3"/>
    <n v="4.5999999999999999E-2"/>
    <n v="2011"/>
    <n v="17.3"/>
    <n v="8"/>
    <n v="2.1"/>
    <n v="1.4"/>
    <x v="0"/>
    <x v="24"/>
    <n v="0"/>
  </r>
  <r>
    <x v="25"/>
    <x v="26"/>
    <x v="1049"/>
    <s v="Texas"/>
    <n v="5"/>
    <n v="151"/>
    <n v="2100"/>
    <n v="890"/>
    <n v="429"/>
    <n v="127"/>
    <n v="0.40799999999999997"/>
    <n v="0.35699999999999998"/>
    <n v="0.67"/>
    <n v="3"/>
    <n v="6.9000000000000006E-2"/>
    <n v="2011"/>
    <n v="13.9"/>
    <n v="5.9"/>
    <n v="2.8"/>
    <n v="0.8"/>
    <x v="0"/>
    <x v="25"/>
    <n v="0"/>
  </r>
  <r>
    <x v="26"/>
    <x v="0"/>
    <x v="1050"/>
    <s v="Purdue"/>
    <n v="1"/>
    <n v="36"/>
    <n v="298"/>
    <n v="114"/>
    <n v="58"/>
    <n v="6"/>
    <n v="0.44600000000000001"/>
    <n v="0"/>
    <n v="0.66700000000000004"/>
    <n v="0.2"/>
    <n v="3.2000000000000001E-2"/>
    <n v="2011"/>
    <n v="8.3000000000000007"/>
    <n v="3.2"/>
    <n v="1.6"/>
    <n v="0.2"/>
    <x v="0"/>
    <x v="26"/>
    <n v="0"/>
  </r>
  <r>
    <x v="27"/>
    <x v="20"/>
    <x v="1051"/>
    <s v="Cleveland State University"/>
    <n v="6"/>
    <n v="360"/>
    <n v="8018"/>
    <n v="2506"/>
    <n v="702"/>
    <n v="981"/>
    <n v="0.40699999999999997"/>
    <n v="0.32400000000000001"/>
    <n v="0.74299999999999999"/>
    <n v="3"/>
    <n v="1.7999999999999999E-2"/>
    <n v="2011"/>
    <n v="22.3"/>
    <n v="7"/>
    <n v="2"/>
    <n v="2.7"/>
    <x v="0"/>
    <x v="27"/>
    <n v="1"/>
  </r>
  <r>
    <x v="28"/>
    <x v="16"/>
    <x v="1052"/>
    <s v="Texas"/>
    <n v="11"/>
    <n v="710"/>
    <n v="15708"/>
    <n v="5020"/>
    <n v="1828"/>
    <n v="2133"/>
    <n v="0.44400000000000001"/>
    <n v="0.34300000000000003"/>
    <n v="0.78100000000000003"/>
    <n v="27.9"/>
    <n v="8.5000000000000006E-2"/>
    <n v="2011"/>
    <n v="22.1"/>
    <n v="7.1"/>
    <n v="2.6"/>
    <n v="3"/>
    <x v="0"/>
    <x v="28"/>
    <n v="1"/>
  </r>
  <r>
    <x v="29"/>
    <x v="20"/>
    <x v="1053"/>
    <s v="Marquette"/>
    <n v="11"/>
    <n v="673"/>
    <n v="22306"/>
    <n v="11873"/>
    <n v="3579"/>
    <n v="2764"/>
    <n v="0.45900000000000002"/>
    <n v="0.32100000000000001"/>
    <n v="0.84199999999999997"/>
    <n v="91.5"/>
    <n v="0.19700000000000001"/>
    <n v="2011"/>
    <n v="33.1"/>
    <n v="17.600000000000001"/>
    <n v="5.3"/>
    <n v="4.0999999999999996"/>
    <x v="0"/>
    <x v="29"/>
    <n v="1"/>
  </r>
  <r>
    <x v="30"/>
    <x v="8"/>
    <x v="1054"/>
    <s v="NA"/>
    <n v="8"/>
    <n v="590"/>
    <n v="17122"/>
    <n v="8793"/>
    <n v="2133"/>
    <n v="921"/>
    <n v="0.45700000000000002"/>
    <n v="0.39200000000000002"/>
    <n v="0.86299999999999999"/>
    <n v="32"/>
    <n v="0.09"/>
    <n v="2011"/>
    <n v="29"/>
    <n v="14.9"/>
    <n v="3.6"/>
    <n v="1.6"/>
    <x v="1"/>
    <x v="0"/>
    <n v="1"/>
  </r>
  <r>
    <x v="31"/>
    <x v="25"/>
    <x v="1055"/>
    <s v="Richmond"/>
    <n v="3"/>
    <n v="22"/>
    <n v="150"/>
    <n v="45"/>
    <n v="18"/>
    <n v="4"/>
    <n v="0.34"/>
    <n v="0.27600000000000002"/>
    <n v="0.33300000000000002"/>
    <n v="-0.3"/>
    <n v="-9.2999999999999999E-2"/>
    <n v="2011"/>
    <n v="6.8"/>
    <n v="2"/>
    <n v="0.8"/>
    <n v="0.2"/>
    <x v="1"/>
    <x v="1"/>
    <n v="0"/>
  </r>
  <r>
    <x v="32"/>
    <x v="18"/>
    <x v="1056"/>
    <s v="Duke"/>
    <n v="6"/>
    <n v="356"/>
    <n v="7794"/>
    <n v="2326"/>
    <n v="1026"/>
    <n v="272"/>
    <n v="0.41799999999999998"/>
    <n v="0.36199999999999999"/>
    <n v="0.78600000000000003"/>
    <n v="10"/>
    <n v="6.2E-2"/>
    <n v="2011"/>
    <n v="21.9"/>
    <n v="6.5"/>
    <n v="2.9"/>
    <n v="0.8"/>
    <x v="1"/>
    <x v="2"/>
    <n v="1"/>
  </r>
  <r>
    <x v="33"/>
    <x v="23"/>
    <x v="1057"/>
    <s v="Butler"/>
    <n v="8"/>
    <n v="456"/>
    <n v="8392"/>
    <n v="2997"/>
    <n v="894"/>
    <n v="1421"/>
    <n v="0.42299999999999999"/>
    <n v="0.33"/>
    <n v="0.73099999999999998"/>
    <n v="10.3"/>
    <n v="5.8999999999999997E-2"/>
    <n v="2011"/>
    <n v="18.399999999999999"/>
    <n v="6.6"/>
    <n v="2"/>
    <n v="3.1"/>
    <x v="1"/>
    <x v="3"/>
    <n v="1"/>
  </r>
  <r>
    <x v="34"/>
    <x v="6"/>
    <x v="1058"/>
    <s v="UCLA"/>
    <n v="2"/>
    <n v="24"/>
    <n v="120"/>
    <n v="28"/>
    <n v="24"/>
    <n v="9"/>
    <n v="0.314"/>
    <n v="0.2"/>
    <n v="0.71399999999999997"/>
    <n v="-0.1"/>
    <n v="-4.9000000000000002E-2"/>
    <n v="2011"/>
    <n v="5"/>
    <n v="1.2"/>
    <n v="1"/>
    <n v="0.4"/>
    <x v="1"/>
    <x v="4"/>
    <n v="0"/>
  </r>
  <r>
    <x v="35"/>
    <x v="0"/>
    <x v="1059"/>
    <s v="Maryland"/>
    <n v="1"/>
    <n v="43"/>
    <n v="635"/>
    <n v="197"/>
    <n v="156"/>
    <n v="11"/>
    <n v="0.50700000000000001"/>
    <n v="0"/>
    <n v="0.65200000000000002"/>
    <n v="1.3"/>
    <n v="0.10100000000000001"/>
    <n v="2011"/>
    <n v="14.8"/>
    <n v="4.5999999999999996"/>
    <n v="3.6"/>
    <n v="0.3"/>
    <x v="1"/>
    <x v="5"/>
    <n v="0"/>
  </r>
  <r>
    <x v="36"/>
    <x v="7"/>
    <x v="1060"/>
    <s v="Georgia"/>
    <n v="1"/>
    <n v="24"/>
    <n v="119"/>
    <n v="57"/>
    <n v="24"/>
    <n v="3"/>
    <n v="0.39300000000000002"/>
    <n v="0.308"/>
    <n v="0.71399999999999997"/>
    <n v="0"/>
    <n v="4.0000000000000001E-3"/>
    <n v="2011"/>
    <n v="5"/>
    <n v="2.4"/>
    <n v="1"/>
    <n v="0.1"/>
    <x v="1"/>
    <x v="6"/>
    <n v="0"/>
  </r>
  <r>
    <x v="37"/>
    <x v="11"/>
    <x v="1061"/>
    <s v="Florida"/>
    <n v="9"/>
    <n v="440"/>
    <n v="13246"/>
    <n v="5571"/>
    <n v="1972"/>
    <n v="1201"/>
    <n v="0.46200000000000002"/>
    <n v="0.373"/>
    <n v="0.71299999999999997"/>
    <n v="28.9"/>
    <n v="0.105"/>
    <n v="2011"/>
    <n v="30.1"/>
    <n v="12.7"/>
    <n v="4.5"/>
    <n v="2.7"/>
    <x v="1"/>
    <x v="7"/>
    <n v="1"/>
  </r>
  <r>
    <x v="38"/>
    <x v="4"/>
    <x v="1062"/>
    <s v="NA"/>
    <n v="3"/>
    <n v="104"/>
    <n v="1034"/>
    <n v="373"/>
    <n v="269"/>
    <n v="25"/>
    <n v="0.45"/>
    <n v="0"/>
    <n v="0.55700000000000005"/>
    <n v="0.3"/>
    <n v="1.4E-2"/>
    <n v="2011"/>
    <n v="9.9"/>
    <n v="3.6"/>
    <n v="2.6"/>
    <n v="0.2"/>
    <x v="1"/>
    <x v="8"/>
    <n v="0"/>
  </r>
  <r>
    <x v="39"/>
    <x v="12"/>
    <x v="1063"/>
    <s v="Wisconsin"/>
    <n v="8"/>
    <n v="377"/>
    <n v="5945"/>
    <n v="2395"/>
    <n v="1426"/>
    <n v="301"/>
    <n v="0.48399999999999999"/>
    <n v="0.32800000000000001"/>
    <n v="0.76700000000000002"/>
    <n v="13.2"/>
    <n v="0.107"/>
    <n v="2011"/>
    <n v="15.8"/>
    <n v="6.4"/>
    <n v="3.8"/>
    <n v="0.8"/>
    <x v="1"/>
    <x v="9"/>
    <n v="1"/>
  </r>
  <r>
    <x v="40"/>
    <x v="19"/>
    <x v="1064"/>
    <s v="Michigan"/>
    <n v="4"/>
    <n v="132"/>
    <n v="1464"/>
    <n v="430"/>
    <n v="126"/>
    <n v="189"/>
    <n v="0.38400000000000001"/>
    <n v="0.32200000000000001"/>
    <n v="0.63"/>
    <n v="-0.3"/>
    <n v="-0.01"/>
    <n v="2011"/>
    <n v="11.1"/>
    <n v="3.3"/>
    <n v="1"/>
    <n v="1.4"/>
    <x v="1"/>
    <x v="10"/>
    <n v="0"/>
  </r>
  <r>
    <x v="41"/>
    <x v="24"/>
    <x v="1065"/>
    <s v="NA"/>
    <n v="6"/>
    <n v="367"/>
    <n v="7105"/>
    <n v="3063"/>
    <n v="994"/>
    <n v="379"/>
    <n v="0.42599999999999999"/>
    <n v="0.39900000000000002"/>
    <n v="0.86099999999999999"/>
    <n v="16.399999999999999"/>
    <n v="0.111"/>
    <n v="2011"/>
    <n v="19.399999999999999"/>
    <n v="8.3000000000000007"/>
    <n v="2.7"/>
    <n v="1"/>
    <x v="1"/>
    <x v="11"/>
    <n v="1"/>
  </r>
  <r>
    <x v="42"/>
    <x v="20"/>
    <x v="1066"/>
    <s v="UCLA"/>
    <n v="3"/>
    <n v="36"/>
    <n v="534"/>
    <n v="140"/>
    <n v="65"/>
    <n v="51"/>
    <n v="0.38200000000000001"/>
    <n v="0.29399999999999998"/>
    <n v="0.70299999999999996"/>
    <n v="0.4"/>
    <n v="0.04"/>
    <n v="2011"/>
    <n v="14.8"/>
    <n v="3.9"/>
    <n v="1.8"/>
    <n v="1.4"/>
    <x v="1"/>
    <x v="12"/>
    <n v="0"/>
  </r>
  <r>
    <x v="43"/>
    <x v="10"/>
    <x v="1067"/>
    <s v="Hofstra"/>
    <n v="2"/>
    <n v="110"/>
    <n v="1334"/>
    <n v="408"/>
    <n v="100"/>
    <n v="214"/>
    <n v="0.434"/>
    <n v="0.182"/>
    <n v="0.754"/>
    <n v="0.5"/>
    <n v="1.7000000000000001E-2"/>
    <n v="2011"/>
    <n v="12.1"/>
    <n v="3.7"/>
    <n v="0.9"/>
    <n v="1.9"/>
    <x v="1"/>
    <x v="13"/>
    <n v="0"/>
  </r>
  <r>
    <x v="44"/>
    <x v="29"/>
    <x v="1068"/>
    <s v="Kentucky"/>
    <n v="3"/>
    <n v="75"/>
    <n v="888"/>
    <n v="265"/>
    <n v="227"/>
    <n v="26"/>
    <n v="0.438"/>
    <n v="0.34699999999999998"/>
    <n v="0.629"/>
    <n v="2.1"/>
    <n v="0.11600000000000001"/>
    <n v="2011"/>
    <n v="11.8"/>
    <n v="3.5"/>
    <n v="3"/>
    <n v="0.3"/>
    <x v="1"/>
    <x v="14"/>
    <n v="0"/>
  </r>
  <r>
    <x v="45"/>
    <x v="19"/>
    <x v="1069"/>
    <s v="College of Charleston"/>
    <n v="3"/>
    <n v="49"/>
    <n v="475"/>
    <n v="197"/>
    <n v="34"/>
    <n v="24"/>
    <n v="0.39300000000000002"/>
    <n v="0.34499999999999997"/>
    <n v="0.875"/>
    <n v="0"/>
    <n v="3.0000000000000001E-3"/>
    <n v="2011"/>
    <n v="9.6999999999999993"/>
    <n v="4"/>
    <n v="0.7"/>
    <n v="0.5"/>
    <x v="1"/>
    <x v="15"/>
    <n v="0"/>
  </r>
  <r>
    <x v="46"/>
    <x v="7"/>
    <x v="1070"/>
    <s v="Georgia"/>
    <n v="1"/>
    <n v="10"/>
    <n v="45"/>
    <n v="14"/>
    <n v="9"/>
    <n v="5"/>
    <n v="0.35699999999999998"/>
    <n v="0"/>
    <n v="0.44400000000000001"/>
    <n v="0.1"/>
    <n v="0.06"/>
    <n v="2011"/>
    <n v="4.5"/>
    <n v="1.4"/>
    <n v="0.9"/>
    <n v="0.5"/>
    <x v="1"/>
    <x v="16"/>
    <n v="0"/>
  </r>
  <r>
    <x v="47"/>
    <x v="9"/>
    <x v="1071"/>
    <s v="Oakland"/>
    <n v="1"/>
    <n v="3"/>
    <n v="9"/>
    <n v="0"/>
    <n v="3"/>
    <n v="0"/>
    <n v="0"/>
    <n v="0"/>
    <n v="0"/>
    <n v="0"/>
    <n v="-5.0000000000000001E-3"/>
    <n v="2011"/>
    <n v="3"/>
    <n v="0"/>
    <n v="1"/>
    <n v="0"/>
    <x v="1"/>
    <x v="17"/>
    <n v="0"/>
  </r>
  <r>
    <x v="52"/>
    <x v="27"/>
    <x v="1072"/>
    <s v="Kansas"/>
    <n v="2"/>
    <n v="38"/>
    <n v="296"/>
    <n v="83"/>
    <n v="20"/>
    <n v="34"/>
    <n v="0.33"/>
    <n v="0.14299999999999999"/>
    <n v="0.72"/>
    <n v="-0.7"/>
    <n v="-0.113"/>
    <n v="2011"/>
    <n v="7.8"/>
    <n v="2.2000000000000002"/>
    <n v="0.5"/>
    <n v="0.9"/>
    <x v="1"/>
    <x v="18"/>
    <n v="0"/>
  </r>
  <r>
    <x v="48"/>
    <x v="21"/>
    <x v="1073"/>
    <s v="Temple"/>
    <n v="6"/>
    <n v="388"/>
    <n v="6905"/>
    <n v="1847"/>
    <n v="1843"/>
    <n v="384"/>
    <n v="0.47099999999999997"/>
    <n v="0.13300000000000001"/>
    <n v="0.68200000000000005"/>
    <n v="13.8"/>
    <n v="9.6000000000000002E-2"/>
    <n v="2011"/>
    <n v="17.8"/>
    <n v="4.8"/>
    <n v="4.8"/>
    <n v="1"/>
    <x v="1"/>
    <x v="19"/>
    <n v="1"/>
  </r>
  <r>
    <x v="50"/>
    <x v="18"/>
    <x v="1074"/>
    <s v="Florida"/>
    <n v="1"/>
    <n v="23"/>
    <n v="135"/>
    <n v="46"/>
    <n v="34"/>
    <n v="5"/>
    <n v="0.54300000000000004"/>
    <n v="0"/>
    <n v="0.57099999999999995"/>
    <n v="0.5"/>
    <n v="0.161"/>
    <n v="2011"/>
    <n v="5.9"/>
    <n v="2"/>
    <n v="1.5"/>
    <n v="0.2"/>
    <x v="1"/>
    <x v="21"/>
    <n v="0"/>
  </r>
  <r>
    <x v="57"/>
    <x v="3"/>
    <x v="1075"/>
    <s v="Kentucky"/>
    <n v="5"/>
    <n v="177"/>
    <n v="1907"/>
    <n v="346"/>
    <n v="252"/>
    <n v="122"/>
    <n v="0.40200000000000002"/>
    <n v="0.35199999999999998"/>
    <n v="0.54900000000000004"/>
    <n v="1.6"/>
    <n v="0.04"/>
    <n v="2011"/>
    <n v="10.8"/>
    <n v="2"/>
    <n v="1.4"/>
    <n v="0.7"/>
    <x v="1"/>
    <x v="22"/>
    <n v="0"/>
  </r>
  <r>
    <x v="53"/>
    <x v="14"/>
    <x v="1076"/>
    <s v="Purdue"/>
    <n v="10"/>
    <n v="598"/>
    <n v="12564"/>
    <n v="4743"/>
    <n v="1208"/>
    <n v="1055"/>
    <n v="0.45500000000000002"/>
    <n v="0.38800000000000001"/>
    <n v="0.74199999999999999"/>
    <n v="14.8"/>
    <n v="5.7000000000000002E-2"/>
    <n v="2011"/>
    <n v="21"/>
    <n v="7.9"/>
    <n v="2"/>
    <n v="1.8"/>
    <x v="1"/>
    <x v="24"/>
    <n v="1"/>
  </r>
  <r>
    <x v="58"/>
    <x v="6"/>
    <x v="1077"/>
    <s v="Washington"/>
    <n v="11"/>
    <n v="533"/>
    <n v="15344"/>
    <n v="9574"/>
    <n v="1300"/>
    <n v="2614"/>
    <n v="0.434"/>
    <n v="0.36199999999999999"/>
    <n v="0.872"/>
    <n v="45"/>
    <n v="0.14099999999999999"/>
    <n v="2011"/>
    <n v="28.8"/>
    <n v="18"/>
    <n v="2.4"/>
    <n v="4.9000000000000004"/>
    <x v="1"/>
    <x v="29"/>
    <n v="1"/>
  </r>
  <r>
    <x v="0"/>
    <x v="29"/>
    <x v="1078"/>
    <s v="Kentucky"/>
    <n v="10"/>
    <n v="601"/>
    <n v="20698"/>
    <n v="14318"/>
    <n v="6129"/>
    <n v="1399"/>
    <n v="0.51500000000000001"/>
    <n v="0.30299999999999999"/>
    <n v="0.79400000000000004"/>
    <n v="91.5"/>
    <n v="0.21199999999999999"/>
    <n v="2012"/>
    <n v="34.4"/>
    <n v="23.8"/>
    <n v="10.199999999999999"/>
    <n v="2.2999999999999998"/>
    <x v="0"/>
    <x v="0"/>
    <n v="1"/>
  </r>
  <r>
    <x v="1"/>
    <x v="4"/>
    <x v="1079"/>
    <s v="Kentucky"/>
    <n v="8"/>
    <n v="446"/>
    <n v="10978"/>
    <n v="3750"/>
    <n v="2420"/>
    <n v="515"/>
    <n v="0.47399999999999998"/>
    <n v="0.27200000000000002"/>
    <n v="0.71499999999999997"/>
    <n v="21"/>
    <n v="9.1999999999999998E-2"/>
    <n v="2012"/>
    <n v="24.6"/>
    <n v="8.4"/>
    <n v="5.4"/>
    <n v="1.2"/>
    <x v="0"/>
    <x v="1"/>
    <n v="1"/>
  </r>
  <r>
    <x v="2"/>
    <x v="23"/>
    <x v="1080"/>
    <s v="Florida"/>
    <n v="10"/>
    <n v="645"/>
    <n v="22418"/>
    <n v="14231"/>
    <n v="2641"/>
    <n v="2701"/>
    <n v="0.45600000000000002"/>
    <n v="0.372"/>
    <n v="0.82099999999999995"/>
    <n v="49.2"/>
    <n v="0.105"/>
    <n v="2012"/>
    <n v="34.799999999999997"/>
    <n v="22.1"/>
    <n v="4.0999999999999996"/>
    <n v="4.2"/>
    <x v="0"/>
    <x v="2"/>
    <n v="1"/>
  </r>
  <r>
    <x v="3"/>
    <x v="25"/>
    <x v="1081"/>
    <s v="Syracuse"/>
    <n v="8"/>
    <n v="419"/>
    <n v="11835"/>
    <n v="5505"/>
    <n v="1108"/>
    <n v="1163"/>
    <n v="0.41199999999999998"/>
    <n v="0.34599999999999997"/>
    <n v="0.69399999999999995"/>
    <n v="8.8000000000000007"/>
    <n v="3.5999999999999997E-2"/>
    <n v="2012"/>
    <n v="28.2"/>
    <n v="13.1"/>
    <n v="2.6"/>
    <n v="2.8"/>
    <x v="0"/>
    <x v="3"/>
    <n v="1"/>
  </r>
  <r>
    <x v="4"/>
    <x v="6"/>
    <x v="1082"/>
    <s v="Kansas"/>
    <n v="5"/>
    <n v="313"/>
    <n v="4204"/>
    <n v="1528"/>
    <n v="1507"/>
    <n v="190"/>
    <n v="0.47"/>
    <n v="0"/>
    <n v="0.505"/>
    <n v="4.5999999999999996"/>
    <n v="5.2999999999999999E-2"/>
    <n v="2012"/>
    <n v="13.4"/>
    <n v="4.9000000000000004"/>
    <n v="4.8"/>
    <n v="0.6"/>
    <x v="0"/>
    <x v="4"/>
    <n v="0"/>
  </r>
  <r>
    <x v="5"/>
    <x v="17"/>
    <x v="1083"/>
    <s v="Weber State"/>
    <n v="10"/>
    <n v="711"/>
    <n v="25835"/>
    <n v="17510"/>
    <n v="2976"/>
    <n v="4726"/>
    <n v="0.437"/>
    <n v="0.373"/>
    <n v="0.89300000000000002"/>
    <n v="94.5"/>
    <n v="0.17599999999999999"/>
    <n v="2012"/>
    <n v="36.299999999999997"/>
    <n v="24.6"/>
    <n v="4.2"/>
    <n v="6.6"/>
    <x v="0"/>
    <x v="5"/>
    <n v="1"/>
  </r>
  <r>
    <x v="6"/>
    <x v="10"/>
    <x v="1084"/>
    <s v="UNC"/>
    <n v="10"/>
    <n v="725"/>
    <n v="23028"/>
    <n v="10235"/>
    <n v="3720"/>
    <n v="1326"/>
    <n v="0.45300000000000001"/>
    <n v="0.38"/>
    <n v="0.80400000000000005"/>
    <n v="43.6"/>
    <n v="9.0999999999999998E-2"/>
    <n v="2012"/>
    <n v="31.8"/>
    <n v="14.1"/>
    <n v="5.0999999999999996"/>
    <n v="1.8"/>
    <x v="0"/>
    <x v="6"/>
    <n v="1"/>
  </r>
  <r>
    <x v="7"/>
    <x v="28"/>
    <x v="1085"/>
    <s v="Washington"/>
    <n v="10"/>
    <n v="658"/>
    <n v="16412"/>
    <n v="7436"/>
    <n v="1875"/>
    <n v="826"/>
    <n v="0.41799999999999998"/>
    <n v="0.36399999999999999"/>
    <n v="0.83899999999999997"/>
    <n v="23.5"/>
    <n v="6.9000000000000006E-2"/>
    <n v="2012"/>
    <n v="24.9"/>
    <n v="11.3"/>
    <n v="2.8"/>
    <n v="1.3"/>
    <x v="0"/>
    <x v="7"/>
    <n v="1"/>
  </r>
  <r>
    <x v="8"/>
    <x v="18"/>
    <x v="1086"/>
    <s v="UConn"/>
    <n v="10"/>
    <n v="697"/>
    <n v="20799"/>
    <n v="9684"/>
    <n v="9309"/>
    <n v="976"/>
    <n v="0.53800000000000003"/>
    <n v="0.13300000000000001"/>
    <n v="0.47099999999999997"/>
    <n v="65.7"/>
    <n v="0.152"/>
    <n v="2012"/>
    <n v="29.8"/>
    <n v="13.9"/>
    <n v="13.4"/>
    <n v="1.4"/>
    <x v="0"/>
    <x v="8"/>
    <n v="1"/>
  </r>
  <r>
    <x v="9"/>
    <x v="29"/>
    <x v="1087"/>
    <s v="Duke"/>
    <n v="10"/>
    <n v="632"/>
    <n v="15285"/>
    <n v="5604"/>
    <n v="1319"/>
    <n v="1398"/>
    <n v="0.41799999999999998"/>
    <n v="0.35"/>
    <n v="0.64700000000000002"/>
    <n v="13.3"/>
    <n v="4.2000000000000003E-2"/>
    <n v="2012"/>
    <n v="24.2"/>
    <n v="8.9"/>
    <n v="2.1"/>
    <n v="2.2000000000000002"/>
    <x v="0"/>
    <x v="9"/>
    <n v="1"/>
  </r>
  <r>
    <x v="10"/>
    <x v="17"/>
    <x v="1088"/>
    <s v="Illinois"/>
    <n v="9"/>
    <n v="447"/>
    <n v="7158"/>
    <n v="2502"/>
    <n v="1737"/>
    <n v="395"/>
    <n v="0.48199999999999998"/>
    <n v="0.39"/>
    <n v="0.80900000000000005"/>
    <n v="15.5"/>
    <n v="0.104"/>
    <n v="2012"/>
    <n v="16"/>
    <n v="5.6"/>
    <n v="3.9"/>
    <n v="0.9"/>
    <x v="0"/>
    <x v="10"/>
    <n v="1"/>
  </r>
  <r>
    <x v="11"/>
    <x v="11"/>
    <x v="1089"/>
    <s v="UConn"/>
    <n v="10"/>
    <n v="557"/>
    <n v="11605"/>
    <n v="5685"/>
    <n v="2019"/>
    <n v="879"/>
    <n v="0.44"/>
    <n v="0.34399999999999997"/>
    <n v="0.85699999999999998"/>
    <n v="26.7"/>
    <n v="0.11"/>
    <n v="2012"/>
    <n v="20.8"/>
    <n v="10.199999999999999"/>
    <n v="3.6"/>
    <n v="1.6"/>
    <x v="0"/>
    <x v="11"/>
    <n v="1"/>
  </r>
  <r>
    <x v="12"/>
    <x v="15"/>
    <x v="1090"/>
    <s v="UNC"/>
    <n v="4"/>
    <n v="160"/>
    <n v="3083"/>
    <n v="802"/>
    <n v="253"/>
    <n v="779"/>
    <n v="0.39900000000000002"/>
    <n v="0.37"/>
    <n v="0.61099999999999999"/>
    <n v="1"/>
    <n v="1.4999999999999999E-2"/>
    <n v="2012"/>
    <n v="19.3"/>
    <n v="5"/>
    <n v="1.6"/>
    <n v="4.9000000000000004"/>
    <x v="0"/>
    <x v="12"/>
    <n v="0"/>
  </r>
  <r>
    <x v="13"/>
    <x v="12"/>
    <x v="1091"/>
    <s v="UNC"/>
    <n v="8"/>
    <n v="445"/>
    <n v="8752"/>
    <n v="3383"/>
    <n v="2368"/>
    <n v="496"/>
    <n v="0.54"/>
    <n v="0.25"/>
    <n v="0.56799999999999995"/>
    <n v="20.7"/>
    <n v="0.113"/>
    <n v="2012"/>
    <n v="19.7"/>
    <n v="7.6"/>
    <n v="5.3"/>
    <n v="1.1000000000000001"/>
    <x v="0"/>
    <x v="13"/>
    <n v="1"/>
  </r>
  <r>
    <x v="14"/>
    <x v="21"/>
    <x v="1092"/>
    <s v="St. John's"/>
    <n v="10"/>
    <n v="615"/>
    <n v="13971"/>
    <n v="4250"/>
    <n v="2191"/>
    <n v="571"/>
    <n v="0.47399999999999998"/>
    <n v="0.32"/>
    <n v="0.624"/>
    <n v="22.9"/>
    <n v="7.9000000000000001E-2"/>
    <n v="2012"/>
    <n v="22.7"/>
    <n v="6.9"/>
    <n v="3.6"/>
    <n v="0.9"/>
    <x v="0"/>
    <x v="14"/>
    <n v="1"/>
  </r>
  <r>
    <x v="15"/>
    <x v="11"/>
    <x v="1093"/>
    <s v="Iowa State"/>
    <n v="1"/>
    <n v="3"/>
    <n v="9"/>
    <n v="0"/>
    <n v="0"/>
    <n v="0"/>
    <n v="0"/>
    <n v="0"/>
    <n v="0"/>
    <n v="0"/>
    <n v="-0.121"/>
    <n v="2012"/>
    <n v="3"/>
    <n v="0"/>
    <n v="0"/>
    <n v="0"/>
    <x v="0"/>
    <x v="15"/>
    <n v="0"/>
  </r>
  <r>
    <x v="16"/>
    <x v="26"/>
    <x v="1094"/>
    <s v="UNC"/>
    <n v="8"/>
    <n v="414"/>
    <n v="7254"/>
    <n v="2873"/>
    <n v="1820"/>
    <n v="367"/>
    <n v="0.50800000000000001"/>
    <n v="0.28599999999999998"/>
    <n v="0.76400000000000001"/>
    <n v="17.100000000000001"/>
    <n v="0.113"/>
    <n v="2012"/>
    <n v="17.5"/>
    <n v="6.9"/>
    <n v="4.4000000000000004"/>
    <n v="0.9"/>
    <x v="0"/>
    <x v="16"/>
    <n v="1"/>
  </r>
  <r>
    <x v="17"/>
    <x v="11"/>
    <x v="1095"/>
    <s v="Kentucky"/>
    <n v="6"/>
    <n v="234"/>
    <n v="5562"/>
    <n v="2431"/>
    <n v="1334"/>
    <n v="238"/>
    <n v="0.501"/>
    <n v="0.29699999999999999"/>
    <n v="0.621"/>
    <n v="14.7"/>
    <n v="0.127"/>
    <n v="2012"/>
    <n v="23.8"/>
    <n v="10.4"/>
    <n v="5.7"/>
    <n v="1"/>
    <x v="0"/>
    <x v="17"/>
    <n v="1"/>
  </r>
  <r>
    <x v="18"/>
    <x v="3"/>
    <x v="1096"/>
    <s v="St. Bonaventure"/>
    <n v="5"/>
    <n v="285"/>
    <n v="4080"/>
    <n v="1700"/>
    <n v="857"/>
    <n v="126"/>
    <n v="0.46700000000000003"/>
    <n v="0.32100000000000001"/>
    <n v="0.77300000000000002"/>
    <n v="3.8"/>
    <n v="4.4999999999999998E-2"/>
    <n v="2012"/>
    <n v="14.3"/>
    <n v="6"/>
    <n v="3"/>
    <n v="0.4"/>
    <x v="0"/>
    <x v="18"/>
    <n v="0"/>
  </r>
  <r>
    <x v="19"/>
    <x v="2"/>
    <x v="1097"/>
    <s v="NA"/>
    <n v="10"/>
    <n v="622"/>
    <n v="17798"/>
    <n v="8923"/>
    <n v="1729"/>
    <n v="1610"/>
    <n v="0.44700000000000001"/>
    <n v="0.38100000000000001"/>
    <n v="0.80100000000000005"/>
    <n v="29.4"/>
    <n v="7.9000000000000001E-2"/>
    <n v="2012"/>
    <n v="28.6"/>
    <n v="14.3"/>
    <n v="2.8"/>
    <n v="2.6"/>
    <x v="0"/>
    <x v="19"/>
    <n v="1"/>
  </r>
  <r>
    <x v="20"/>
    <x v="14"/>
    <x v="1098"/>
    <s v="Ohio State"/>
    <n v="5"/>
    <n v="269"/>
    <n v="6532"/>
    <n v="2893"/>
    <n v="2006"/>
    <n v="477"/>
    <n v="0.436"/>
    <n v="0.27200000000000002"/>
    <n v="0.72299999999999998"/>
    <n v="15.3"/>
    <n v="0.113"/>
    <n v="2012"/>
    <n v="24.3"/>
    <n v="10.8"/>
    <n v="7.5"/>
    <n v="1.8"/>
    <x v="0"/>
    <x v="20"/>
    <n v="0"/>
  </r>
  <r>
    <x v="21"/>
    <x v="14"/>
    <x v="1099"/>
    <s v="Syracuse"/>
    <n v="1"/>
    <n v="6"/>
    <n v="36"/>
    <n v="7"/>
    <n v="3"/>
    <n v="0"/>
    <n v="0.5"/>
    <n v="0"/>
    <n v="0.25"/>
    <n v="0"/>
    <n v="2.1000000000000001E-2"/>
    <n v="2012"/>
    <n v="6"/>
    <n v="1.2"/>
    <n v="0.5"/>
    <n v="0"/>
    <x v="0"/>
    <x v="21"/>
    <n v="0"/>
  </r>
  <r>
    <x v="22"/>
    <x v="9"/>
    <x v="1100"/>
    <s v="Vanderbilt"/>
    <n v="6"/>
    <n v="171"/>
    <n v="2183"/>
    <n v="855"/>
    <n v="250"/>
    <n v="138"/>
    <n v="0.441"/>
    <n v="0.36699999999999999"/>
    <n v="0.84699999999999998"/>
    <n v="3"/>
    <n v="6.5000000000000002E-2"/>
    <n v="2012"/>
    <n v="12.8"/>
    <n v="5"/>
    <n v="1.5"/>
    <n v="0.8"/>
    <x v="0"/>
    <x v="22"/>
    <n v="1"/>
  </r>
  <r>
    <x v="23"/>
    <x v="25"/>
    <x v="1101"/>
    <s v="Oregon State"/>
    <n v="4"/>
    <n v="84"/>
    <n v="605"/>
    <n v="197"/>
    <n v="56"/>
    <n v="39"/>
    <n v="0.34699999999999998"/>
    <n v="0.30599999999999999"/>
    <n v="0.67400000000000004"/>
    <n v="0.2"/>
    <n v="1.7000000000000001E-2"/>
    <n v="2012"/>
    <n v="7.2"/>
    <n v="2.2999999999999998"/>
    <n v="0.7"/>
    <n v="0.5"/>
    <x v="0"/>
    <x v="23"/>
    <n v="0"/>
  </r>
  <r>
    <x v="24"/>
    <x v="27"/>
    <x v="1102"/>
    <s v="Washington"/>
    <n v="4"/>
    <n v="145"/>
    <n v="3076"/>
    <n v="1604"/>
    <n v="363"/>
    <n v="437"/>
    <n v="0.41299999999999998"/>
    <n v="0.23100000000000001"/>
    <n v="0.64700000000000002"/>
    <n v="-1.3"/>
    <n v="-2.1000000000000001E-2"/>
    <n v="2012"/>
    <n v="21.2"/>
    <n v="11.1"/>
    <n v="2.5"/>
    <n v="3"/>
    <x v="0"/>
    <x v="24"/>
    <n v="0"/>
  </r>
  <r>
    <x v="25"/>
    <x v="24"/>
    <x v="1103"/>
    <s v="Duke"/>
    <n v="7"/>
    <n v="346"/>
    <n v="5658"/>
    <n v="1697"/>
    <n v="1562"/>
    <n v="178"/>
    <n v="0.54200000000000004"/>
    <n v="0"/>
    <n v="0.54300000000000004"/>
    <n v="10.6"/>
    <n v="0.09"/>
    <n v="2012"/>
    <n v="16.399999999999999"/>
    <n v="4.9000000000000004"/>
    <n v="4.5"/>
    <n v="0.5"/>
    <x v="0"/>
    <x v="25"/>
    <n v="1"/>
  </r>
  <r>
    <x v="26"/>
    <x v="8"/>
    <x v="1104"/>
    <s v="Mississippi State"/>
    <n v="2"/>
    <n v="59"/>
    <n v="729"/>
    <n v="210"/>
    <n v="180"/>
    <n v="12"/>
    <n v="0.54700000000000004"/>
    <n v="0"/>
    <n v="0.66700000000000004"/>
    <n v="1.7"/>
    <n v="0.113"/>
    <n v="2012"/>
    <n v="12.4"/>
    <n v="3.6"/>
    <n v="3.1"/>
    <n v="0.2"/>
    <x v="0"/>
    <x v="26"/>
    <n v="0"/>
  </r>
  <r>
    <x v="27"/>
    <x v="1"/>
    <x v="1105"/>
    <s v="Baylor"/>
    <n v="3"/>
    <n v="143"/>
    <n v="1675"/>
    <n v="488"/>
    <n v="252"/>
    <n v="54"/>
    <n v="0.42"/>
    <n v="0.29299999999999998"/>
    <n v="0.66"/>
    <n v="1.7"/>
    <n v="4.8000000000000001E-2"/>
    <n v="2012"/>
    <n v="11.7"/>
    <n v="3.4"/>
    <n v="1.8"/>
    <n v="0.4"/>
    <x v="0"/>
    <x v="27"/>
    <n v="0"/>
  </r>
  <r>
    <x v="28"/>
    <x v="20"/>
    <x v="1106"/>
    <s v="Kentucky"/>
    <n v="3"/>
    <n v="91"/>
    <n v="909"/>
    <n v="217"/>
    <n v="90"/>
    <n v="134"/>
    <n v="0.34300000000000003"/>
    <n v="0.222"/>
    <n v="0.66100000000000003"/>
    <n v="-0.9"/>
    <n v="-4.4999999999999998E-2"/>
    <n v="2012"/>
    <n v="10"/>
    <n v="2.4"/>
    <n v="1"/>
    <n v="1.5"/>
    <x v="0"/>
    <x v="28"/>
    <n v="0"/>
  </r>
  <r>
    <x v="29"/>
    <x v="10"/>
    <x v="1107"/>
    <s v="Vanderbilt"/>
    <n v="3"/>
    <n v="170"/>
    <n v="2394"/>
    <n v="712"/>
    <n v="725"/>
    <n v="63"/>
    <n v="0.51300000000000001"/>
    <n v="0"/>
    <n v="0.55700000000000005"/>
    <n v="5.9"/>
    <n v="0.11899999999999999"/>
    <n v="2012"/>
    <n v="14.1"/>
    <n v="4.2"/>
    <n v="4.3"/>
    <n v="0.4"/>
    <x v="0"/>
    <x v="29"/>
    <n v="0"/>
  </r>
  <r>
    <x v="30"/>
    <x v="4"/>
    <x v="1108"/>
    <s v="Vanderbilt"/>
    <n v="3"/>
    <n v="132"/>
    <n v="2566"/>
    <n v="807"/>
    <n v="263"/>
    <n v="107"/>
    <n v="0.40899999999999997"/>
    <n v="0.31900000000000001"/>
    <n v="0.66500000000000004"/>
    <n v="1.3"/>
    <n v="2.4E-2"/>
    <n v="2012"/>
    <n v="19.399999999999999"/>
    <n v="6.1"/>
    <n v="2"/>
    <n v="0.8"/>
    <x v="1"/>
    <x v="0"/>
    <n v="0"/>
  </r>
  <r>
    <x v="31"/>
    <x v="23"/>
    <x v="1109"/>
    <s v="NA"/>
    <n v="6"/>
    <n v="365"/>
    <n v="8192"/>
    <n v="2566"/>
    <n v="1055"/>
    <n v="1478"/>
    <n v="0.46700000000000003"/>
    <n v="0.35599999999999998"/>
    <n v="0.81899999999999995"/>
    <n v="16.8"/>
    <n v="9.8000000000000004E-2"/>
    <n v="2012"/>
    <n v="22.4"/>
    <n v="7"/>
    <n v="2.9"/>
    <n v="4"/>
    <x v="1"/>
    <x v="1"/>
    <n v="1"/>
  </r>
  <r>
    <x v="32"/>
    <x v="25"/>
    <x v="1110"/>
    <s v="Florida State"/>
    <n v="3"/>
    <n v="92"/>
    <n v="761"/>
    <n v="203"/>
    <n v="212"/>
    <n v="13"/>
    <n v="0.497"/>
    <n v="0"/>
    <n v="0.68"/>
    <n v="1.9"/>
    <n v="0.11700000000000001"/>
    <n v="2012"/>
    <n v="8.3000000000000007"/>
    <n v="2.2000000000000002"/>
    <n v="2.2999999999999998"/>
    <n v="0.1"/>
    <x v="1"/>
    <x v="2"/>
    <n v="0"/>
  </r>
  <r>
    <x v="33"/>
    <x v="25"/>
    <x v="1111"/>
    <s v="Marquette"/>
    <n v="10"/>
    <n v="716"/>
    <n v="18030"/>
    <n v="6849"/>
    <n v="3042"/>
    <n v="1131"/>
    <n v="0.41799999999999998"/>
    <n v="0.34499999999999997"/>
    <n v="0.77800000000000002"/>
    <n v="38.799999999999997"/>
    <n v="0.10299999999999999"/>
    <n v="2012"/>
    <n v="25.2"/>
    <n v="9.6"/>
    <n v="4.2"/>
    <n v="1.6"/>
    <x v="1"/>
    <x v="3"/>
    <n v="1"/>
  </r>
  <r>
    <x v="34"/>
    <x v="10"/>
    <x v="1112"/>
    <s v="Michigan State"/>
    <n v="10"/>
    <n v="673"/>
    <n v="19201"/>
    <n v="5882"/>
    <n v="4672"/>
    <n v="3663"/>
    <n v="0.44"/>
    <n v="0.315"/>
    <n v="0.71"/>
    <n v="52.1"/>
    <n v="0.13"/>
    <n v="2012"/>
    <n v="28.5"/>
    <n v="8.6999999999999993"/>
    <n v="6.9"/>
    <n v="5.4"/>
    <x v="1"/>
    <x v="4"/>
    <n v="1"/>
  </r>
  <r>
    <x v="35"/>
    <x v="6"/>
    <x v="1113"/>
    <s v="UC Santa Barbara"/>
    <n v="3"/>
    <n v="103"/>
    <n v="1112"/>
    <n v="329"/>
    <n v="180"/>
    <n v="69"/>
    <n v="0.35799999999999998"/>
    <n v="0.311"/>
    <n v="0.72699999999999998"/>
    <n v="1.4"/>
    <n v="5.8999999999999997E-2"/>
    <n v="2012"/>
    <n v="10.8"/>
    <n v="3.2"/>
    <n v="1.7"/>
    <n v="0.7"/>
    <x v="1"/>
    <x v="5"/>
    <n v="0"/>
  </r>
  <r>
    <x v="36"/>
    <x v="28"/>
    <x v="1114"/>
    <s v="Baylor"/>
    <n v="7"/>
    <n v="337"/>
    <n v="5392"/>
    <n v="1642"/>
    <n v="1179"/>
    <n v="217"/>
    <n v="0.44400000000000001"/>
    <n v="0.35"/>
    <n v="0.75900000000000001"/>
    <n v="8.6999999999999993"/>
    <n v="7.8E-2"/>
    <n v="2012"/>
    <n v="16"/>
    <n v="4.9000000000000004"/>
    <n v="3.5"/>
    <n v="0.6"/>
    <x v="1"/>
    <x v="6"/>
    <n v="1"/>
  </r>
  <r>
    <x v="37"/>
    <x v="2"/>
    <x v="1115"/>
    <s v="Baylor"/>
    <n v="3"/>
    <n v="69"/>
    <n v="934"/>
    <n v="295"/>
    <n v="169"/>
    <n v="37"/>
    <n v="0.35"/>
    <n v="0.29199999999999998"/>
    <n v="0.70599999999999996"/>
    <n v="-0.1"/>
    <n v="-3.0000000000000001E-3"/>
    <n v="2012"/>
    <n v="13.5"/>
    <n v="4.3"/>
    <n v="2.4"/>
    <n v="0.5"/>
    <x v="1"/>
    <x v="7"/>
    <n v="0"/>
  </r>
  <r>
    <x v="38"/>
    <x v="18"/>
    <x v="1116"/>
    <s v="Texas A&amp;M"/>
    <n v="10"/>
    <n v="633"/>
    <n v="20092"/>
    <n v="10743"/>
    <n v="3074"/>
    <n v="2356"/>
    <n v="0.45900000000000002"/>
    <n v="0.39100000000000001"/>
    <n v="0.88"/>
    <n v="49.1"/>
    <n v="0.11700000000000001"/>
    <n v="2012"/>
    <n v="31.7"/>
    <n v="17"/>
    <n v="4.9000000000000004"/>
    <n v="3.7"/>
    <x v="1"/>
    <x v="8"/>
    <n v="1"/>
  </r>
  <r>
    <x v="39"/>
    <x v="17"/>
    <x v="1117"/>
    <s v="Memphis"/>
    <n v="10"/>
    <n v="603"/>
    <n v="15495"/>
    <n v="6976"/>
    <n v="2568"/>
    <n v="1629"/>
    <n v="0.434"/>
    <n v="0.35399999999999998"/>
    <n v="0.78500000000000003"/>
    <n v="25.4"/>
    <n v="7.9000000000000001E-2"/>
    <n v="2012"/>
    <n v="25.7"/>
    <n v="11.6"/>
    <n v="4.3"/>
    <n v="2.7"/>
    <x v="1"/>
    <x v="9"/>
    <n v="1"/>
  </r>
  <r>
    <x v="40"/>
    <x v="17"/>
    <x v="1118"/>
    <s v="Kansas"/>
    <n v="2"/>
    <n v="61"/>
    <n v="491"/>
    <n v="174"/>
    <n v="33"/>
    <n v="57"/>
    <n v="0.35399999999999998"/>
    <n v="0.36"/>
    <n v="0.68400000000000005"/>
    <n v="-0.9"/>
    <n v="-8.7999999999999995E-2"/>
    <n v="2012"/>
    <n v="8"/>
    <n v="2.9"/>
    <n v="0.5"/>
    <n v="0.9"/>
    <x v="1"/>
    <x v="10"/>
    <n v="0"/>
  </r>
  <r>
    <x v="41"/>
    <x v="12"/>
    <x v="1119"/>
    <s v="Kentucky"/>
    <n v="2"/>
    <n v="100"/>
    <n v="1272"/>
    <n v="345"/>
    <n v="95"/>
    <n v="75"/>
    <n v="0.38100000000000001"/>
    <n v="0.39400000000000002"/>
    <n v="0.7"/>
    <n v="0.1"/>
    <n v="5.0000000000000001E-3"/>
    <n v="2012"/>
    <n v="12.7"/>
    <n v="3.5"/>
    <n v="1"/>
    <n v="0.8"/>
    <x v="1"/>
    <x v="11"/>
    <n v="0"/>
  </r>
  <r>
    <x v="42"/>
    <x v="9"/>
    <x v="1120"/>
    <s v="Virginia"/>
    <n v="9"/>
    <n v="555"/>
    <n v="9182"/>
    <n v="3736"/>
    <n v="1727"/>
    <n v="499"/>
    <n v="0.45300000000000001"/>
    <n v="0.36199999999999999"/>
    <n v="0.75700000000000001"/>
    <n v="16.8"/>
    <n v="8.7999999999999995E-2"/>
    <n v="2012"/>
    <n v="16.5"/>
    <n v="6.7"/>
    <n v="3.1"/>
    <n v="0.9"/>
    <x v="1"/>
    <x v="12"/>
    <n v="1"/>
  </r>
  <r>
    <x v="43"/>
    <x v="18"/>
    <x v="1121"/>
    <s v="Missouri"/>
    <n v="1"/>
    <n v="41"/>
    <n v="407"/>
    <n v="119"/>
    <n v="37"/>
    <n v="26"/>
    <n v="0.375"/>
    <n v="0.28000000000000003"/>
    <n v="0.72399999999999998"/>
    <n v="0.2"/>
    <n v="2.1000000000000001E-2"/>
    <n v="2012"/>
    <n v="9.9"/>
    <n v="2.9"/>
    <n v="0.9"/>
    <n v="0.6"/>
    <x v="1"/>
    <x v="13"/>
    <n v="0"/>
  </r>
  <r>
    <x v="44"/>
    <x v="21"/>
    <x v="1122"/>
    <s v="LSU"/>
    <n v="3"/>
    <n v="113"/>
    <n v="1961"/>
    <n v="687"/>
    <n v="403"/>
    <n v="91"/>
    <n v="0.46400000000000002"/>
    <n v="0.309"/>
    <n v="0.79800000000000004"/>
    <n v="3.7"/>
    <n v="9.0999999999999998E-2"/>
    <n v="2012"/>
    <n v="17.399999999999999"/>
    <n v="6.1"/>
    <n v="3.6"/>
    <n v="0.8"/>
    <x v="1"/>
    <x v="14"/>
    <n v="0"/>
  </r>
  <r>
    <x v="45"/>
    <x v="29"/>
    <x v="1123"/>
    <s v="Kentucky"/>
    <n v="6"/>
    <n v="271"/>
    <n v="5358"/>
    <n v="1597"/>
    <n v="447"/>
    <n v="367"/>
    <n v="0.41899999999999998"/>
    <n v="0.38300000000000001"/>
    <n v="0.84"/>
    <n v="6.5"/>
    <n v="5.8999999999999997E-2"/>
    <n v="2012"/>
    <n v="19.8"/>
    <n v="5.9"/>
    <n v="1.6"/>
    <n v="1.4"/>
    <x v="1"/>
    <x v="15"/>
    <n v="1"/>
  </r>
  <r>
    <x v="46"/>
    <x v="22"/>
    <x v="1124"/>
    <s v="Tennessee Technological University"/>
    <n v="1"/>
    <n v="17"/>
    <n v="52"/>
    <n v="15"/>
    <n v="4"/>
    <n v="2"/>
    <n v="0.25"/>
    <n v="0.2"/>
    <n v="0"/>
    <n v="-0.3"/>
    <n v="-0.27200000000000002"/>
    <n v="2012"/>
    <n v="3.1"/>
    <n v="0.9"/>
    <n v="0.2"/>
    <n v="0.1"/>
    <x v="1"/>
    <x v="16"/>
    <n v="0"/>
  </r>
  <r>
    <x v="47"/>
    <x v="13"/>
    <x v="1125"/>
    <s v="NA"/>
    <n v="2"/>
    <n v="69"/>
    <n v="1089"/>
    <n v="249"/>
    <n v="158"/>
    <n v="101"/>
    <n v="0.35399999999999998"/>
    <n v="0.29699999999999999"/>
    <n v="0.68799999999999994"/>
    <n v="0.3"/>
    <n v="1.4999999999999999E-2"/>
    <n v="2012"/>
    <n v="15.8"/>
    <n v="3.6"/>
    <n v="2.2999999999999998"/>
    <n v="1.5"/>
    <x v="1"/>
    <x v="17"/>
    <n v="0"/>
  </r>
  <r>
    <x v="52"/>
    <x v="3"/>
    <x v="1126"/>
    <s v="Norfolk State"/>
    <n v="8"/>
    <n v="472"/>
    <n v="6714"/>
    <n v="2568"/>
    <n v="2166"/>
    <n v="643"/>
    <n v="0.51700000000000002"/>
    <n v="0.218"/>
    <n v="0.74"/>
    <n v="17.8"/>
    <n v="0.128"/>
    <n v="2012"/>
    <n v="14.2"/>
    <n v="5.4"/>
    <n v="4.5999999999999996"/>
    <n v="1.4"/>
    <x v="1"/>
    <x v="18"/>
    <n v="1"/>
  </r>
  <r>
    <x v="49"/>
    <x v="14"/>
    <x v="1127"/>
    <s v="Syracuse"/>
    <n v="1"/>
    <n v="10"/>
    <n v="54"/>
    <n v="9"/>
    <n v="7"/>
    <n v="1"/>
    <n v="0.14299999999999999"/>
    <n v="0"/>
    <n v="0.625"/>
    <n v="-0.1"/>
    <n v="-0.127"/>
    <n v="2012"/>
    <n v="5.4"/>
    <n v="0.9"/>
    <n v="0.7"/>
    <n v="0.1"/>
    <x v="1"/>
    <x v="20"/>
    <n v="0"/>
  </r>
  <r>
    <x v="50"/>
    <x v="10"/>
    <x v="1128"/>
    <s v="NA"/>
    <n v="2"/>
    <n v="37"/>
    <n v="164"/>
    <n v="35"/>
    <n v="38"/>
    <n v="8"/>
    <n v="0.52"/>
    <n v="0"/>
    <n v="0.6"/>
    <n v="0.2"/>
    <n v="6.0999999999999999E-2"/>
    <n v="2012"/>
    <n v="4.4000000000000004"/>
    <n v="0.9"/>
    <n v="1"/>
    <n v="0.2"/>
    <x v="1"/>
    <x v="21"/>
    <n v="0"/>
  </r>
  <r>
    <x v="57"/>
    <x v="7"/>
    <x v="1129"/>
    <s v="NA"/>
    <n v="1"/>
    <n v="41"/>
    <n v="540"/>
    <n v="93"/>
    <n v="176"/>
    <n v="28"/>
    <n v="0.51300000000000001"/>
    <n v="0"/>
    <n v="0.48099999999999998"/>
    <n v="1.4"/>
    <n v="0.122"/>
    <n v="2012"/>
    <n v="13.2"/>
    <n v="2.2999999999999998"/>
    <n v="4.3"/>
    <n v="0.7"/>
    <x v="1"/>
    <x v="22"/>
    <n v="0"/>
  </r>
  <r>
    <x v="51"/>
    <x v="21"/>
    <x v="1130"/>
    <s v="NA"/>
    <n v="2"/>
    <n v="45"/>
    <n v="247"/>
    <n v="59"/>
    <n v="39"/>
    <n v="17"/>
    <n v="0.45100000000000001"/>
    <n v="0.125"/>
    <n v="0.5"/>
    <n v="-0.2"/>
    <n v="-3.2000000000000001E-2"/>
    <n v="2012"/>
    <n v="5.5"/>
    <n v="1.3"/>
    <n v="0.9"/>
    <n v="0.4"/>
    <x v="1"/>
    <x v="23"/>
    <n v="0"/>
  </r>
  <r>
    <x v="53"/>
    <x v="26"/>
    <x v="1131"/>
    <s v="Marquette"/>
    <n v="2"/>
    <n v="7"/>
    <n v="21"/>
    <n v="0"/>
    <n v="6"/>
    <n v="2"/>
    <n v="0"/>
    <n v="0"/>
    <n v="0"/>
    <n v="-0.3"/>
    <n v="-0.59699999999999998"/>
    <n v="2012"/>
    <n v="3"/>
    <n v="0"/>
    <n v="0.9"/>
    <n v="0.3"/>
    <x v="1"/>
    <x v="24"/>
    <n v="0"/>
  </r>
  <r>
    <x v="56"/>
    <x v="5"/>
    <x v="1132"/>
    <s v="Purdue"/>
    <n v="2"/>
    <n v="98"/>
    <n v="1397"/>
    <n v="379"/>
    <n v="266"/>
    <n v="50"/>
    <n v="0.41799999999999998"/>
    <n v="0.34300000000000003"/>
    <n v="0.86699999999999999"/>
    <n v="1.9"/>
    <n v="6.6000000000000003E-2"/>
    <n v="2012"/>
    <n v="14.3"/>
    <n v="3.9"/>
    <n v="2.7"/>
    <n v="0.5"/>
    <x v="1"/>
    <x v="27"/>
    <n v="0"/>
  </r>
  <r>
    <x v="58"/>
    <x v="19"/>
    <x v="1133"/>
    <s v="Gonzaga"/>
    <n v="4"/>
    <n v="189"/>
    <n v="2745"/>
    <n v="787"/>
    <n v="593"/>
    <n v="126"/>
    <n v="0.436"/>
    <n v="0"/>
    <n v="0.67100000000000004"/>
    <n v="2.4"/>
    <n v="4.2000000000000003E-2"/>
    <n v="2012"/>
    <n v="14.5"/>
    <n v="4.2"/>
    <n v="3.1"/>
    <n v="0.7"/>
    <x v="1"/>
    <x v="29"/>
    <n v="0"/>
  </r>
  <r>
    <x v="0"/>
    <x v="25"/>
    <x v="1134"/>
    <s v="UNLV"/>
    <n v="4"/>
    <n v="151"/>
    <n v="1905"/>
    <n v="658"/>
    <n v="472"/>
    <n v="77"/>
    <n v="0.39200000000000002"/>
    <n v="0.26100000000000001"/>
    <n v="0.67"/>
    <n v="0.5"/>
    <n v="1.2999999999999999E-2"/>
    <n v="2013"/>
    <n v="12.6"/>
    <n v="4.4000000000000004"/>
    <n v="3.1"/>
    <n v="0.5"/>
    <x v="0"/>
    <x v="0"/>
    <n v="0"/>
  </r>
  <r>
    <x v="1"/>
    <x v="3"/>
    <x v="1135"/>
    <s v="Indiana"/>
    <n v="8"/>
    <n v="454"/>
    <n v="14968"/>
    <n v="7955"/>
    <n v="2094"/>
    <n v="1796"/>
    <n v="0.438"/>
    <n v="0.34699999999999998"/>
    <n v="0.79100000000000004"/>
    <n v="24.6"/>
    <n v="7.9000000000000001E-2"/>
    <n v="2013"/>
    <n v="33"/>
    <n v="17.5"/>
    <n v="4.5999999999999996"/>
    <n v="4"/>
    <x v="0"/>
    <x v="1"/>
    <n v="1"/>
  </r>
  <r>
    <x v="2"/>
    <x v="23"/>
    <x v="1136"/>
    <s v="Georgetown"/>
    <n v="9"/>
    <n v="489"/>
    <n v="12718"/>
    <n v="5223"/>
    <n v="2440"/>
    <n v="746"/>
    <n v="0.47799999999999998"/>
    <n v="0.40100000000000002"/>
    <n v="0.79100000000000004"/>
    <n v="35.1"/>
    <n v="0.13300000000000001"/>
    <n v="2013"/>
    <n v="26"/>
    <n v="10.7"/>
    <n v="5"/>
    <n v="1.5"/>
    <x v="0"/>
    <x v="2"/>
    <n v="1"/>
  </r>
  <r>
    <x v="3"/>
    <x v="4"/>
    <x v="1137"/>
    <s v="Indiana"/>
    <n v="9"/>
    <n v="494"/>
    <n v="10973"/>
    <n v="4202"/>
    <n v="2949"/>
    <n v="691"/>
    <n v="0.52"/>
    <n v="0.221"/>
    <n v="0.73099999999999998"/>
    <n v="32.200000000000003"/>
    <n v="0.14099999999999999"/>
    <n v="2013"/>
    <n v="22.2"/>
    <n v="8.5"/>
    <n v="6"/>
    <n v="1.4"/>
    <x v="0"/>
    <x v="3"/>
    <n v="1"/>
  </r>
  <r>
    <x v="4"/>
    <x v="15"/>
    <x v="1138"/>
    <s v="Maryland"/>
    <n v="9"/>
    <n v="564"/>
    <n v="10706"/>
    <n v="4342"/>
    <n v="3333"/>
    <n v="485"/>
    <n v="0.50700000000000001"/>
    <n v="0.33100000000000002"/>
    <n v="0.68300000000000005"/>
    <n v="21.5"/>
    <n v="9.7000000000000003E-2"/>
    <n v="2013"/>
    <n v="19"/>
    <n v="7.7"/>
    <n v="5.9"/>
    <n v="0.9"/>
    <x v="0"/>
    <x v="4"/>
    <n v="1"/>
  </r>
  <r>
    <x v="5"/>
    <x v="29"/>
    <x v="1139"/>
    <s v="Kentucky"/>
    <n v="8"/>
    <n v="450"/>
    <n v="10086"/>
    <n v="3303"/>
    <n v="2789"/>
    <n v="491"/>
    <n v="0.54900000000000004"/>
    <n v="0.154"/>
    <n v="0.65500000000000003"/>
    <n v="28.2"/>
    <n v="0.13400000000000001"/>
    <n v="2013"/>
    <n v="22.4"/>
    <n v="7.3"/>
    <n v="6.2"/>
    <n v="1.1000000000000001"/>
    <x v="0"/>
    <x v="5"/>
    <n v="1"/>
  </r>
  <r>
    <x v="6"/>
    <x v="6"/>
    <x v="1140"/>
    <s v="Kansas"/>
    <n v="9"/>
    <n v="534"/>
    <n v="12037"/>
    <n v="4743"/>
    <n v="1232"/>
    <n v="540"/>
    <n v="0.41399999999999998"/>
    <n v="0.36399999999999999"/>
    <n v="0.77600000000000002"/>
    <n v="9"/>
    <n v="3.5999999999999997E-2"/>
    <n v="2013"/>
    <n v="22.5"/>
    <n v="8.9"/>
    <n v="2.2999999999999998"/>
    <n v="1"/>
    <x v="0"/>
    <x v="6"/>
    <n v="1"/>
  </r>
  <r>
    <x v="7"/>
    <x v="18"/>
    <x v="1141"/>
    <s v="Georgia"/>
    <n v="9"/>
    <n v="661"/>
    <n v="19263"/>
    <n v="7530"/>
    <n v="2076"/>
    <n v="1098"/>
    <n v="0.41799999999999998"/>
    <n v="0.35799999999999998"/>
    <n v="0.80900000000000005"/>
    <n v="33.299999999999997"/>
    <n v="8.3000000000000004E-2"/>
    <n v="2013"/>
    <n v="29.1"/>
    <n v="11.4"/>
    <n v="3.1"/>
    <n v="1.7"/>
    <x v="0"/>
    <x v="7"/>
    <n v="1"/>
  </r>
  <r>
    <x v="8"/>
    <x v="5"/>
    <x v="1142"/>
    <s v="Michigan"/>
    <n v="9"/>
    <n v="488"/>
    <n v="10306"/>
    <n v="4759"/>
    <n v="873"/>
    <n v="1511"/>
    <n v="0.41199999999999998"/>
    <n v="0.34499999999999997"/>
    <n v="0.81200000000000006"/>
    <n v="13.2"/>
    <n v="6.2E-2"/>
    <n v="2013"/>
    <n v="21.1"/>
    <n v="9.8000000000000007"/>
    <n v="1.8"/>
    <n v="3.1"/>
    <x v="0"/>
    <x v="8"/>
    <n v="1"/>
  </r>
  <r>
    <x v="9"/>
    <x v="17"/>
    <x v="1143"/>
    <s v="Lehigh"/>
    <n v="9"/>
    <n v="569"/>
    <n v="17929"/>
    <n v="10852"/>
    <n v="1955"/>
    <n v="1919"/>
    <n v="0.45400000000000001"/>
    <n v="0.39700000000000002"/>
    <n v="0.81899999999999995"/>
    <n v="38.9"/>
    <n v="0.104"/>
    <n v="2013"/>
    <n v="31.5"/>
    <n v="19.100000000000001"/>
    <n v="3.4"/>
    <n v="3.4"/>
    <x v="0"/>
    <x v="9"/>
    <n v="1"/>
  </r>
  <r>
    <x v="10"/>
    <x v="21"/>
    <x v="1144"/>
    <s v="Syracuse"/>
    <n v="8"/>
    <n v="391"/>
    <n v="9898"/>
    <n v="4023"/>
    <n v="1713"/>
    <n v="1701"/>
    <n v="0.40200000000000002"/>
    <n v="0.255"/>
    <n v="0.70599999999999996"/>
    <n v="6.6"/>
    <n v="3.2000000000000001E-2"/>
    <n v="2013"/>
    <n v="25.3"/>
    <n v="10.3"/>
    <n v="4.4000000000000004"/>
    <n v="4.4000000000000004"/>
    <x v="0"/>
    <x v="10"/>
    <n v="1"/>
  </r>
  <r>
    <x v="11"/>
    <x v="1"/>
    <x v="1145"/>
    <s v="Pitt"/>
    <n v="9"/>
    <n v="644"/>
    <n v="17276"/>
    <n v="6022"/>
    <n v="5080"/>
    <n v="906"/>
    <n v="0.58799999999999997"/>
    <n v="7.6999999999999999E-2"/>
    <n v="0.54900000000000004"/>
    <n v="53.9"/>
    <n v="0.15"/>
    <n v="2013"/>
    <n v="26.8"/>
    <n v="9.4"/>
    <n v="7.9"/>
    <n v="1.4"/>
    <x v="0"/>
    <x v="11"/>
    <n v="1"/>
  </r>
  <r>
    <x v="12"/>
    <x v="26"/>
    <x v="1146"/>
    <s v="Gonzaga"/>
    <n v="9"/>
    <n v="591"/>
    <n v="13063"/>
    <n v="5984"/>
    <n v="3012"/>
    <n v="1195"/>
    <n v="0.47499999999999998"/>
    <n v="0.36399999999999999"/>
    <n v="0.77900000000000003"/>
    <n v="34"/>
    <n v="0.125"/>
    <n v="2013"/>
    <n v="22.1"/>
    <n v="10.1"/>
    <n v="5.0999999999999996"/>
    <n v="2"/>
    <x v="0"/>
    <x v="12"/>
    <n v="1"/>
  </r>
  <r>
    <x v="13"/>
    <x v="22"/>
    <x v="1147"/>
    <s v="UCLA"/>
    <n v="5"/>
    <n v="278"/>
    <n v="4772"/>
    <n v="2504"/>
    <n v="770"/>
    <n v="151"/>
    <n v="0.47299999999999998"/>
    <n v="0.31900000000000001"/>
    <n v="0.751"/>
    <n v="8.5"/>
    <n v="8.5000000000000006E-2"/>
    <n v="2013"/>
    <n v="17.2"/>
    <n v="9"/>
    <n v="2.8"/>
    <n v="0.5"/>
    <x v="0"/>
    <x v="13"/>
    <n v="0"/>
  </r>
  <r>
    <x v="14"/>
    <x v="12"/>
    <x v="1148"/>
    <s v="NA"/>
    <n v="9"/>
    <n v="638"/>
    <n v="20754"/>
    <n v="13762"/>
    <n v="5922"/>
    <n v="2928"/>
    <n v="0.53300000000000003"/>
    <n v="0.28999999999999998"/>
    <n v="0.71799999999999997"/>
    <n v="84.4"/>
    <n v="0.19500000000000001"/>
    <n v="2013"/>
    <n v="32.5"/>
    <n v="21.6"/>
    <n v="9.3000000000000007"/>
    <n v="4.5999999999999996"/>
    <x v="0"/>
    <x v="14"/>
    <n v="1"/>
  </r>
  <r>
    <x v="15"/>
    <x v="14"/>
    <x v="1149"/>
    <s v="NA"/>
    <n v="4"/>
    <n v="141"/>
    <n v="1754"/>
    <n v="446"/>
    <n v="388"/>
    <n v="72"/>
    <n v="0.63200000000000001"/>
    <n v="0.26500000000000001"/>
    <n v="0.64"/>
    <n v="6"/>
    <n v="0.16500000000000001"/>
    <n v="2013"/>
    <n v="12.4"/>
    <n v="3.2"/>
    <n v="2.8"/>
    <n v="0.5"/>
    <x v="0"/>
    <x v="15"/>
    <n v="0"/>
  </r>
  <r>
    <x v="16"/>
    <x v="9"/>
    <x v="1150"/>
    <s v="NA"/>
    <n v="9"/>
    <n v="609"/>
    <n v="16130"/>
    <n v="8679"/>
    <n v="1791"/>
    <n v="2842"/>
    <n v="0.436"/>
    <n v="0.33700000000000002"/>
    <n v="0.83199999999999996"/>
    <n v="23.4"/>
    <n v="7.0000000000000007E-2"/>
    <n v="2013"/>
    <n v="26.5"/>
    <n v="14.3"/>
    <n v="2.9"/>
    <n v="4.7"/>
    <x v="0"/>
    <x v="16"/>
    <n v="1"/>
  </r>
  <r>
    <x v="17"/>
    <x v="9"/>
    <x v="1151"/>
    <s v="Miami (FL)"/>
    <n v="4"/>
    <n v="256"/>
    <n v="4880"/>
    <n v="1399"/>
    <n v="490"/>
    <n v="737"/>
    <n v="0.42199999999999999"/>
    <n v="0.33600000000000002"/>
    <n v="0.77700000000000002"/>
    <n v="4.4000000000000004"/>
    <n v="4.3999999999999997E-2"/>
    <n v="2013"/>
    <n v="19.100000000000001"/>
    <n v="5.5"/>
    <n v="1.9"/>
    <n v="2.9"/>
    <x v="0"/>
    <x v="17"/>
    <n v="0"/>
  </r>
  <r>
    <x v="18"/>
    <x v="25"/>
    <x v="1152"/>
    <s v="NA"/>
    <n v="3"/>
    <n v="95"/>
    <n v="1110"/>
    <n v="287"/>
    <n v="140"/>
    <n v="87"/>
    <n v="0.39500000000000002"/>
    <n v="0.28199999999999997"/>
    <n v="0.84199999999999997"/>
    <n v="0.8"/>
    <n v="3.5999999999999997E-2"/>
    <n v="2013"/>
    <n v="11.7"/>
    <n v="3"/>
    <n v="1.5"/>
    <n v="0.9"/>
    <x v="0"/>
    <x v="18"/>
    <n v="0"/>
  </r>
  <r>
    <x v="19"/>
    <x v="20"/>
    <x v="1153"/>
    <s v="New Mexico"/>
    <n v="9"/>
    <n v="589"/>
    <n v="12870"/>
    <n v="3608"/>
    <n v="1346"/>
    <n v="663"/>
    <n v="0.43099999999999999"/>
    <n v="0.39400000000000002"/>
    <n v="0.84499999999999997"/>
    <n v="18.399999999999999"/>
    <n v="6.9000000000000006E-2"/>
    <n v="2013"/>
    <n v="21.9"/>
    <n v="6.1"/>
    <n v="2.2999999999999998"/>
    <n v="1.1000000000000001"/>
    <x v="0"/>
    <x v="19"/>
    <n v="1"/>
  </r>
  <r>
    <x v="20"/>
    <x v="22"/>
    <x v="1154"/>
    <s v="Louisville"/>
    <n v="9"/>
    <n v="590"/>
    <n v="12228"/>
    <n v="4448"/>
    <n v="3418"/>
    <n v="779"/>
    <n v="0.5"/>
    <n v="0.36499999999999999"/>
    <n v="0.79100000000000004"/>
    <n v="30.5"/>
    <n v="0.12"/>
    <n v="2013"/>
    <n v="20.7"/>
    <n v="7.5"/>
    <n v="5.8"/>
    <n v="1.3"/>
    <x v="0"/>
    <x v="20"/>
    <n v="1"/>
  </r>
  <r>
    <x v="21"/>
    <x v="0"/>
    <x v="1155"/>
    <s v="Duke"/>
    <n v="9"/>
    <n v="639"/>
    <n v="14274"/>
    <n v="5349"/>
    <n v="4222"/>
    <n v="1542"/>
    <n v="0.58199999999999996"/>
    <n v="4.9000000000000002E-2"/>
    <n v="0.56100000000000005"/>
    <n v="42.8"/>
    <n v="0.14399999999999999"/>
    <n v="2013"/>
    <n v="22.3"/>
    <n v="8.4"/>
    <n v="6.6"/>
    <n v="2.4"/>
    <x v="0"/>
    <x v="21"/>
    <n v="1"/>
  </r>
  <r>
    <x v="22"/>
    <x v="24"/>
    <x v="1156"/>
    <s v="Arizona"/>
    <n v="9"/>
    <n v="448"/>
    <n v="9652"/>
    <n v="2453"/>
    <n v="1399"/>
    <n v="662"/>
    <n v="0.38800000000000001"/>
    <n v="0.33100000000000002"/>
    <n v="0.79700000000000004"/>
    <n v="11.9"/>
    <n v="5.8999999999999997E-2"/>
    <n v="2013"/>
    <n v="21.5"/>
    <n v="5.5"/>
    <n v="3.1"/>
    <n v="1.5"/>
    <x v="0"/>
    <x v="22"/>
    <n v="1"/>
  </r>
  <r>
    <x v="23"/>
    <x v="13"/>
    <x v="1157"/>
    <s v="Michigan"/>
    <n v="9"/>
    <n v="586"/>
    <n v="15837"/>
    <n v="8149"/>
    <n v="1650"/>
    <n v="1095"/>
    <n v="0.42199999999999999"/>
    <n v="0.35799999999999998"/>
    <n v="0.81200000000000006"/>
    <n v="26"/>
    <n v="7.9000000000000001E-2"/>
    <n v="2013"/>
    <n v="27"/>
    <n v="13.9"/>
    <n v="2.8"/>
    <n v="1.9"/>
    <x v="0"/>
    <x v="23"/>
    <n v="1"/>
  </r>
  <r>
    <x v="24"/>
    <x v="7"/>
    <x v="1158"/>
    <s v="UNC"/>
    <n v="9"/>
    <n v="415"/>
    <n v="9115"/>
    <n v="3200"/>
    <n v="1021"/>
    <n v="492"/>
    <n v="0.43099999999999999"/>
    <n v="0.38800000000000001"/>
    <n v="0.84599999999999997"/>
    <n v="17.3"/>
    <n v="9.0999999999999998E-2"/>
    <n v="2013"/>
    <n v="22"/>
    <n v="7.7"/>
    <n v="2.5"/>
    <n v="1.2"/>
    <x v="0"/>
    <x v="24"/>
    <n v="1"/>
  </r>
  <r>
    <x v="25"/>
    <x v="5"/>
    <x v="1159"/>
    <s v="Colorado"/>
    <n v="7"/>
    <n v="307"/>
    <n v="6801"/>
    <n v="1382"/>
    <n v="1230"/>
    <n v="265"/>
    <n v="0.47299999999999998"/>
    <n v="0.253"/>
    <n v="0.46800000000000003"/>
    <n v="12.6"/>
    <n v="8.8999999999999996E-2"/>
    <n v="2013"/>
    <n v="22.2"/>
    <n v="4.5"/>
    <n v="4"/>
    <n v="0.9"/>
    <x v="0"/>
    <x v="25"/>
    <n v="1"/>
  </r>
  <r>
    <x v="26"/>
    <x v="2"/>
    <x v="1160"/>
    <s v="NA"/>
    <n v="9"/>
    <n v="589"/>
    <n v="17595"/>
    <n v="7254"/>
    <n v="6802"/>
    <n v="786"/>
    <n v="0.65100000000000002"/>
    <n v="0"/>
    <n v="0.63500000000000001"/>
    <n v="82.9"/>
    <n v="0.22600000000000001"/>
    <n v="2013"/>
    <n v="29.9"/>
    <n v="12.3"/>
    <n v="11.5"/>
    <n v="1.3"/>
    <x v="0"/>
    <x v="26"/>
    <n v="1"/>
  </r>
  <r>
    <x v="28"/>
    <x v="1"/>
    <x v="1161"/>
    <s v="Kentucky"/>
    <n v="4"/>
    <n v="165"/>
    <n v="2396"/>
    <n v="1040"/>
    <n v="331"/>
    <n v="206"/>
    <n v="0.42899999999999999"/>
    <n v="0.23599999999999999"/>
    <n v="0.7"/>
    <n v="1.1000000000000001"/>
    <n v="2.1999999999999999E-2"/>
    <n v="2013"/>
    <n v="14.5"/>
    <n v="6.3"/>
    <n v="2"/>
    <n v="1.2"/>
    <x v="0"/>
    <x v="28"/>
    <n v="0"/>
  </r>
  <r>
    <x v="29"/>
    <x v="15"/>
    <x v="1162"/>
    <s v="NA"/>
    <n v="1"/>
    <n v="24"/>
    <n v="142"/>
    <n v="26"/>
    <n v="15"/>
    <n v="13"/>
    <n v="0.20499999999999999"/>
    <n v="0.16700000000000001"/>
    <n v="0.875"/>
    <n v="-0.4"/>
    <n v="-0.13200000000000001"/>
    <n v="2013"/>
    <n v="5.9"/>
    <n v="1.1000000000000001"/>
    <n v="0.6"/>
    <n v="0.5"/>
    <x v="0"/>
    <x v="29"/>
    <n v="0"/>
  </r>
  <r>
    <x v="30"/>
    <x v="25"/>
    <x v="1163"/>
    <s v="California"/>
    <n v="7"/>
    <n v="381"/>
    <n v="9125"/>
    <n v="3453"/>
    <n v="1073"/>
    <n v="434"/>
    <n v="0.42499999999999999"/>
    <n v="0.38700000000000001"/>
    <n v="0.83099999999999996"/>
    <n v="13.7"/>
    <n v="7.1999999999999995E-2"/>
    <n v="2013"/>
    <n v="24"/>
    <n v="9.1"/>
    <n v="2.8"/>
    <n v="1.1000000000000001"/>
    <x v="1"/>
    <x v="0"/>
    <n v="1"/>
  </r>
  <r>
    <x v="31"/>
    <x v="1"/>
    <x v="1164"/>
    <s v="NA"/>
    <n v="3"/>
    <n v="174"/>
    <n v="2777"/>
    <n v="924"/>
    <n v="248"/>
    <n v="88"/>
    <n v="0.38700000000000001"/>
    <n v="0.36799999999999999"/>
    <n v="0.88"/>
    <n v="5"/>
    <n v="8.5999999999999993E-2"/>
    <n v="2013"/>
    <n v="16"/>
    <n v="5.3"/>
    <n v="1.4"/>
    <n v="0.5"/>
    <x v="1"/>
    <x v="1"/>
    <n v="0"/>
  </r>
  <r>
    <x v="32"/>
    <x v="25"/>
    <x v="1165"/>
    <s v="Arizona State"/>
    <n v="1"/>
    <n v="7"/>
    <n v="38"/>
    <n v="19"/>
    <n v="6"/>
    <n v="4"/>
    <n v="0.5"/>
    <n v="0.4"/>
    <n v="0.75"/>
    <n v="0"/>
    <n v="5.7000000000000002E-2"/>
    <n v="2013"/>
    <n v="5.4"/>
    <n v="2.7"/>
    <n v="0.9"/>
    <n v="0.6"/>
    <x v="1"/>
    <x v="2"/>
    <n v="0"/>
  </r>
  <r>
    <x v="33"/>
    <x v="11"/>
    <x v="1166"/>
    <s v="Murray State"/>
    <n v="6"/>
    <n v="235"/>
    <n v="4799"/>
    <n v="1913"/>
    <n v="438"/>
    <n v="454"/>
    <n v="0.371"/>
    <n v="0.35099999999999998"/>
    <n v="0.83599999999999997"/>
    <n v="4.3"/>
    <n v="4.2999999999999997E-2"/>
    <n v="2013"/>
    <n v="20.399999999999999"/>
    <n v="8.1"/>
    <n v="1.9"/>
    <n v="1.9"/>
    <x v="1"/>
    <x v="3"/>
    <n v="1"/>
  </r>
  <r>
    <x v="34"/>
    <x v="21"/>
    <x v="1167"/>
    <s v="Georgia Tech"/>
    <n v="2"/>
    <n v="16"/>
    <n v="152"/>
    <n v="43"/>
    <n v="24"/>
    <n v="9"/>
    <n v="0.26900000000000002"/>
    <n v="0.25"/>
    <n v="0.69199999999999995"/>
    <n v="-0.2"/>
    <n v="-6.5000000000000002E-2"/>
    <n v="2013"/>
    <n v="9.5"/>
    <n v="2.7"/>
    <n v="1.5"/>
    <n v="0.6"/>
    <x v="1"/>
    <x v="4"/>
    <n v="0"/>
  </r>
  <r>
    <x v="35"/>
    <x v="6"/>
    <x v="1168"/>
    <s v="Detroit Mercy"/>
    <n v="3"/>
    <n v="154"/>
    <n v="2808"/>
    <n v="920"/>
    <n v="306"/>
    <n v="368"/>
    <n v="0.40799999999999997"/>
    <n v="0.33500000000000002"/>
    <n v="0.71099999999999997"/>
    <n v="2.1"/>
    <n v="3.5000000000000003E-2"/>
    <n v="2013"/>
    <n v="18.2"/>
    <n v="6"/>
    <n v="2"/>
    <n v="2.4"/>
    <x v="1"/>
    <x v="5"/>
    <n v="0"/>
  </r>
  <r>
    <x v="36"/>
    <x v="18"/>
    <x v="1169"/>
    <s v="University of North Texas"/>
    <n v="1"/>
    <n v="21"/>
    <n v="79"/>
    <n v="22"/>
    <n v="26"/>
    <n v="2"/>
    <n v="0.41699999999999998"/>
    <n v="1"/>
    <n v="0.57899999999999996"/>
    <n v="0.2"/>
    <n v="0.151"/>
    <n v="2013"/>
    <n v="3.8"/>
    <n v="1"/>
    <n v="1.2"/>
    <n v="0.1"/>
    <x v="1"/>
    <x v="6"/>
    <n v="0"/>
  </r>
  <r>
    <x v="37"/>
    <x v="23"/>
    <x v="1170"/>
    <s v="South Dakota State"/>
    <n v="3"/>
    <n v="84"/>
    <n v="1575"/>
    <n v="461"/>
    <n v="185"/>
    <n v="209"/>
    <n v="0.42299999999999999"/>
    <n v="0.26100000000000001"/>
    <n v="0.63500000000000001"/>
    <n v="0.9"/>
    <n v="2.8000000000000001E-2"/>
    <n v="2013"/>
    <n v="18.8"/>
    <n v="5.5"/>
    <n v="2.2000000000000002"/>
    <n v="2.5"/>
    <x v="1"/>
    <x v="7"/>
    <n v="0"/>
  </r>
  <r>
    <x v="38"/>
    <x v="17"/>
    <x v="1171"/>
    <s v="Kansas"/>
    <n v="5"/>
    <n v="206"/>
    <n v="2072"/>
    <n v="666"/>
    <n v="518"/>
    <n v="64"/>
    <n v="0.52500000000000002"/>
    <n v="0.14299999999999999"/>
    <n v="0.71599999999999997"/>
    <n v="6.8"/>
    <n v="0.157"/>
    <n v="2013"/>
    <n v="10.1"/>
    <n v="3.2"/>
    <n v="2.5"/>
    <n v="0.3"/>
    <x v="1"/>
    <x v="8"/>
    <n v="0"/>
  </r>
  <r>
    <x v="39"/>
    <x v="17"/>
    <x v="1172"/>
    <s v="Arizona"/>
    <n v="1"/>
    <n v="8"/>
    <n v="51"/>
    <n v="16"/>
    <n v="9"/>
    <n v="3"/>
    <n v="0.26900000000000002"/>
    <n v="6.7000000000000004E-2"/>
    <n v="1"/>
    <n v="-0.1"/>
    <n v="-0.128"/>
    <n v="2013"/>
    <n v="6.4"/>
    <n v="2"/>
    <n v="1.1000000000000001"/>
    <n v="0.4"/>
    <x v="1"/>
    <x v="9"/>
    <n v="0"/>
  </r>
  <r>
    <x v="40"/>
    <x v="27"/>
    <x v="1173"/>
    <s v="San Diego State"/>
    <n v="2"/>
    <n v="24"/>
    <n v="174"/>
    <n v="42"/>
    <n v="25"/>
    <n v="9"/>
    <n v="0.41499999999999998"/>
    <n v="0.46200000000000002"/>
    <n v="1"/>
    <n v="0"/>
    <n v="-6.0000000000000001E-3"/>
    <n v="2013"/>
    <n v="7.3"/>
    <n v="1.8"/>
    <n v="1"/>
    <n v="0.4"/>
    <x v="1"/>
    <x v="10"/>
    <n v="0"/>
  </r>
  <r>
    <x v="41"/>
    <x v="21"/>
    <x v="1174"/>
    <s v="Baylor"/>
    <n v="1"/>
    <n v="8"/>
    <n v="84"/>
    <n v="35"/>
    <n v="9"/>
    <n v="19"/>
    <n v="0.33300000000000002"/>
    <n v="0.27300000000000002"/>
    <n v="0.85699999999999998"/>
    <n v="0"/>
    <n v="2.1000000000000001E-2"/>
    <n v="2013"/>
    <n v="10.5"/>
    <n v="4.4000000000000004"/>
    <n v="1.1000000000000001"/>
    <n v="2.4"/>
    <x v="1"/>
    <x v="11"/>
    <n v="0"/>
  </r>
  <r>
    <x v="42"/>
    <x v="12"/>
    <x v="1175"/>
    <s v="Providence"/>
    <n v="2"/>
    <n v="28"/>
    <n v="277"/>
    <n v="109"/>
    <n v="38"/>
    <n v="21"/>
    <n v="0.33600000000000002"/>
    <n v="0.371"/>
    <n v="0.76900000000000002"/>
    <n v="-0.6"/>
    <n v="-9.6000000000000002E-2"/>
    <n v="2013"/>
    <n v="9.9"/>
    <n v="3.9"/>
    <n v="1.4"/>
    <n v="0.8"/>
    <x v="1"/>
    <x v="12"/>
    <n v="0"/>
  </r>
  <r>
    <x v="43"/>
    <x v="26"/>
    <x v="1176"/>
    <s v="Bucknell"/>
    <n v="9"/>
    <n v="432"/>
    <n v="6694"/>
    <n v="2666"/>
    <n v="1371"/>
    <n v="378"/>
    <n v="0.45800000000000002"/>
    <n v="0.377"/>
    <n v="0.84699999999999998"/>
    <n v="16.8"/>
    <n v="0.121"/>
    <n v="2013"/>
    <n v="15.5"/>
    <n v="6.2"/>
    <n v="3.2"/>
    <n v="0.9"/>
    <x v="1"/>
    <x v="13"/>
    <n v="1"/>
  </r>
  <r>
    <x v="45"/>
    <x v="22"/>
    <x v="1177"/>
    <s v="Virginia Tech"/>
    <n v="2"/>
    <n v="52"/>
    <n v="452"/>
    <n v="159"/>
    <n v="37"/>
    <n v="42"/>
    <n v="0.377"/>
    <n v="0.28799999999999998"/>
    <n v="0.85699999999999998"/>
    <n v="0.1"/>
    <n v="1.0999999999999999E-2"/>
    <n v="2013"/>
    <n v="8.6999999999999993"/>
    <n v="3.1"/>
    <n v="0.7"/>
    <n v="0.8"/>
    <x v="1"/>
    <x v="15"/>
    <n v="0"/>
  </r>
  <r>
    <x v="46"/>
    <x v="9"/>
    <x v="1178"/>
    <s v="NA"/>
    <n v="7"/>
    <n v="366"/>
    <n v="5884"/>
    <n v="2167"/>
    <n v="574"/>
    <n v="753"/>
    <n v="0.45300000000000001"/>
    <n v="0.36299999999999999"/>
    <n v="0.80100000000000005"/>
    <n v="9.4"/>
    <n v="7.5999999999999998E-2"/>
    <n v="2013"/>
    <n v="16.100000000000001"/>
    <n v="5.9"/>
    <n v="1.6"/>
    <n v="2.1"/>
    <x v="1"/>
    <x v="16"/>
    <n v="1"/>
  </r>
  <r>
    <x v="47"/>
    <x v="19"/>
    <x v="1179"/>
    <s v="Duke"/>
    <n v="4"/>
    <n v="163"/>
    <n v="3125"/>
    <n v="981"/>
    <n v="504"/>
    <n v="215"/>
    <n v="0.378"/>
    <n v="0.316"/>
    <n v="0.79700000000000004"/>
    <n v="3"/>
    <n v="4.5999999999999999E-2"/>
    <n v="2013"/>
    <n v="19.2"/>
    <n v="6"/>
    <n v="3.1"/>
    <n v="1.3"/>
    <x v="1"/>
    <x v="17"/>
    <n v="0"/>
  </r>
  <r>
    <x v="52"/>
    <x v="20"/>
    <x v="1180"/>
    <s v="Florida"/>
    <n v="1"/>
    <n v="24"/>
    <n v="62"/>
    <n v="6"/>
    <n v="8"/>
    <n v="2"/>
    <n v="0.23100000000000001"/>
    <n v="0"/>
    <n v="0"/>
    <n v="-0.1"/>
    <n v="-5.5E-2"/>
    <n v="2013"/>
    <n v="2.6"/>
    <n v="0.3"/>
    <n v="0.3"/>
    <n v="0.1"/>
    <x v="1"/>
    <x v="18"/>
    <n v="0"/>
  </r>
  <r>
    <x v="48"/>
    <x v="9"/>
    <x v="1181"/>
    <s v="Cal State Long Beach"/>
    <n v="8"/>
    <n v="395"/>
    <n v="8022"/>
    <n v="2629"/>
    <n v="1306"/>
    <n v="373"/>
    <n v="0.45700000000000002"/>
    <n v="0.36"/>
    <n v="0.79700000000000004"/>
    <n v="16.2"/>
    <n v="9.7000000000000003E-2"/>
    <n v="2013"/>
    <n v="20.3"/>
    <n v="6.7"/>
    <n v="3.3"/>
    <n v="0.9"/>
    <x v="1"/>
    <x v="19"/>
    <n v="1"/>
  </r>
  <r>
    <x v="50"/>
    <x v="5"/>
    <x v="1182"/>
    <s v="NC State"/>
    <n v="5"/>
    <n v="103"/>
    <n v="1185"/>
    <n v="293"/>
    <n v="151"/>
    <n v="183"/>
    <n v="0.36399999999999999"/>
    <n v="0.17"/>
    <n v="0.70699999999999996"/>
    <n v="-0.2"/>
    <n v="-7.0000000000000001E-3"/>
    <n v="2013"/>
    <n v="11.5"/>
    <n v="2.8"/>
    <n v="1.5"/>
    <n v="1.8"/>
    <x v="1"/>
    <x v="21"/>
    <n v="0"/>
  </r>
  <r>
    <x v="53"/>
    <x v="27"/>
    <x v="1183"/>
    <s v="NA"/>
    <n v="4"/>
    <n v="208"/>
    <n v="2823"/>
    <n v="1159"/>
    <n v="789"/>
    <n v="180"/>
    <n v="0.47899999999999998"/>
    <n v="0.28499999999999998"/>
    <n v="0.71899999999999997"/>
    <n v="5.2"/>
    <n v="8.8999999999999996E-2"/>
    <n v="2013"/>
    <n v="13.6"/>
    <n v="5.6"/>
    <n v="3.8"/>
    <n v="0.9"/>
    <x v="1"/>
    <x v="24"/>
    <n v="0"/>
  </r>
  <r>
    <x v="54"/>
    <x v="18"/>
    <x v="1184"/>
    <s v="Louisville"/>
    <n v="1"/>
    <n v="24"/>
    <n v="224"/>
    <n v="54"/>
    <n v="14"/>
    <n v="34"/>
    <n v="0.316"/>
    <n v="0.28000000000000003"/>
    <n v="0.73299999999999998"/>
    <n v="-0.2"/>
    <n v="-3.2000000000000001E-2"/>
    <n v="2013"/>
    <n v="9.3000000000000007"/>
    <n v="2.2999999999999998"/>
    <n v="0.6"/>
    <n v="1.4"/>
    <x v="1"/>
    <x v="25"/>
    <n v="0"/>
  </r>
  <r>
    <x v="0"/>
    <x v="25"/>
    <x v="1185"/>
    <s v="Kansas"/>
    <n v="8"/>
    <n v="579"/>
    <n v="20319"/>
    <n v="11220"/>
    <n v="2553"/>
    <n v="1348"/>
    <n v="0.44900000000000001"/>
    <n v="0.35099999999999998"/>
    <n v="0.72699999999999998"/>
    <n v="23.5"/>
    <n v="5.6000000000000001E-2"/>
    <n v="2014"/>
    <n v="35.1"/>
    <n v="19.399999999999999"/>
    <n v="4.4000000000000004"/>
    <n v="2.2999999999999998"/>
    <x v="0"/>
    <x v="0"/>
    <n v="1"/>
  </r>
  <r>
    <x v="1"/>
    <x v="12"/>
    <x v="1186"/>
    <s v="Duke"/>
    <n v="8"/>
    <n v="310"/>
    <n v="8535"/>
    <n v="4380"/>
    <n v="1703"/>
    <n v="610"/>
    <n v="0.49399999999999999"/>
    <n v="0.32600000000000001"/>
    <n v="0.74299999999999999"/>
    <n v="13.9"/>
    <n v="7.8E-2"/>
    <n v="2014"/>
    <n v="27.5"/>
    <n v="14.1"/>
    <n v="5.5"/>
    <n v="2"/>
    <x v="0"/>
    <x v="1"/>
    <n v="1"/>
  </r>
  <r>
    <x v="2"/>
    <x v="21"/>
    <x v="1187"/>
    <s v="Kansas"/>
    <n v="6"/>
    <n v="306"/>
    <n v="9458"/>
    <n v="7817"/>
    <n v="3450"/>
    <n v="1003"/>
    <n v="0.48799999999999999"/>
    <n v="0.33500000000000002"/>
    <n v="0.80900000000000005"/>
    <n v="39.9"/>
    <n v="0.20200000000000001"/>
    <n v="2014"/>
    <n v="30.9"/>
    <n v="25.5"/>
    <n v="11.3"/>
    <n v="3.3"/>
    <x v="0"/>
    <x v="2"/>
    <n v="1"/>
  </r>
  <r>
    <x v="3"/>
    <x v="3"/>
    <x v="1188"/>
    <s v="Arizona"/>
    <n v="8"/>
    <n v="506"/>
    <n v="14584"/>
    <n v="6530"/>
    <n v="3178"/>
    <n v="1264"/>
    <n v="0.45700000000000002"/>
    <n v="0.32200000000000001"/>
    <n v="0.69899999999999995"/>
    <n v="27.5"/>
    <n v="0.09"/>
    <n v="2014"/>
    <n v="28.8"/>
    <n v="12.9"/>
    <n v="6.3"/>
    <n v="2.5"/>
    <x v="0"/>
    <x v="3"/>
    <n v="1"/>
  </r>
  <r>
    <x v="4"/>
    <x v="22"/>
    <x v="1189"/>
    <s v="NA"/>
    <n v="6"/>
    <n v="245"/>
    <n v="4545"/>
    <n v="1389"/>
    <n v="441"/>
    <n v="515"/>
    <n v="0.40699999999999997"/>
    <n v="0.30499999999999999"/>
    <n v="0.76400000000000001"/>
    <n v="3.1"/>
    <n v="3.2000000000000001E-2"/>
    <n v="2014"/>
    <n v="18.600000000000001"/>
    <n v="5.7"/>
    <n v="1.8"/>
    <n v="2.1"/>
    <x v="0"/>
    <x v="4"/>
    <n v="1"/>
  </r>
  <r>
    <x v="5"/>
    <x v="14"/>
    <x v="1190"/>
    <s v="Oklahoma State"/>
    <n v="8"/>
    <n v="499"/>
    <n v="14825"/>
    <n v="5161"/>
    <n v="1794"/>
    <n v="2168"/>
    <n v="0.38"/>
    <n v="0.31900000000000001"/>
    <n v="0.77800000000000002"/>
    <n v="28"/>
    <n v="9.0999999999999998E-2"/>
    <n v="2014"/>
    <n v="29.7"/>
    <n v="10.3"/>
    <n v="3.6"/>
    <n v="4.3"/>
    <x v="0"/>
    <x v="5"/>
    <n v="1"/>
  </r>
  <r>
    <x v="6"/>
    <x v="19"/>
    <x v="1191"/>
    <s v="Kentucky"/>
    <n v="8"/>
    <n v="503"/>
    <n v="15635"/>
    <n v="8874"/>
    <n v="4680"/>
    <n v="1769"/>
    <n v="0.47599999999999998"/>
    <n v="0.33300000000000002"/>
    <n v="0.74299999999999999"/>
    <n v="31.1"/>
    <n v="9.5000000000000001E-2"/>
    <n v="2014"/>
    <n v="31.1"/>
    <n v="17.600000000000001"/>
    <n v="9.3000000000000007"/>
    <n v="3.5"/>
    <x v="0"/>
    <x v="6"/>
    <n v="1"/>
  </r>
  <r>
    <x v="7"/>
    <x v="6"/>
    <x v="1192"/>
    <s v="Michigan"/>
    <n v="6"/>
    <n v="337"/>
    <n v="6686"/>
    <n v="2283"/>
    <n v="691"/>
    <n v="514"/>
    <n v="0.38900000000000001"/>
    <n v="0.35399999999999998"/>
    <n v="0.81399999999999995"/>
    <n v="3.9"/>
    <n v="2.8000000000000001E-2"/>
    <n v="2014"/>
    <n v="19.8"/>
    <n v="6.8"/>
    <n v="2.1"/>
    <n v="1.5"/>
    <x v="0"/>
    <x v="7"/>
    <n v="1"/>
  </r>
  <r>
    <x v="8"/>
    <x v="4"/>
    <x v="1193"/>
    <s v="Indiana"/>
    <n v="7"/>
    <n v="339"/>
    <n v="5683"/>
    <n v="1660"/>
    <n v="1742"/>
    <n v="257"/>
    <n v="0.45900000000000002"/>
    <n v="0.308"/>
    <n v="0.69099999999999995"/>
    <n v="9.1999999999999993"/>
    <n v="7.8E-2"/>
    <n v="2014"/>
    <n v="16.8"/>
    <n v="4.9000000000000004"/>
    <n v="5.0999999999999996"/>
    <n v="0.8"/>
    <x v="0"/>
    <x v="8"/>
    <n v="1"/>
  </r>
  <r>
    <x v="9"/>
    <x v="21"/>
    <x v="1194"/>
    <s v="Louisiana"/>
    <n v="8"/>
    <n v="488"/>
    <n v="13278"/>
    <n v="5013"/>
    <n v="1995"/>
    <n v="2851"/>
    <n v="0.44800000000000001"/>
    <n v="0.28899999999999998"/>
    <n v="0.624"/>
    <n v="16"/>
    <n v="5.8000000000000003E-2"/>
    <n v="2014"/>
    <n v="27.2"/>
    <n v="10.3"/>
    <n v="4.0999999999999996"/>
    <n v="5.8"/>
    <x v="0"/>
    <x v="9"/>
    <n v="1"/>
  </r>
  <r>
    <x v="10"/>
    <x v="2"/>
    <x v="1195"/>
    <s v="Creighton"/>
    <n v="8"/>
    <n v="519"/>
    <n v="10842"/>
    <n v="4781"/>
    <n v="1229"/>
    <n v="482"/>
    <n v="0.47699999999999998"/>
    <n v="0.41199999999999998"/>
    <n v="0.81899999999999995"/>
    <n v="19.3"/>
    <n v="8.5000000000000006E-2"/>
    <n v="2014"/>
    <n v="20.9"/>
    <n v="9.1999999999999993"/>
    <n v="2.4"/>
    <n v="0.9"/>
    <x v="0"/>
    <x v="10"/>
    <n v="1"/>
  </r>
  <r>
    <x v="11"/>
    <x v="3"/>
    <x v="1196"/>
    <s v="NA"/>
    <n v="5"/>
    <n v="356"/>
    <n v="8965"/>
    <n v="4180"/>
    <n v="2086"/>
    <n v="699"/>
    <n v="0.441"/>
    <n v="0.35699999999999998"/>
    <n v="0.83799999999999997"/>
    <n v="16.399999999999999"/>
    <n v="8.7999999999999995E-2"/>
    <n v="2014"/>
    <n v="25.2"/>
    <n v="11.7"/>
    <n v="5.9"/>
    <n v="2"/>
    <x v="0"/>
    <x v="11"/>
    <n v="0"/>
  </r>
  <r>
    <x v="12"/>
    <x v="5"/>
    <x v="1197"/>
    <s v="UCLA"/>
    <n v="8"/>
    <n v="458"/>
    <n v="14515"/>
    <n v="8987"/>
    <n v="1796"/>
    <n v="1767"/>
    <n v="0.46100000000000002"/>
    <n v="0.38700000000000001"/>
    <n v="0.83"/>
    <n v="22.1"/>
    <n v="7.2999999999999995E-2"/>
    <n v="2014"/>
    <n v="31.7"/>
    <n v="19.600000000000001"/>
    <n v="3.9"/>
    <n v="3.9"/>
    <x v="0"/>
    <x v="12"/>
    <n v="1"/>
  </r>
  <r>
    <x v="13"/>
    <x v="15"/>
    <x v="1198"/>
    <s v="NC State"/>
    <n v="7"/>
    <n v="332"/>
    <n v="9553"/>
    <n v="5142"/>
    <n v="1372"/>
    <n v="397"/>
    <n v="0.50700000000000001"/>
    <n v="0.35699999999999998"/>
    <n v="0.78"/>
    <n v="19.600000000000001"/>
    <n v="9.9000000000000005E-2"/>
    <n v="2014"/>
    <n v="28.8"/>
    <n v="15.5"/>
    <n v="4.0999999999999996"/>
    <n v="1.2"/>
    <x v="0"/>
    <x v="13"/>
    <n v="1"/>
  </r>
  <r>
    <x v="14"/>
    <x v="9"/>
    <x v="1199"/>
    <s v="Michigan State"/>
    <n v="4"/>
    <n v="107"/>
    <n v="1403"/>
    <n v="429"/>
    <n v="315"/>
    <n v="66"/>
    <n v="0.40600000000000003"/>
    <n v="0.254"/>
    <n v="0.68"/>
    <n v="-0.6"/>
    <n v="-1.9E-2"/>
    <n v="2014"/>
    <n v="13.1"/>
    <n v="4"/>
    <n v="2.9"/>
    <n v="0.6"/>
    <x v="0"/>
    <x v="14"/>
    <n v="0"/>
  </r>
  <r>
    <x v="15"/>
    <x v="20"/>
    <x v="1200"/>
    <s v="NA"/>
    <n v="8"/>
    <n v="411"/>
    <n v="9815"/>
    <n v="5015"/>
    <n v="3513"/>
    <n v="903"/>
    <n v="0.5"/>
    <n v="0.23200000000000001"/>
    <n v="0.67200000000000004"/>
    <n v="24"/>
    <n v="0.11799999999999999"/>
    <n v="2014"/>
    <n v="23.9"/>
    <n v="12.2"/>
    <n v="8.5"/>
    <n v="2.2000000000000002"/>
    <x v="0"/>
    <x v="15"/>
    <n v="1"/>
  </r>
  <r>
    <x v="16"/>
    <x v="14"/>
    <x v="1201"/>
    <s v="Kentucky"/>
    <n v="4"/>
    <n v="95"/>
    <n v="812"/>
    <n v="219"/>
    <n v="96"/>
    <n v="28"/>
    <n v="0.36699999999999999"/>
    <n v="0.27700000000000002"/>
    <n v="0.56299999999999994"/>
    <n v="0.8"/>
    <n v="4.5999999999999999E-2"/>
    <n v="2014"/>
    <n v="8.5"/>
    <n v="2.2999999999999998"/>
    <n v="1"/>
    <n v="0.3"/>
    <x v="0"/>
    <x v="16"/>
    <n v="0"/>
  </r>
  <r>
    <x v="17"/>
    <x v="15"/>
    <x v="1202"/>
    <s v="Syracuse"/>
    <n v="4"/>
    <n v="186"/>
    <n v="2336"/>
    <n v="779"/>
    <n v="250"/>
    <n v="359"/>
    <n v="0.41899999999999998"/>
    <n v="0.317"/>
    <n v="0.76800000000000002"/>
    <n v="1.3"/>
    <n v="2.5999999999999999E-2"/>
    <n v="2014"/>
    <n v="12.6"/>
    <n v="4.2"/>
    <n v="1.3"/>
    <n v="1.9"/>
    <x v="0"/>
    <x v="17"/>
    <n v="0"/>
  </r>
  <r>
    <x v="18"/>
    <x v="20"/>
    <x v="1203"/>
    <s v="Michigan State"/>
    <n v="8"/>
    <n v="459"/>
    <n v="13270"/>
    <n v="5442"/>
    <n v="1151"/>
    <n v="957"/>
    <n v="0.44900000000000001"/>
    <n v="0.36199999999999999"/>
    <n v="0.80900000000000005"/>
    <n v="20.3"/>
    <n v="7.2999999999999995E-2"/>
    <n v="2014"/>
    <n v="28.9"/>
    <n v="11.9"/>
    <n v="2.5"/>
    <n v="2.1"/>
    <x v="0"/>
    <x v="18"/>
    <n v="1"/>
  </r>
  <r>
    <x v="19"/>
    <x v="28"/>
    <x v="1204"/>
    <s v="NA"/>
    <n v="7"/>
    <n v="105"/>
    <n v="1293"/>
    <n v="442"/>
    <n v="268"/>
    <n v="72"/>
    <n v="0.40300000000000002"/>
    <n v="0.308"/>
    <n v="0.83599999999999997"/>
    <n v="1.5"/>
    <n v="5.3999999999999999E-2"/>
    <n v="2014"/>
    <n v="12.3"/>
    <n v="4.2"/>
    <n v="2.6"/>
    <n v="0.7"/>
    <x v="0"/>
    <x v="19"/>
    <n v="1"/>
  </r>
  <r>
    <x v="20"/>
    <x v="1"/>
    <x v="1205"/>
    <s v="Michigan"/>
    <n v="2"/>
    <n v="52"/>
    <n v="557"/>
    <n v="227"/>
    <n v="183"/>
    <n v="17"/>
    <n v="0.52700000000000002"/>
    <n v="0"/>
    <n v="0.57999999999999996"/>
    <n v="1.3"/>
    <n v="0.108"/>
    <n v="2014"/>
    <n v="10.7"/>
    <n v="4.4000000000000004"/>
    <n v="3.5"/>
    <n v="0.3"/>
    <x v="0"/>
    <x v="20"/>
    <n v="0"/>
  </r>
  <r>
    <x v="21"/>
    <x v="27"/>
    <x v="1206"/>
    <s v="UCLA"/>
    <n v="2"/>
    <n v="32"/>
    <n v="263"/>
    <n v="101"/>
    <n v="30"/>
    <n v="19"/>
    <n v="0.40200000000000002"/>
    <n v="0.38500000000000001"/>
    <n v="0.60699999999999998"/>
    <n v="0.4"/>
    <n v="7.0000000000000007E-2"/>
    <n v="2014"/>
    <n v="8.1999999999999993"/>
    <n v="3.2"/>
    <n v="0.9"/>
    <n v="0.6"/>
    <x v="0"/>
    <x v="21"/>
    <n v="0"/>
  </r>
  <r>
    <x v="22"/>
    <x v="22"/>
    <x v="1207"/>
    <s v="Duke"/>
    <n v="8"/>
    <n v="437"/>
    <n v="10863"/>
    <n v="4622"/>
    <n v="1151"/>
    <n v="729"/>
    <n v="0.41899999999999998"/>
    <n v="0.36399999999999999"/>
    <n v="0.84099999999999997"/>
    <n v="17.2"/>
    <n v="7.5999999999999998E-2"/>
    <n v="2014"/>
    <n v="24.9"/>
    <n v="10.6"/>
    <n v="2.6"/>
    <n v="1.7"/>
    <x v="0"/>
    <x v="22"/>
    <n v="1"/>
  </r>
  <r>
    <x v="23"/>
    <x v="4"/>
    <x v="1208"/>
    <s v="UConn"/>
    <n v="6"/>
    <n v="345"/>
    <n v="5986"/>
    <n v="2433"/>
    <n v="657"/>
    <n v="849"/>
    <n v="0.39700000000000002"/>
    <n v="0.34499999999999997"/>
    <n v="0.81499999999999995"/>
    <n v="8.1"/>
    <n v="6.5000000000000002E-2"/>
    <n v="2014"/>
    <n v="17.399999999999999"/>
    <n v="7.1"/>
    <n v="1.9"/>
    <n v="2.5"/>
    <x v="0"/>
    <x v="23"/>
    <n v="1"/>
  </r>
  <r>
    <x v="24"/>
    <x v="11"/>
    <x v="1209"/>
    <s v="NA"/>
    <n v="8"/>
    <n v="447"/>
    <n v="11974"/>
    <n v="5566"/>
    <n v="4749"/>
    <n v="443"/>
    <n v="0.622"/>
    <n v="0"/>
    <n v="0.52800000000000002"/>
    <n v="49.8"/>
    <n v="0.2"/>
    <n v="2014"/>
    <n v="26.8"/>
    <n v="12.5"/>
    <n v="10.6"/>
    <n v="1"/>
    <x v="0"/>
    <x v="24"/>
    <n v="1"/>
  </r>
  <r>
    <x v="25"/>
    <x v="8"/>
    <x v="1210"/>
    <s v="UNC"/>
    <n v="2"/>
    <n v="111"/>
    <n v="2000"/>
    <n v="664"/>
    <n v="266"/>
    <n v="59"/>
    <n v="0.34300000000000003"/>
    <n v="0.29499999999999998"/>
    <n v="0.81"/>
    <n v="0.9"/>
    <n v="2.1000000000000001E-2"/>
    <n v="2014"/>
    <n v="18"/>
    <n v="6"/>
    <n v="2.4"/>
    <n v="0.5"/>
    <x v="0"/>
    <x v="25"/>
    <n v="0"/>
  </r>
  <r>
    <x v="26"/>
    <x v="15"/>
    <x v="1211"/>
    <s v="NA"/>
    <n v="5"/>
    <n v="293"/>
    <n v="8342"/>
    <n v="4082"/>
    <n v="987"/>
    <n v="999"/>
    <n v="0.44"/>
    <n v="0.38600000000000001"/>
    <n v="0.81599999999999995"/>
    <n v="14.5"/>
    <n v="8.4000000000000005E-2"/>
    <n v="2014"/>
    <n v="28.5"/>
    <n v="13.9"/>
    <n v="3.4"/>
    <n v="3.4"/>
    <x v="0"/>
    <x v="26"/>
    <n v="0"/>
  </r>
  <r>
    <x v="27"/>
    <x v="7"/>
    <x v="1212"/>
    <s v="Washington"/>
    <n v="3"/>
    <n v="66"/>
    <n v="376"/>
    <n v="132"/>
    <n v="31"/>
    <n v="30"/>
    <n v="0.37"/>
    <n v="0.33300000000000002"/>
    <n v="0.81299999999999994"/>
    <n v="0.1"/>
    <n v="7.0000000000000001E-3"/>
    <n v="2014"/>
    <n v="5.7"/>
    <n v="2"/>
    <n v="0.5"/>
    <n v="0.5"/>
    <x v="0"/>
    <x v="27"/>
    <n v="0"/>
  </r>
  <r>
    <x v="28"/>
    <x v="1"/>
    <x v="1213"/>
    <s v="Stanford"/>
    <n v="3"/>
    <n v="76"/>
    <n v="1068"/>
    <n v="187"/>
    <n v="180"/>
    <n v="23"/>
    <n v="0.34599999999999997"/>
    <n v="0.312"/>
    <n v="0.24"/>
    <n v="0.7"/>
    <n v="0.03"/>
    <n v="2014"/>
    <n v="14.1"/>
    <n v="2.5"/>
    <n v="2.4"/>
    <n v="0.3"/>
    <x v="0"/>
    <x v="28"/>
    <n v="0"/>
  </r>
  <r>
    <x v="29"/>
    <x v="16"/>
    <x v="1214"/>
    <s v="UCLA"/>
    <n v="8"/>
    <n v="483"/>
    <n v="10121"/>
    <n v="3202"/>
    <n v="2098"/>
    <n v="1109"/>
    <n v="0.47599999999999998"/>
    <n v="0.33500000000000002"/>
    <n v="0.71399999999999997"/>
    <n v="25.7"/>
    <n v="0.122"/>
    <n v="2014"/>
    <n v="21"/>
    <n v="6.6"/>
    <n v="4.3"/>
    <n v="2.2999999999999998"/>
    <x v="0"/>
    <x v="29"/>
    <n v="1"/>
  </r>
  <r>
    <x v="30"/>
    <x v="12"/>
    <x v="1215"/>
    <s v="NA"/>
    <n v="1"/>
    <n v="20"/>
    <n v="156"/>
    <n v="36"/>
    <n v="31"/>
    <n v="10"/>
    <n v="0.35099999999999998"/>
    <n v="0.23100000000000001"/>
    <n v="0.875"/>
    <n v="-0.1"/>
    <n v="-2.4E-2"/>
    <n v="2014"/>
    <n v="7.8"/>
    <n v="1.8"/>
    <n v="1.6"/>
    <n v="0.5"/>
    <x v="1"/>
    <x v="0"/>
    <n v="0"/>
  </r>
  <r>
    <x v="31"/>
    <x v="21"/>
    <x v="1216"/>
    <s v="Clemson"/>
    <n v="3"/>
    <n v="148"/>
    <n v="2092"/>
    <n v="782"/>
    <n v="324"/>
    <n v="95"/>
    <n v="0.41199999999999998"/>
    <n v="0.28999999999999998"/>
    <n v="0.77600000000000002"/>
    <n v="1.3"/>
    <n v="0.03"/>
    <n v="2014"/>
    <n v="14.1"/>
    <n v="5.3"/>
    <n v="2.2000000000000002"/>
    <n v="0.6"/>
    <x v="1"/>
    <x v="1"/>
    <n v="0"/>
  </r>
  <r>
    <x v="32"/>
    <x v="25"/>
    <x v="1217"/>
    <s v="Virginia"/>
    <n v="8"/>
    <n v="414"/>
    <n v="10601"/>
    <n v="4584"/>
    <n v="1344"/>
    <n v="679"/>
    <n v="0.48299999999999998"/>
    <n v="0.439"/>
    <n v="0.78"/>
    <n v="20.5"/>
    <n v="9.2999999999999999E-2"/>
    <n v="2014"/>
    <n v="25.6"/>
    <n v="11.1"/>
    <n v="3.2"/>
    <n v="1.6"/>
    <x v="1"/>
    <x v="2"/>
    <n v="1"/>
  </r>
  <r>
    <x v="33"/>
    <x v="13"/>
    <x v="1218"/>
    <s v="Wichita State"/>
    <n v="2"/>
    <n v="56"/>
    <n v="801"/>
    <n v="241"/>
    <n v="123"/>
    <n v="42"/>
    <n v="0.34599999999999997"/>
    <n v="0.26300000000000001"/>
    <n v="0.75"/>
    <n v="-0.6"/>
    <n v="-3.9E-2"/>
    <n v="2014"/>
    <n v="14.3"/>
    <n v="4.3"/>
    <n v="2.2000000000000002"/>
    <n v="0.8"/>
    <x v="1"/>
    <x v="3"/>
    <n v="0"/>
  </r>
  <r>
    <x v="34"/>
    <x v="22"/>
    <x v="1219"/>
    <s v="Tennessee"/>
    <n v="3"/>
    <n v="28"/>
    <n v="151"/>
    <n v="67"/>
    <n v="40"/>
    <n v="7"/>
    <n v="0.58099999999999996"/>
    <n v="0"/>
    <n v="0.53100000000000003"/>
    <n v="0.6"/>
    <n v="0.20200000000000001"/>
    <n v="2014"/>
    <n v="5.4"/>
    <n v="2.4"/>
    <n v="1.4"/>
    <n v="0.3"/>
    <x v="1"/>
    <x v="4"/>
    <n v="0"/>
  </r>
  <r>
    <x v="35"/>
    <x v="12"/>
    <x v="1220"/>
    <s v="LSU"/>
    <n v="4"/>
    <n v="147"/>
    <n v="1684"/>
    <n v="509"/>
    <n v="352"/>
    <n v="69"/>
    <n v="0.40200000000000002"/>
    <n v="0.36"/>
    <n v="0.66300000000000003"/>
    <n v="0.2"/>
    <n v="6.0000000000000001E-3"/>
    <n v="2014"/>
    <n v="11.5"/>
    <n v="3.5"/>
    <n v="2.4"/>
    <n v="0.5"/>
    <x v="1"/>
    <x v="5"/>
    <n v="0"/>
  </r>
  <r>
    <x v="37"/>
    <x v="18"/>
    <x v="1221"/>
    <s v="Colorado"/>
    <n v="8"/>
    <n v="366"/>
    <n v="9610"/>
    <n v="4691"/>
    <n v="1101"/>
    <n v="1849"/>
    <n v="0.40600000000000003"/>
    <n v="0.317"/>
    <n v="0.79300000000000004"/>
    <n v="20.399999999999999"/>
    <n v="0.10199999999999999"/>
    <n v="2014"/>
    <n v="26.3"/>
    <n v="12.8"/>
    <n v="3"/>
    <n v="5.0999999999999996"/>
    <x v="1"/>
    <x v="7"/>
    <n v="1"/>
  </r>
  <r>
    <x v="38"/>
    <x v="21"/>
    <x v="1222"/>
    <s v="Syracuse"/>
    <n v="8"/>
    <n v="541"/>
    <n v="14016"/>
    <n v="6052"/>
    <n v="2139"/>
    <n v="719"/>
    <n v="0.45200000000000001"/>
    <n v="0.34599999999999997"/>
    <n v="0.71899999999999997"/>
    <n v="27.1"/>
    <n v="9.2999999999999999E-2"/>
    <n v="2014"/>
    <n v="25.9"/>
    <n v="11.2"/>
    <n v="4"/>
    <n v="1.3"/>
    <x v="1"/>
    <x v="8"/>
    <n v="1"/>
  </r>
  <r>
    <x v="39"/>
    <x v="5"/>
    <x v="1223"/>
    <s v="Michigan"/>
    <n v="7"/>
    <n v="304"/>
    <n v="5299"/>
    <n v="1804"/>
    <n v="776"/>
    <n v="238"/>
    <n v="0.45700000000000002"/>
    <n v="0.373"/>
    <n v="0.77900000000000003"/>
    <n v="7.9"/>
    <n v="7.0999999999999994E-2"/>
    <n v="2014"/>
    <n v="17.399999999999999"/>
    <n v="5.9"/>
    <n v="2.6"/>
    <n v="0.8"/>
    <x v="1"/>
    <x v="9"/>
    <n v="1"/>
  </r>
  <r>
    <x v="40"/>
    <x v="2"/>
    <x v="1224"/>
    <s v="NA"/>
    <n v="7"/>
    <n v="505"/>
    <n v="15260"/>
    <n v="9712"/>
    <n v="5155"/>
    <n v="3107"/>
    <n v="0.53800000000000003"/>
    <n v="0.35099999999999998"/>
    <n v="0.83099999999999996"/>
    <n v="75"/>
    <n v="0.23599999999999999"/>
    <n v="2014"/>
    <n v="30.2"/>
    <n v="19.2"/>
    <n v="10.199999999999999"/>
    <n v="6.2"/>
    <x v="1"/>
    <x v="10"/>
    <n v="1"/>
  </r>
  <r>
    <x v="41"/>
    <x v="11"/>
    <x v="1225"/>
    <s v="Arizona"/>
    <n v="1"/>
    <n v="28"/>
    <n v="262"/>
    <n v="74"/>
    <n v="39"/>
    <n v="11"/>
    <n v="0.34699999999999998"/>
    <n v="0.23799999999999999"/>
    <n v="0.68"/>
    <n v="-0.1"/>
    <n v="-0.02"/>
    <n v="2014"/>
    <n v="9.4"/>
    <n v="2.6"/>
    <n v="1.4"/>
    <n v="0.4"/>
    <x v="1"/>
    <x v="11"/>
    <n v="0"/>
  </r>
  <r>
    <x v="42"/>
    <x v="9"/>
    <x v="1226"/>
    <s v="NA"/>
    <n v="2"/>
    <n v="13"/>
    <n v="101"/>
    <n v="33"/>
    <n v="32"/>
    <n v="4"/>
    <n v="0.625"/>
    <n v="0"/>
    <n v="0.27300000000000002"/>
    <n v="0.2"/>
    <n v="0.11799999999999999"/>
    <n v="2014"/>
    <n v="7.8"/>
    <n v="2.5"/>
    <n v="2.5"/>
    <n v="0.3"/>
    <x v="1"/>
    <x v="12"/>
    <n v="0"/>
  </r>
  <r>
    <x v="43"/>
    <x v="5"/>
    <x v="1227"/>
    <s v="Oklahoma State"/>
    <n v="3"/>
    <n v="113"/>
    <n v="1794"/>
    <n v="584"/>
    <n v="234"/>
    <n v="132"/>
    <n v="0.38"/>
    <n v="0.29499999999999998"/>
    <n v="0.78100000000000003"/>
    <n v="1.1000000000000001"/>
    <n v="2.9000000000000001E-2"/>
    <n v="2014"/>
    <n v="15.9"/>
    <n v="5.2"/>
    <n v="2.1"/>
    <n v="1.2"/>
    <x v="1"/>
    <x v="13"/>
    <n v="0"/>
  </r>
  <r>
    <x v="44"/>
    <x v="4"/>
    <x v="1228"/>
    <s v="Stanford"/>
    <n v="8"/>
    <n v="488"/>
    <n v="9136"/>
    <n v="3643"/>
    <n v="2205"/>
    <n v="493"/>
    <n v="0.57699999999999996"/>
    <n v="0.29799999999999999"/>
    <n v="0.74399999999999999"/>
    <n v="34.9"/>
    <n v="0.183"/>
    <n v="2014"/>
    <n v="18.7"/>
    <n v="7.5"/>
    <n v="4.5"/>
    <n v="1"/>
    <x v="1"/>
    <x v="14"/>
    <n v="1"/>
  </r>
  <r>
    <x v="45"/>
    <x v="23"/>
    <x v="1229"/>
    <s v="Missouri"/>
    <n v="8"/>
    <n v="576"/>
    <n v="15502"/>
    <n v="8801"/>
    <n v="1882"/>
    <n v="1463"/>
    <n v="0.439"/>
    <n v="0.34"/>
    <n v="0.82799999999999996"/>
    <n v="20.3"/>
    <n v="6.3E-2"/>
    <n v="2014"/>
    <n v="26.9"/>
    <n v="15.3"/>
    <n v="3.3"/>
    <n v="2.5"/>
    <x v="1"/>
    <x v="15"/>
    <n v="1"/>
  </r>
  <r>
    <x v="46"/>
    <x v="21"/>
    <x v="1230"/>
    <s v="Louisville"/>
    <n v="2"/>
    <n v="27"/>
    <n v="131"/>
    <n v="53"/>
    <n v="15"/>
    <n v="19"/>
    <n v="0.31900000000000001"/>
    <n v="0.188"/>
    <n v="0.76900000000000002"/>
    <n v="-0.2"/>
    <n v="-6.8000000000000005E-2"/>
    <n v="2014"/>
    <n v="4.9000000000000004"/>
    <n v="2"/>
    <n v="0.6"/>
    <n v="0.7"/>
    <x v="1"/>
    <x v="16"/>
    <n v="0"/>
  </r>
  <r>
    <x v="47"/>
    <x v="12"/>
    <x v="1231"/>
    <s v="Pitt"/>
    <n v="2"/>
    <n v="40"/>
    <n v="435"/>
    <n v="93"/>
    <n v="57"/>
    <n v="45"/>
    <n v="0.32600000000000001"/>
    <n v="0.23599999999999999"/>
    <n v="0.72"/>
    <n v="0.1"/>
    <n v="6.0000000000000001E-3"/>
    <n v="2014"/>
    <n v="10.9"/>
    <n v="2.2999999999999998"/>
    <n v="1.4"/>
    <n v="1.1000000000000001"/>
    <x v="1"/>
    <x v="17"/>
    <n v="0"/>
  </r>
  <r>
    <x v="52"/>
    <x v="20"/>
    <x v="1232"/>
    <s v="New Mexico"/>
    <n v="2"/>
    <n v="36"/>
    <n v="167"/>
    <n v="44"/>
    <n v="36"/>
    <n v="7"/>
    <n v="0.29599999999999999"/>
    <n v="0.2"/>
    <n v="0.84599999999999997"/>
    <n v="-0.1"/>
    <n v="-2.1000000000000001E-2"/>
    <n v="2014"/>
    <n v="4.5999999999999996"/>
    <n v="1.2"/>
    <n v="1"/>
    <n v="0.2"/>
    <x v="1"/>
    <x v="18"/>
    <n v="0"/>
  </r>
  <r>
    <x v="49"/>
    <x v="13"/>
    <x v="1233"/>
    <s v="NA"/>
    <n v="4"/>
    <n v="116"/>
    <n v="1044"/>
    <n v="325"/>
    <n v="227"/>
    <n v="80"/>
    <n v="0.49099999999999999"/>
    <n v="0.157"/>
    <n v="0.52200000000000002"/>
    <n v="1.3"/>
    <n v="6.2E-2"/>
    <n v="2014"/>
    <n v="9"/>
    <n v="2.8"/>
    <n v="2"/>
    <n v="0.7"/>
    <x v="1"/>
    <x v="20"/>
    <n v="0"/>
  </r>
  <r>
    <x v="53"/>
    <x v="8"/>
    <x v="1234"/>
    <s v="Xavier"/>
    <n v="1"/>
    <n v="64"/>
    <n v="973"/>
    <n v="183"/>
    <n v="87"/>
    <n v="130"/>
    <n v="0.34499999999999997"/>
    <n v="0.19"/>
    <n v="0.54800000000000004"/>
    <n v="0.1"/>
    <n v="6.0000000000000001E-3"/>
    <n v="2014"/>
    <n v="15.2"/>
    <n v="2.9"/>
    <n v="1.4"/>
    <n v="2"/>
    <x v="1"/>
    <x v="24"/>
    <n v="0"/>
  </r>
  <r>
    <x v="54"/>
    <x v="2"/>
    <x v="1235"/>
    <s v="Iowa"/>
    <n v="2"/>
    <n v="44"/>
    <n v="457"/>
    <n v="97"/>
    <n v="69"/>
    <n v="29"/>
    <n v="0.30399999999999999"/>
    <n v="0.222"/>
    <n v="0.375"/>
    <n v="-0.3"/>
    <n v="-2.8000000000000001E-2"/>
    <n v="2014"/>
    <n v="10.4"/>
    <n v="2.2000000000000002"/>
    <n v="1.6"/>
    <n v="0.7"/>
    <x v="1"/>
    <x v="25"/>
    <n v="0"/>
  </r>
  <r>
    <x v="56"/>
    <x v="16"/>
    <x v="1236"/>
    <s v="Tennessee"/>
    <n v="4"/>
    <n v="123"/>
    <n v="1696"/>
    <n v="846"/>
    <n v="225"/>
    <n v="167"/>
    <n v="0.41699999999999998"/>
    <n v="0.35499999999999998"/>
    <n v="0.77200000000000002"/>
    <n v="1.7"/>
    <n v="4.8000000000000001E-2"/>
    <n v="2014"/>
    <n v="13.8"/>
    <n v="6.9"/>
    <n v="1.8"/>
    <n v="1.4"/>
    <x v="1"/>
    <x v="27"/>
    <n v="0"/>
  </r>
  <r>
    <x v="58"/>
    <x v="16"/>
    <x v="1237"/>
    <s v="Baylor"/>
    <n v="2"/>
    <n v="58"/>
    <n v="581"/>
    <n v="205"/>
    <n v="161"/>
    <n v="16"/>
    <n v="0.44400000000000001"/>
    <n v="0.125"/>
    <n v="0.58299999999999996"/>
    <n v="0.9"/>
    <n v="7.0999999999999994E-2"/>
    <n v="2014"/>
    <n v="10"/>
    <n v="3.5"/>
    <n v="2.8"/>
    <n v="0.3"/>
    <x v="1"/>
    <x v="29"/>
    <n v="0"/>
  </r>
  <r>
    <x v="0"/>
    <x v="5"/>
    <x v="1238"/>
    <s v="Kentucky"/>
    <n v="7"/>
    <n v="460"/>
    <n v="15779"/>
    <n v="10621"/>
    <n v="5243"/>
    <n v="1424"/>
    <n v="0.52700000000000002"/>
    <n v="0.39600000000000002"/>
    <n v="0.83299999999999996"/>
    <n v="63"/>
    <n v="0.192"/>
    <n v="2015"/>
    <n v="34.299999999999997"/>
    <n v="23.1"/>
    <n v="11.4"/>
    <n v="3.1"/>
    <x v="0"/>
    <x v="0"/>
    <n v="1"/>
  </r>
  <r>
    <x v="1"/>
    <x v="19"/>
    <x v="1239"/>
    <s v="Ohio State"/>
    <n v="7"/>
    <n v="404"/>
    <n v="11849"/>
    <n v="7175"/>
    <n v="1444"/>
    <n v="2225"/>
    <n v="0.42"/>
    <n v="0.35899999999999999"/>
    <n v="0.77500000000000002"/>
    <n v="13.2"/>
    <n v="5.2999999999999999E-2"/>
    <n v="2015"/>
    <n v="29.3"/>
    <n v="17.8"/>
    <n v="3.6"/>
    <n v="5.5"/>
    <x v="0"/>
    <x v="1"/>
    <n v="1"/>
  </r>
  <r>
    <x v="2"/>
    <x v="21"/>
    <x v="1240"/>
    <s v="Duke"/>
    <n v="6"/>
    <n v="247"/>
    <n v="4827"/>
    <n v="2566"/>
    <n v="1169"/>
    <n v="225"/>
    <n v="0.54200000000000004"/>
    <n v="0.222"/>
    <n v="0.67600000000000005"/>
    <n v="7.2"/>
    <n v="7.0999999999999994E-2"/>
    <n v="2015"/>
    <n v="19.5"/>
    <n v="10.4"/>
    <n v="4.7"/>
    <n v="0.9"/>
    <x v="0"/>
    <x v="2"/>
    <n v="1"/>
  </r>
  <r>
    <x v="3"/>
    <x v="13"/>
    <x v="1241"/>
    <s v="NA"/>
    <n v="6"/>
    <n v="320"/>
    <n v="9907"/>
    <n v="5995"/>
    <n v="2499"/>
    <n v="487"/>
    <n v="0.442"/>
    <n v="0.35299999999999998"/>
    <n v="0.81599999999999995"/>
    <n v="25.1"/>
    <n v="0.122"/>
    <n v="2015"/>
    <n v="31"/>
    <n v="18.7"/>
    <n v="7.8"/>
    <n v="1.5"/>
    <x v="0"/>
    <x v="3"/>
    <n v="1"/>
  </r>
  <r>
    <x v="4"/>
    <x v="3"/>
    <x v="1242"/>
    <s v="NA"/>
    <n v="5"/>
    <n v="330"/>
    <n v="6107"/>
    <n v="2284"/>
    <n v="1026"/>
    <n v="415"/>
    <n v="0.41699999999999998"/>
    <n v="0.31900000000000001"/>
    <n v="0.81200000000000006"/>
    <n v="3.2"/>
    <n v="2.5000000000000001E-2"/>
    <n v="2015"/>
    <n v="18.5"/>
    <n v="6.9"/>
    <n v="3.1"/>
    <n v="1.3"/>
    <x v="0"/>
    <x v="4"/>
    <n v="0"/>
  </r>
  <r>
    <x v="5"/>
    <x v="6"/>
    <x v="1243"/>
    <s v="Kentucky"/>
    <n v="7"/>
    <n v="420"/>
    <n v="9270"/>
    <n v="3675"/>
    <n v="2468"/>
    <n v="597"/>
    <n v="0.54400000000000004"/>
    <n v="0.188"/>
    <n v="0.61199999999999999"/>
    <n v="23.3"/>
    <n v="0.121"/>
    <n v="2015"/>
    <n v="22.1"/>
    <n v="8.8000000000000007"/>
    <n v="5.9"/>
    <n v="1.4"/>
    <x v="0"/>
    <x v="5"/>
    <n v="1"/>
  </r>
  <r>
    <x v="6"/>
    <x v="2"/>
    <x v="1244"/>
    <s v="NA"/>
    <n v="6"/>
    <n v="302"/>
    <n v="7187"/>
    <n v="3299"/>
    <n v="884"/>
    <n v="1143"/>
    <n v="0.40100000000000002"/>
    <n v="0.32300000000000001"/>
    <n v="0.74399999999999999"/>
    <n v="-0.2"/>
    <n v="-1E-3"/>
    <n v="2015"/>
    <n v="23.8"/>
    <n v="10.9"/>
    <n v="2.9"/>
    <n v="3.8"/>
    <x v="0"/>
    <x v="6"/>
    <n v="1"/>
  </r>
  <r>
    <x v="7"/>
    <x v="18"/>
    <x v="1245"/>
    <s v="Arizona"/>
    <n v="7"/>
    <n v="395"/>
    <n v="7844"/>
    <n v="2467"/>
    <n v="1230"/>
    <n v="565"/>
    <n v="0.38"/>
    <n v="0.29899999999999999"/>
    <n v="0.755"/>
    <n v="5.4"/>
    <n v="3.3000000000000002E-2"/>
    <n v="2015"/>
    <n v="19.899999999999999"/>
    <n v="6.2"/>
    <n v="3.1"/>
    <n v="1.4"/>
    <x v="0"/>
    <x v="7"/>
    <n v="1"/>
  </r>
  <r>
    <x v="8"/>
    <x v="4"/>
    <x v="1246"/>
    <s v="Wisconsin"/>
    <n v="7"/>
    <n v="377"/>
    <n v="7925"/>
    <n v="3541"/>
    <n v="1527"/>
    <n v="619"/>
    <n v="0.42899999999999999"/>
    <n v="0.34799999999999998"/>
    <n v="0.74299999999999999"/>
    <n v="15.3"/>
    <n v="9.2999999999999999E-2"/>
    <n v="2015"/>
    <n v="21"/>
    <n v="9.4"/>
    <n v="4.0999999999999996"/>
    <n v="1.6"/>
    <x v="0"/>
    <x v="8"/>
    <n v="1"/>
  </r>
  <r>
    <x v="9"/>
    <x v="8"/>
    <x v="1247"/>
    <s v="Duke"/>
    <n v="7"/>
    <n v="310"/>
    <n v="8022"/>
    <n v="2587"/>
    <n v="1590"/>
    <n v="779"/>
    <n v="0.41399999999999998"/>
    <n v="0.316"/>
    <n v="0.63800000000000001"/>
    <n v="8"/>
    <n v="4.8000000000000001E-2"/>
    <n v="2015"/>
    <n v="25.9"/>
    <n v="8.3000000000000007"/>
    <n v="5.0999999999999996"/>
    <n v="2.5"/>
    <x v="0"/>
    <x v="9"/>
    <n v="1"/>
  </r>
  <r>
    <x v="10"/>
    <x v="24"/>
    <x v="1248"/>
    <s v="Texas"/>
    <n v="7"/>
    <n v="431"/>
    <n v="12379"/>
    <n v="5485"/>
    <n v="2879"/>
    <n v="513"/>
    <n v="0.48899999999999999"/>
    <n v="0.34899999999999998"/>
    <n v="0.76800000000000002"/>
    <n v="33.1"/>
    <n v="0.128"/>
    <n v="2015"/>
    <n v="28.7"/>
    <n v="12.7"/>
    <n v="6.7"/>
    <n v="1.2"/>
    <x v="0"/>
    <x v="10"/>
    <n v="1"/>
  </r>
  <r>
    <x v="11"/>
    <x v="22"/>
    <x v="1249"/>
    <s v="Kentucky"/>
    <n v="7"/>
    <n v="427"/>
    <n v="7678"/>
    <n v="3253"/>
    <n v="1821"/>
    <n v="447"/>
    <n v="0.438"/>
    <n v="0.33600000000000002"/>
    <n v="0.72599999999999998"/>
    <n v="13.1"/>
    <n v="8.2000000000000003E-2"/>
    <n v="2015"/>
    <n v="18"/>
    <n v="7.6"/>
    <n v="4.3"/>
    <n v="1"/>
    <x v="0"/>
    <x v="11"/>
    <n v="1"/>
  </r>
  <r>
    <x v="12"/>
    <x v="15"/>
    <x v="1250"/>
    <s v="Kentucky"/>
    <n v="7"/>
    <n v="460"/>
    <n v="15468"/>
    <n v="10695"/>
    <n v="1788"/>
    <n v="2126"/>
    <n v="0.45400000000000001"/>
    <n v="0.35399999999999998"/>
    <n v="0.86899999999999999"/>
    <n v="27.2"/>
    <n v="8.5000000000000006E-2"/>
    <n v="2015"/>
    <n v="33.6"/>
    <n v="23.3"/>
    <n v="3.9"/>
    <n v="4.5999999999999996"/>
    <x v="0"/>
    <x v="12"/>
    <n v="1"/>
  </r>
  <r>
    <x v="13"/>
    <x v="1"/>
    <x v="1251"/>
    <s v="Murray State"/>
    <n v="7"/>
    <n v="261"/>
    <n v="4531"/>
    <n v="1924"/>
    <n v="559"/>
    <n v="767"/>
    <n v="0.42099999999999999"/>
    <n v="0.36499999999999999"/>
    <n v="0.83499999999999996"/>
    <n v="7.1"/>
    <n v="7.4999999999999997E-2"/>
    <n v="2015"/>
    <n v="17.399999999999999"/>
    <n v="7.4"/>
    <n v="2.1"/>
    <n v="2.9"/>
    <x v="0"/>
    <x v="13"/>
    <n v="1"/>
  </r>
  <r>
    <x v="14"/>
    <x v="9"/>
    <x v="1252"/>
    <s v="Kansas"/>
    <n v="7"/>
    <n v="457"/>
    <n v="11600"/>
    <n v="5508"/>
    <n v="1995"/>
    <n v="461"/>
    <n v="0.433"/>
    <n v="0.32900000000000001"/>
    <n v="0.754"/>
    <n v="16.7"/>
    <n v="6.9000000000000006E-2"/>
    <n v="2015"/>
    <n v="25.4"/>
    <n v="12.1"/>
    <n v="4.4000000000000004"/>
    <n v="1"/>
    <x v="0"/>
    <x v="14"/>
    <n v="1"/>
  </r>
  <r>
    <x v="15"/>
    <x v="14"/>
    <x v="1253"/>
    <s v="Louisville"/>
    <n v="7"/>
    <n v="455"/>
    <n v="11701"/>
    <n v="5584"/>
    <n v="1770"/>
    <n v="1400"/>
    <n v="0.41299999999999998"/>
    <n v="0.373"/>
    <n v="0.81499999999999995"/>
    <n v="21.6"/>
    <n v="8.8999999999999996E-2"/>
    <n v="2015"/>
    <n v="25.7"/>
    <n v="12.3"/>
    <n v="3.9"/>
    <n v="3.1"/>
    <x v="0"/>
    <x v="15"/>
    <n v="1"/>
  </r>
  <r>
    <x v="16"/>
    <x v="12"/>
    <x v="1254"/>
    <s v="UNLV"/>
    <n v="3"/>
    <n v="139"/>
    <n v="1671"/>
    <n v="423"/>
    <n v="158"/>
    <n v="75"/>
    <n v="0.33700000000000002"/>
    <n v="0.313"/>
    <n v="0.69199999999999995"/>
    <n v="-0.6"/>
    <n v="-1.7000000000000001E-2"/>
    <n v="2015"/>
    <n v="12"/>
    <n v="3"/>
    <n v="1.1000000000000001"/>
    <n v="0.5"/>
    <x v="0"/>
    <x v="16"/>
    <n v="0"/>
  </r>
  <r>
    <x v="17"/>
    <x v="11"/>
    <x v="1255"/>
    <s v="Wisconsin"/>
    <n v="5"/>
    <n v="201"/>
    <n v="3097"/>
    <n v="1094"/>
    <n v="607"/>
    <n v="160"/>
    <n v="0.47799999999999998"/>
    <n v="0.28799999999999998"/>
    <n v="0.60599999999999998"/>
    <n v="5.4"/>
    <n v="8.3000000000000004E-2"/>
    <n v="2015"/>
    <n v="15.4"/>
    <n v="5.4"/>
    <n v="3"/>
    <n v="0.8"/>
    <x v="0"/>
    <x v="17"/>
    <n v="0"/>
  </r>
  <r>
    <x v="18"/>
    <x v="23"/>
    <x v="1256"/>
    <s v="Notre Dame"/>
    <n v="5"/>
    <n v="279"/>
    <n v="4998"/>
    <n v="1692"/>
    <n v="530"/>
    <n v="805"/>
    <n v="0.41099999999999998"/>
    <n v="0.32300000000000001"/>
    <n v="0.77"/>
    <n v="8.3000000000000007"/>
    <n v="0.08"/>
    <n v="2015"/>
    <n v="17.899999999999999"/>
    <n v="6.1"/>
    <n v="1.9"/>
    <n v="2.9"/>
    <x v="0"/>
    <x v="18"/>
    <n v="0"/>
  </r>
  <r>
    <x v="19"/>
    <x v="28"/>
    <x v="1257"/>
    <s v="Utah"/>
    <n v="7"/>
    <n v="387"/>
    <n v="8088"/>
    <n v="2840"/>
    <n v="1251"/>
    <n v="1189"/>
    <n v="0.45200000000000001"/>
    <n v="0.35299999999999998"/>
    <n v="0.79500000000000004"/>
    <n v="21.3"/>
    <n v="0.126"/>
    <n v="2015"/>
    <n v="20.9"/>
    <n v="7.3"/>
    <n v="3.2"/>
    <n v="3.1"/>
    <x v="0"/>
    <x v="19"/>
    <n v="1"/>
  </r>
  <r>
    <x v="20"/>
    <x v="26"/>
    <x v="1258"/>
    <s v="Virginia"/>
    <n v="6"/>
    <n v="232"/>
    <n v="3041"/>
    <n v="1203"/>
    <n v="585"/>
    <n v="160"/>
    <n v="0.41199999999999998"/>
    <n v="0.29299999999999998"/>
    <n v="0.77600000000000002"/>
    <n v="4.7"/>
    <n v="7.3999999999999996E-2"/>
    <n v="2015"/>
    <n v="13.1"/>
    <n v="5.2"/>
    <n v="2.5"/>
    <n v="0.7"/>
    <x v="0"/>
    <x v="20"/>
    <n v="1"/>
  </r>
  <r>
    <x v="21"/>
    <x v="20"/>
    <x v="1259"/>
    <s v="Arkansas"/>
    <n v="7"/>
    <n v="432"/>
    <n v="9277"/>
    <n v="4751"/>
    <n v="2803"/>
    <n v="517"/>
    <n v="0.47"/>
    <n v="0.38400000000000001"/>
    <n v="0.752"/>
    <n v="19.899999999999999"/>
    <n v="0.10299999999999999"/>
    <n v="2015"/>
    <n v="21.5"/>
    <n v="11"/>
    <n v="6.5"/>
    <n v="1.2"/>
    <x v="0"/>
    <x v="21"/>
    <n v="1"/>
  </r>
  <r>
    <x v="22"/>
    <x v="17"/>
    <x v="1260"/>
    <s v="Arizona"/>
    <n v="6"/>
    <n v="305"/>
    <n v="6759"/>
    <n v="2760"/>
    <n v="1684"/>
    <n v="579"/>
    <n v="0.44900000000000001"/>
    <n v="0.21199999999999999"/>
    <n v="0.73499999999999999"/>
    <n v="12.9"/>
    <n v="9.0999999999999998E-2"/>
    <n v="2015"/>
    <n v="22.2"/>
    <n v="9"/>
    <n v="5.5"/>
    <n v="1.9"/>
    <x v="0"/>
    <x v="22"/>
    <n v="1"/>
  </r>
  <r>
    <x v="23"/>
    <x v="25"/>
    <x v="1261"/>
    <s v="Duke"/>
    <n v="7"/>
    <n v="435"/>
    <n v="7926"/>
    <n v="2604"/>
    <n v="754"/>
    <n v="1589"/>
    <n v="0.435"/>
    <n v="0.34300000000000003"/>
    <n v="0.82399999999999995"/>
    <n v="17.7"/>
    <n v="0.107"/>
    <n v="2015"/>
    <n v="18.2"/>
    <n v="6"/>
    <n v="1.7"/>
    <n v="3.7"/>
    <x v="0"/>
    <x v="23"/>
    <n v="1"/>
  </r>
  <r>
    <x v="24"/>
    <x v="27"/>
    <x v="1262"/>
    <s v="LSU"/>
    <n v="4"/>
    <n v="184"/>
    <n v="2927"/>
    <n v="998"/>
    <n v="639"/>
    <n v="114"/>
    <n v="0.434"/>
    <n v="0.34599999999999997"/>
    <n v="0.76600000000000001"/>
    <n v="3.2"/>
    <n v="5.2999999999999999E-2"/>
    <n v="2015"/>
    <n v="15.9"/>
    <n v="5.4"/>
    <n v="3.5"/>
    <n v="0.6"/>
    <x v="0"/>
    <x v="24"/>
    <n v="0"/>
  </r>
  <r>
    <x v="26"/>
    <x v="19"/>
    <x v="1263"/>
    <s v="Wyoming"/>
    <n v="7"/>
    <n v="387"/>
    <n v="9345"/>
    <n v="3144"/>
    <n v="2538"/>
    <n v="739"/>
    <n v="0.52800000000000002"/>
    <n v="0.33"/>
    <n v="0.68400000000000005"/>
    <n v="24.3"/>
    <n v="0.125"/>
    <n v="2015"/>
    <n v="24.1"/>
    <n v="8.1"/>
    <n v="6.6"/>
    <n v="1.9"/>
    <x v="0"/>
    <x v="26"/>
    <n v="1"/>
  </r>
  <r>
    <x v="27"/>
    <x v="14"/>
    <x v="1264"/>
    <s v="Georgia State University"/>
    <n v="4"/>
    <n v="45"/>
    <n v="395"/>
    <n v="133"/>
    <n v="46"/>
    <n v="19"/>
    <n v="0.371"/>
    <n v="0.29499999999999998"/>
    <n v="0.81799999999999995"/>
    <n v="0.4"/>
    <n v="5.0999999999999997E-2"/>
    <n v="2015"/>
    <n v="8.8000000000000007"/>
    <n v="3"/>
    <n v="1"/>
    <n v="0.4"/>
    <x v="0"/>
    <x v="27"/>
    <n v="0"/>
  </r>
  <r>
    <x v="28"/>
    <x v="0"/>
    <x v="1265"/>
    <s v="Syracuse"/>
    <n v="3"/>
    <n v="59"/>
    <n v="532"/>
    <n v="194"/>
    <n v="112"/>
    <n v="15"/>
    <n v="0.42599999999999999"/>
    <n v="0.30599999999999999"/>
    <n v="0.54800000000000004"/>
    <n v="0.6"/>
    <n v="5.3999999999999999E-2"/>
    <n v="2015"/>
    <n v="9"/>
    <n v="3.3"/>
    <n v="1.9"/>
    <n v="0.3"/>
    <x v="0"/>
    <x v="28"/>
    <n v="0"/>
  </r>
  <r>
    <x v="29"/>
    <x v="10"/>
    <x v="1266"/>
    <s v="UCLA"/>
    <n v="7"/>
    <n v="344"/>
    <n v="5545"/>
    <n v="1603"/>
    <n v="1600"/>
    <n v="436"/>
    <n v="0.56200000000000006"/>
    <n v="0.17199999999999999"/>
    <n v="0.61499999999999999"/>
    <n v="18.5"/>
    <n v="0.16"/>
    <n v="2015"/>
    <n v="16.100000000000001"/>
    <n v="4.7"/>
    <n v="4.7"/>
    <n v="1.3"/>
    <x v="0"/>
    <x v="29"/>
    <n v="1"/>
  </r>
  <r>
    <x v="30"/>
    <x v="5"/>
    <x v="1267"/>
    <s v="NA"/>
    <n v="5"/>
    <n v="307"/>
    <n v="7593"/>
    <n v="3058"/>
    <n v="1015"/>
    <n v="654"/>
    <n v="0.42"/>
    <n v="0.34899999999999998"/>
    <n v="0.71899999999999997"/>
    <n v="6.6"/>
    <n v="4.2000000000000003E-2"/>
    <n v="2015"/>
    <n v="24.7"/>
    <n v="10"/>
    <n v="3.3"/>
    <n v="2.1"/>
    <x v="1"/>
    <x v="0"/>
    <n v="0"/>
  </r>
  <r>
    <x v="31"/>
    <x v="11"/>
    <x v="1268"/>
    <s v="Louisville"/>
    <n v="7"/>
    <n v="437"/>
    <n v="9468"/>
    <n v="5686"/>
    <n v="2338"/>
    <n v="598"/>
    <n v="0.61899999999999999"/>
    <n v="0.12"/>
    <n v="0.65900000000000003"/>
    <n v="39.200000000000003"/>
    <n v="0.19900000000000001"/>
    <n v="2015"/>
    <n v="21.7"/>
    <n v="13"/>
    <n v="5.4"/>
    <n v="1.4"/>
    <x v="1"/>
    <x v="1"/>
    <n v="1"/>
  </r>
  <r>
    <x v="32"/>
    <x v="14"/>
    <x v="1269"/>
    <s v="LSU"/>
    <n v="3"/>
    <n v="64"/>
    <n v="482"/>
    <n v="152"/>
    <n v="128"/>
    <n v="17"/>
    <n v="0.44900000000000001"/>
    <n v="0.11799999999999999"/>
    <n v="0.60499999999999998"/>
    <n v="0.5"/>
    <n v="0.05"/>
    <n v="2015"/>
    <n v="7.5"/>
    <n v="2.4"/>
    <n v="2"/>
    <n v="0.3"/>
    <x v="1"/>
    <x v="2"/>
    <n v="0"/>
  </r>
  <r>
    <x v="33"/>
    <x v="19"/>
    <x v="1270"/>
    <s v="Stanford"/>
    <n v="3"/>
    <n v="41"/>
    <n v="762"/>
    <n v="161"/>
    <n v="103"/>
    <n v="28"/>
    <n v="0.32800000000000001"/>
    <n v="0.28599999999999998"/>
    <n v="0.85"/>
    <n v="-0.2"/>
    <n v="-1.6E-2"/>
    <n v="2015"/>
    <n v="18.600000000000001"/>
    <n v="3.9"/>
    <n v="2.5"/>
    <n v="0.7"/>
    <x v="1"/>
    <x v="3"/>
    <n v="0"/>
  </r>
  <r>
    <x v="34"/>
    <x v="21"/>
    <x v="1271"/>
    <s v="NA"/>
    <n v="6"/>
    <n v="287"/>
    <n v="4356"/>
    <n v="2084"/>
    <n v="1677"/>
    <n v="308"/>
    <n v="0.53700000000000003"/>
    <n v="0.314"/>
    <n v="0.69199999999999995"/>
    <n v="13.4"/>
    <n v="0.14799999999999999"/>
    <n v="2015"/>
    <n v="15.2"/>
    <n v="7.3"/>
    <n v="5.8"/>
    <n v="1.1000000000000001"/>
    <x v="1"/>
    <x v="4"/>
    <n v="1"/>
  </r>
  <r>
    <x v="35"/>
    <x v="5"/>
    <x v="1272"/>
    <s v="Syracuse"/>
    <n v="2"/>
    <n v="30"/>
    <n v="225"/>
    <n v="63"/>
    <n v="57"/>
    <n v="4"/>
    <n v="0.46700000000000003"/>
    <n v="0"/>
    <n v="0.72399999999999998"/>
    <n v="0.5"/>
    <n v="0.105"/>
    <n v="2015"/>
    <n v="7.5"/>
    <n v="2.1"/>
    <n v="1.9"/>
    <n v="0.1"/>
    <x v="1"/>
    <x v="5"/>
    <n v="0"/>
  </r>
  <r>
    <x v="36"/>
    <x v="21"/>
    <x v="1273"/>
    <s v="Bowling Green"/>
    <n v="7"/>
    <n v="372"/>
    <n v="7861"/>
    <n v="3586"/>
    <n v="2152"/>
    <n v="401"/>
    <n v="0.60599999999999998"/>
    <n v="0.25600000000000001"/>
    <n v="0.745"/>
    <n v="26.6"/>
    <n v="0.16200000000000001"/>
    <n v="2015"/>
    <n v="21.1"/>
    <n v="9.6"/>
    <n v="5.8"/>
    <n v="1.1000000000000001"/>
    <x v="1"/>
    <x v="6"/>
    <n v="1"/>
  </r>
  <r>
    <x v="37"/>
    <x v="18"/>
    <x v="1274"/>
    <s v="Villanova"/>
    <n v="3"/>
    <n v="91"/>
    <n v="859"/>
    <n v="295"/>
    <n v="85"/>
    <n v="71"/>
    <n v="0.377"/>
    <n v="0.30399999999999999"/>
    <n v="0.747"/>
    <n v="0.3"/>
    <n v="1.6E-2"/>
    <n v="2015"/>
    <n v="9.4"/>
    <n v="3.2"/>
    <n v="0.9"/>
    <n v="0.8"/>
    <x v="1"/>
    <x v="7"/>
    <n v="0"/>
  </r>
  <r>
    <x v="39"/>
    <x v="8"/>
    <x v="1275"/>
    <s v="Tennessee"/>
    <n v="7"/>
    <n v="418"/>
    <n v="12533"/>
    <n v="5034"/>
    <n v="1317"/>
    <n v="1125"/>
    <n v="0.42799999999999999"/>
    <n v="0.36099999999999999"/>
    <n v="0.83399999999999996"/>
    <n v="23"/>
    <n v="8.7999999999999995E-2"/>
    <n v="2015"/>
    <n v="30"/>
    <n v="12"/>
    <n v="3.2"/>
    <n v="2.7"/>
    <x v="1"/>
    <x v="9"/>
    <n v="1"/>
  </r>
  <r>
    <x v="40"/>
    <x v="0"/>
    <x v="1276"/>
    <s v="Notre Dame"/>
    <n v="7"/>
    <n v="406"/>
    <n v="7483"/>
    <n v="2367"/>
    <n v="1355"/>
    <n v="505"/>
    <n v="0.44700000000000001"/>
    <n v="0.36599999999999999"/>
    <n v="0.79100000000000004"/>
    <n v="17.600000000000001"/>
    <n v="0.113"/>
    <n v="2015"/>
    <n v="18.399999999999999"/>
    <n v="5.8"/>
    <n v="3.3"/>
    <n v="1.2"/>
    <x v="1"/>
    <x v="10"/>
    <n v="1"/>
  </r>
  <r>
    <x v="42"/>
    <x v="24"/>
    <x v="1277"/>
    <s v="Oregon"/>
    <n v="3"/>
    <n v="127"/>
    <n v="1077"/>
    <n v="429"/>
    <n v="130"/>
    <n v="119"/>
    <n v="0.39300000000000002"/>
    <n v="0.29599999999999999"/>
    <n v="0.76800000000000002"/>
    <n v="0.4"/>
    <n v="1.6E-2"/>
    <n v="2015"/>
    <n v="8.5"/>
    <n v="3.4"/>
    <n v="1"/>
    <n v="0.9"/>
    <x v="1"/>
    <x v="12"/>
    <n v="0"/>
  </r>
  <r>
    <x v="43"/>
    <x v="15"/>
    <x v="1278"/>
    <s v="Kentucky"/>
    <n v="3"/>
    <n v="145"/>
    <n v="2987"/>
    <n v="1012"/>
    <n v="287"/>
    <n v="399"/>
    <n v="0.373"/>
    <n v="0.29399999999999998"/>
    <n v="0.77900000000000003"/>
    <n v="3.2"/>
    <n v="5.0999999999999997E-2"/>
    <n v="2015"/>
    <n v="20.6"/>
    <n v="7"/>
    <n v="2"/>
    <n v="2.8"/>
    <x v="1"/>
    <x v="13"/>
    <n v="0"/>
  </r>
  <r>
    <x v="45"/>
    <x v="12"/>
    <x v="1279"/>
    <s v="UCLA"/>
    <n v="7"/>
    <n v="419"/>
    <n v="9378"/>
    <n v="4732"/>
    <n v="1083"/>
    <n v="623"/>
    <n v="0.46200000000000002"/>
    <n v="0.38200000000000001"/>
    <n v="0.83099999999999996"/>
    <n v="19.7"/>
    <n v="0.10100000000000001"/>
    <n v="2015"/>
    <n v="22.4"/>
    <n v="11.3"/>
    <n v="2.6"/>
    <n v="1.5"/>
    <x v="1"/>
    <x v="15"/>
    <n v="1"/>
  </r>
  <r>
    <x v="47"/>
    <x v="1"/>
    <x v="1280"/>
    <s v="Kentucky"/>
    <n v="1"/>
    <n v="31"/>
    <n v="161"/>
    <n v="55"/>
    <n v="34"/>
    <n v="8"/>
    <n v="0.56399999999999995"/>
    <n v="0"/>
    <n v="0.55000000000000004"/>
    <n v="0.6"/>
    <n v="0.17799999999999999"/>
    <n v="2015"/>
    <n v="5.2"/>
    <n v="1.8"/>
    <n v="1.1000000000000001"/>
    <n v="0.3"/>
    <x v="1"/>
    <x v="17"/>
    <n v="0"/>
  </r>
  <r>
    <x v="54"/>
    <x v="29"/>
    <x v="1281"/>
    <s v="Michigan State"/>
    <n v="1"/>
    <n v="6"/>
    <n v="29"/>
    <n v="5"/>
    <n v="4"/>
    <n v="0"/>
    <n v="0.4"/>
    <n v="0"/>
    <n v="1"/>
    <n v="0"/>
    <n v="6.9000000000000006E-2"/>
    <n v="2015"/>
    <n v="4.8"/>
    <n v="0.8"/>
    <n v="0.7"/>
    <n v="0"/>
    <x v="1"/>
    <x v="25"/>
    <n v="0"/>
  </r>
  <r>
    <x v="0"/>
    <x v="21"/>
    <x v="1282"/>
    <s v="LSU"/>
    <n v="4"/>
    <n v="275"/>
    <n v="9326"/>
    <n v="4382"/>
    <n v="2217"/>
    <n v="2127"/>
    <n v="0.56000000000000005"/>
    <n v="0.14699999999999999"/>
    <n v="0.59699999999999998"/>
    <n v="30.4"/>
    <n v="0.156"/>
    <n v="2016"/>
    <n v="33.9"/>
    <n v="15.9"/>
    <n v="8.1"/>
    <n v="7.7"/>
    <x v="0"/>
    <x v="0"/>
    <n v="0"/>
  </r>
  <r>
    <x v="1"/>
    <x v="19"/>
    <x v="1283"/>
    <s v="Duke"/>
    <n v="6"/>
    <n v="358"/>
    <n v="11756"/>
    <n v="6559"/>
    <n v="1832"/>
    <n v="1346"/>
    <n v="0.45900000000000002"/>
    <n v="0.36199999999999999"/>
    <n v="0.76500000000000001"/>
    <n v="17.399999999999999"/>
    <n v="7.0999999999999994E-2"/>
    <n v="2016"/>
    <n v="32.799999999999997"/>
    <n v="18.3"/>
    <n v="5.0999999999999996"/>
    <n v="3.8"/>
    <x v="0"/>
    <x v="1"/>
    <n v="1"/>
  </r>
  <r>
    <x v="2"/>
    <x v="14"/>
    <x v="1284"/>
    <s v="California"/>
    <n v="6"/>
    <n v="383"/>
    <n v="10918"/>
    <n v="6177"/>
    <n v="1891"/>
    <n v="741"/>
    <n v="0.47"/>
    <n v="0.373"/>
    <n v="0.71199999999999997"/>
    <n v="22.5"/>
    <n v="9.9000000000000005E-2"/>
    <n v="2016"/>
    <n v="28.5"/>
    <n v="16.100000000000001"/>
    <n v="4.9000000000000004"/>
    <n v="1.9"/>
    <x v="0"/>
    <x v="2"/>
    <n v="1"/>
  </r>
  <r>
    <x v="3"/>
    <x v="15"/>
    <x v="1285"/>
    <s v="NA"/>
    <n v="4"/>
    <n v="187"/>
    <n v="3755"/>
    <n v="1014"/>
    <n v="720"/>
    <n v="237"/>
    <n v="0.39900000000000002"/>
    <n v="0.32300000000000001"/>
    <n v="0.65400000000000003"/>
    <n v="0.5"/>
    <n v="6.0000000000000001E-3"/>
    <n v="2016"/>
    <n v="20.100000000000001"/>
    <n v="5.4"/>
    <n v="3.9"/>
    <n v="1.3"/>
    <x v="0"/>
    <x v="3"/>
    <n v="0"/>
  </r>
  <r>
    <x v="4"/>
    <x v="5"/>
    <x v="1286"/>
    <s v="Providence"/>
    <n v="5"/>
    <n v="231"/>
    <n v="5561"/>
    <n v="1889"/>
    <n v="766"/>
    <n v="950"/>
    <n v="0.42"/>
    <n v="0.30499999999999999"/>
    <n v="0.72699999999999998"/>
    <n v="3.7"/>
    <n v="3.2000000000000001E-2"/>
    <n v="2016"/>
    <n v="24.1"/>
    <n v="8.1999999999999993"/>
    <n v="3.3"/>
    <n v="4.0999999999999996"/>
    <x v="0"/>
    <x v="4"/>
    <n v="0"/>
  </r>
  <r>
    <x v="5"/>
    <x v="29"/>
    <x v="1287"/>
    <s v="Oklahoma"/>
    <n v="6"/>
    <n v="446"/>
    <n v="12906"/>
    <n v="7070"/>
    <n v="1895"/>
    <n v="1076"/>
    <n v="0.42899999999999999"/>
    <n v="0.39900000000000002"/>
    <n v="0.86299999999999999"/>
    <n v="16.5"/>
    <n v="6.0999999999999999E-2"/>
    <n v="2016"/>
    <n v="28.9"/>
    <n v="15.9"/>
    <n v="4.2"/>
    <n v="2.4"/>
    <x v="0"/>
    <x v="5"/>
    <n v="1"/>
  </r>
  <r>
    <x v="6"/>
    <x v="2"/>
    <x v="1288"/>
    <s v="Kentucky"/>
    <n v="5"/>
    <n v="345"/>
    <n v="10384"/>
    <n v="5639"/>
    <n v="1258"/>
    <n v="1322"/>
    <n v="0.44600000000000001"/>
    <n v="0.36699999999999999"/>
    <n v="0.878"/>
    <n v="20.8"/>
    <n v="9.6000000000000002E-2"/>
    <n v="2016"/>
    <n v="30.1"/>
    <n v="16.3"/>
    <n v="3.6"/>
    <n v="3.8"/>
    <x v="0"/>
    <x v="6"/>
    <n v="0"/>
  </r>
  <r>
    <x v="7"/>
    <x v="6"/>
    <x v="1289"/>
    <s v="Washington"/>
    <n v="6"/>
    <n v="281"/>
    <n v="5248"/>
    <n v="2167"/>
    <n v="1343"/>
    <n v="293"/>
    <n v="0.45600000000000002"/>
    <n v="0.28999999999999998"/>
    <n v="0.66600000000000004"/>
    <n v="6.2"/>
    <n v="5.6000000000000001E-2"/>
    <n v="2016"/>
    <n v="18.7"/>
    <n v="7.7"/>
    <n v="4.8"/>
    <n v="1"/>
    <x v="0"/>
    <x v="7"/>
    <n v="1"/>
  </r>
  <r>
    <x v="8"/>
    <x v="28"/>
    <x v="1290"/>
    <s v="Utah"/>
    <n v="6"/>
    <n v="397"/>
    <n v="7853"/>
    <n v="2762"/>
    <n v="2339"/>
    <n v="550"/>
    <n v="0.627"/>
    <n v="0.66700000000000004"/>
    <n v="0.51400000000000001"/>
    <n v="27"/>
    <n v="0.16500000000000001"/>
    <n v="2016"/>
    <n v="19.8"/>
    <n v="7"/>
    <n v="5.9"/>
    <n v="1.4"/>
    <x v="0"/>
    <x v="8"/>
    <n v="1"/>
  </r>
  <r>
    <x v="9"/>
    <x v="12"/>
    <x v="1291"/>
    <s v="NA"/>
    <n v="5"/>
    <n v="263"/>
    <n v="3624"/>
    <n v="1216"/>
    <n v="726"/>
    <n v="161"/>
    <n v="0.435"/>
    <n v="0.32700000000000001"/>
    <n v="0.68"/>
    <n v="6.6"/>
    <n v="8.6999999999999994E-2"/>
    <n v="2016"/>
    <n v="13.8"/>
    <n v="4.5999999999999996"/>
    <n v="2.8"/>
    <n v="0.6"/>
    <x v="0"/>
    <x v="9"/>
    <n v="0"/>
  </r>
  <r>
    <x v="10"/>
    <x v="3"/>
    <x v="1292"/>
    <s v="Gonzaga"/>
    <n v="6"/>
    <n v="404"/>
    <n v="11431"/>
    <n v="5747"/>
    <n v="3676"/>
    <n v="1428"/>
    <n v="0.53300000000000003"/>
    <n v="0.32"/>
    <n v="0.72699999999999998"/>
    <n v="34.1"/>
    <n v="0.14299999999999999"/>
    <n v="2016"/>
    <n v="28.3"/>
    <n v="14.2"/>
    <n v="9.1"/>
    <n v="3.5"/>
    <x v="0"/>
    <x v="10"/>
    <n v="1"/>
  </r>
  <r>
    <x v="11"/>
    <x v="22"/>
    <x v="1293"/>
    <s v="Baylor"/>
    <n v="6"/>
    <n v="348"/>
    <n v="8480"/>
    <n v="3667"/>
    <n v="1378"/>
    <n v="619"/>
    <n v="0.41399999999999998"/>
    <n v="0.372"/>
    <n v="0.81899999999999995"/>
    <n v="7.4"/>
    <n v="4.2000000000000003E-2"/>
    <n v="2016"/>
    <n v="24.4"/>
    <n v="10.5"/>
    <n v="4"/>
    <n v="1.8"/>
    <x v="0"/>
    <x v="11"/>
    <n v="1"/>
  </r>
  <r>
    <x v="12"/>
    <x v="15"/>
    <x v="1294"/>
    <s v="NA"/>
    <n v="2"/>
    <n v="39"/>
    <n v="477"/>
    <n v="160"/>
    <n v="123"/>
    <n v="29"/>
    <n v="0.51400000000000001"/>
    <n v="0"/>
    <n v="0.85699999999999998"/>
    <n v="0.4"/>
    <n v="4.3999999999999997E-2"/>
    <n v="2016"/>
    <n v="12.2"/>
    <n v="4.0999999999999996"/>
    <n v="3.2"/>
    <n v="0.7"/>
    <x v="0"/>
    <x v="12"/>
    <n v="0"/>
  </r>
  <r>
    <x v="13"/>
    <x v="20"/>
    <x v="1295"/>
    <s v="Michigan State"/>
    <n v="5"/>
    <n v="256"/>
    <n v="4817"/>
    <n v="1795"/>
    <n v="857"/>
    <n v="466"/>
    <n v="0.39400000000000002"/>
    <n v="0.36"/>
    <n v="0.78700000000000003"/>
    <n v="4.5"/>
    <n v="4.4999999999999998E-2"/>
    <n v="2016"/>
    <n v="18.8"/>
    <n v="7"/>
    <n v="3.3"/>
    <n v="1.8"/>
    <x v="0"/>
    <x v="13"/>
    <n v="0"/>
  </r>
  <r>
    <x v="14"/>
    <x v="2"/>
    <x v="1296"/>
    <s v="NA"/>
    <n v="6"/>
    <n v="282"/>
    <n v="4362"/>
    <n v="1487"/>
    <n v="948"/>
    <n v="177"/>
    <n v="0.42399999999999999"/>
    <n v="0.34499999999999997"/>
    <n v="0.69299999999999995"/>
    <n v="7.1"/>
    <n v="7.9000000000000001E-2"/>
    <n v="2016"/>
    <n v="15.5"/>
    <n v="5.3"/>
    <n v="3.4"/>
    <n v="0.6"/>
    <x v="0"/>
    <x v="14"/>
    <n v="1"/>
  </r>
  <r>
    <x v="15"/>
    <x v="14"/>
    <x v="1297"/>
    <s v="NA"/>
    <n v="2"/>
    <n v="74"/>
    <n v="486"/>
    <n v="173"/>
    <n v="105"/>
    <n v="31"/>
    <n v="0.442"/>
    <n v="0.32300000000000001"/>
    <n v="0.68200000000000005"/>
    <n v="1.1000000000000001"/>
    <n v="0.105"/>
    <n v="2016"/>
    <n v="6.6"/>
    <n v="2.2999999999999998"/>
    <n v="1.4"/>
    <n v="0.4"/>
    <x v="0"/>
    <x v="15"/>
    <n v="0"/>
  </r>
  <r>
    <x v="16"/>
    <x v="27"/>
    <x v="1298"/>
    <s v="Vanderbilt"/>
    <n v="3"/>
    <n v="56"/>
    <n v="579"/>
    <n v="174"/>
    <n v="69"/>
    <n v="78"/>
    <n v="0.35499999999999998"/>
    <n v="0.25"/>
    <n v="0.77600000000000002"/>
    <n v="-0.3"/>
    <n v="-2.8000000000000001E-2"/>
    <n v="2016"/>
    <n v="10.3"/>
    <n v="3.1"/>
    <n v="1.2"/>
    <n v="1.4"/>
    <x v="0"/>
    <x v="16"/>
    <n v="0"/>
  </r>
  <r>
    <x v="17"/>
    <x v="18"/>
    <x v="1299"/>
    <s v="Marquette"/>
    <n v="5"/>
    <n v="83"/>
    <n v="787"/>
    <n v="342"/>
    <n v="206"/>
    <n v="49"/>
    <n v="0.371"/>
    <n v="0.33600000000000002"/>
    <n v="0.77300000000000002"/>
    <n v="0.4"/>
    <n v="2.3E-2"/>
    <n v="2016"/>
    <n v="9.5"/>
    <n v="4.0999999999999996"/>
    <n v="2.5"/>
    <n v="0.6"/>
    <x v="0"/>
    <x v="17"/>
    <n v="0"/>
  </r>
  <r>
    <x v="18"/>
    <x v="2"/>
    <x v="1300"/>
    <s v="Florida State"/>
    <n v="6"/>
    <n v="316"/>
    <n v="6545"/>
    <n v="3239"/>
    <n v="774"/>
    <n v="388"/>
    <n v="0.42899999999999999"/>
    <n v="0.38"/>
    <n v="0.80800000000000005"/>
    <n v="9"/>
    <n v="6.6000000000000003E-2"/>
    <n v="2016"/>
    <n v="20.7"/>
    <n v="10.3"/>
    <n v="2.4"/>
    <n v="1.2"/>
    <x v="0"/>
    <x v="18"/>
    <n v="1"/>
  </r>
  <r>
    <x v="19"/>
    <x v="24"/>
    <x v="1301"/>
    <s v="Michigan"/>
    <n v="6"/>
    <n v="303"/>
    <n v="8318"/>
    <n v="4444"/>
    <n v="1158"/>
    <n v="1197"/>
    <n v="0.436"/>
    <n v="0.33300000000000002"/>
    <n v="0.73699999999999999"/>
    <n v="11.6"/>
    <n v="6.7000000000000004E-2"/>
    <n v="2016"/>
    <n v="27.5"/>
    <n v="14.7"/>
    <n v="3.8"/>
    <n v="4"/>
    <x v="0"/>
    <x v="19"/>
    <n v="1"/>
  </r>
  <r>
    <x v="20"/>
    <x v="9"/>
    <x v="1302"/>
    <s v="Saint Joseph's"/>
    <n v="6"/>
    <n v="288"/>
    <n v="5593"/>
    <n v="1744"/>
    <n v="939"/>
    <n v="527"/>
    <n v="0.47499999999999998"/>
    <n v="0.28299999999999997"/>
    <n v="0.61099999999999999"/>
    <n v="4.4000000000000004"/>
    <n v="3.7999999999999999E-2"/>
    <n v="2016"/>
    <n v="19.399999999999999"/>
    <n v="6.1"/>
    <n v="3.3"/>
    <n v="1.8"/>
    <x v="0"/>
    <x v="20"/>
    <n v="1"/>
  </r>
  <r>
    <x v="21"/>
    <x v="4"/>
    <x v="1303"/>
    <s v="Syracuse"/>
    <n v="3"/>
    <n v="70"/>
    <n v="625"/>
    <n v="198"/>
    <n v="70"/>
    <n v="24"/>
    <n v="0.35799999999999998"/>
    <n v="0.30099999999999999"/>
    <n v="0.78300000000000003"/>
    <n v="-0.1"/>
    <n v="-8.9999999999999993E-3"/>
    <n v="2016"/>
    <n v="8.9"/>
    <n v="2.8"/>
    <n v="1"/>
    <n v="0.3"/>
    <x v="0"/>
    <x v="21"/>
    <n v="0"/>
  </r>
  <r>
    <x v="22"/>
    <x v="14"/>
    <x v="1304"/>
    <s v="NA"/>
    <n v="3"/>
    <n v="113"/>
    <n v="1517"/>
    <n v="674"/>
    <n v="446"/>
    <n v="64"/>
    <n v="0.58099999999999996"/>
    <n v="0"/>
    <n v="0.71099999999999997"/>
    <n v="3.5"/>
    <n v="0.11"/>
    <n v="2016"/>
    <n v="13.4"/>
    <n v="6"/>
    <n v="3.9"/>
    <n v="0.6"/>
    <x v="0"/>
    <x v="22"/>
    <n v="0"/>
  </r>
  <r>
    <x v="23"/>
    <x v="21"/>
    <x v="1305"/>
    <s v="NA"/>
    <n v="6"/>
    <n v="312"/>
    <n v="5021"/>
    <n v="1859"/>
    <n v="623"/>
    <n v="279"/>
    <n v="0.39"/>
    <n v="0.33400000000000002"/>
    <n v="0.82799999999999996"/>
    <n v="4.3"/>
    <n v="4.1000000000000002E-2"/>
    <n v="2016"/>
    <n v="16.100000000000001"/>
    <n v="6"/>
    <n v="2"/>
    <n v="0.9"/>
    <x v="0"/>
    <x v="23"/>
    <n v="1"/>
  </r>
  <r>
    <x v="24"/>
    <x v="7"/>
    <x v="1306"/>
    <s v="UNC"/>
    <n v="2"/>
    <n v="21"/>
    <n v="107"/>
    <n v="47"/>
    <n v="34"/>
    <n v="3"/>
    <n v="0.44900000000000001"/>
    <n v="0"/>
    <n v="0.6"/>
    <n v="0.1"/>
    <n v="6.2E-2"/>
    <n v="2016"/>
    <n v="5.0999999999999996"/>
    <n v="2.2000000000000002"/>
    <n v="1.6"/>
    <n v="0.1"/>
    <x v="0"/>
    <x v="24"/>
    <n v="0"/>
  </r>
  <r>
    <x v="25"/>
    <x v="21"/>
    <x v="1307"/>
    <s v="NA"/>
    <n v="5"/>
    <n v="240"/>
    <n v="4603"/>
    <n v="1961"/>
    <n v="553"/>
    <n v="333"/>
    <n v="0.40699999999999997"/>
    <n v="0.35899999999999999"/>
    <n v="0.77300000000000002"/>
    <n v="7.3"/>
    <n v="7.5999999999999998E-2"/>
    <n v="2016"/>
    <n v="19.2"/>
    <n v="8.1999999999999993"/>
    <n v="2.2999999999999998"/>
    <n v="1.4"/>
    <x v="0"/>
    <x v="25"/>
    <n v="0"/>
  </r>
  <r>
    <x v="26"/>
    <x v="28"/>
    <x v="1308"/>
    <s v="New Mexico State"/>
    <n v="6"/>
    <n v="376"/>
    <n v="10866"/>
    <n v="5703"/>
    <n v="2323"/>
    <n v="1110"/>
    <n v="0.48899999999999999"/>
    <n v="0.32800000000000001"/>
    <n v="0.77400000000000002"/>
    <n v="30.2"/>
    <n v="0.13400000000000001"/>
    <n v="2016"/>
    <n v="28.9"/>
    <n v="15.2"/>
    <n v="6.2"/>
    <n v="3"/>
    <x v="0"/>
    <x v="26"/>
    <n v="1"/>
  </r>
  <r>
    <x v="27"/>
    <x v="15"/>
    <x v="1309"/>
    <s v="Kentucky"/>
    <n v="4"/>
    <n v="148"/>
    <n v="2595"/>
    <n v="1069"/>
    <n v="662"/>
    <n v="152"/>
    <n v="0.49199999999999999"/>
    <n v="0.35299999999999998"/>
    <n v="0.748"/>
    <n v="4.4000000000000004"/>
    <n v="8.1000000000000003E-2"/>
    <n v="2016"/>
    <n v="17.5"/>
    <n v="7.2"/>
    <n v="4.5"/>
    <n v="1"/>
    <x v="0"/>
    <x v="27"/>
    <n v="0"/>
  </r>
  <r>
    <x v="28"/>
    <x v="16"/>
    <x v="1310"/>
    <s v="Washington"/>
    <n v="5"/>
    <n v="304"/>
    <n v="7681"/>
    <n v="3591"/>
    <n v="1789"/>
    <n v="1399"/>
    <n v="0.45400000000000001"/>
    <n v="0.32800000000000001"/>
    <n v="0.75800000000000001"/>
    <n v="14.8"/>
    <n v="9.1999999999999998E-2"/>
    <n v="2016"/>
    <n v="25.3"/>
    <n v="11.8"/>
    <n v="5.9"/>
    <n v="4.5999999999999996"/>
    <x v="0"/>
    <x v="28"/>
    <n v="0"/>
  </r>
  <r>
    <x v="29"/>
    <x v="10"/>
    <x v="1311"/>
    <s v="Vanderbilt"/>
    <n v="6"/>
    <n v="180"/>
    <n v="2582"/>
    <n v="896"/>
    <n v="585"/>
    <n v="136"/>
    <n v="0.66100000000000003"/>
    <n v="0.28599999999999998"/>
    <n v="0.7"/>
    <n v="7.6"/>
    <n v="0.14099999999999999"/>
    <n v="2016"/>
    <n v="14.3"/>
    <n v="5"/>
    <n v="3.3"/>
    <n v="0.8"/>
    <x v="0"/>
    <x v="29"/>
    <n v="1"/>
  </r>
  <r>
    <x v="30"/>
    <x v="14"/>
    <x v="1312"/>
    <s v="Michigan State"/>
    <n v="3"/>
    <n v="107"/>
    <n v="1299"/>
    <n v="454"/>
    <n v="346"/>
    <n v="47"/>
    <n v="0.59899999999999998"/>
    <n v="0"/>
    <n v="0.63500000000000001"/>
    <n v="3.6"/>
    <n v="0.13100000000000001"/>
    <n v="2016"/>
    <n v="12.1"/>
    <n v="4.2"/>
    <n v="3.2"/>
    <n v="0.4"/>
    <x v="1"/>
    <x v="0"/>
    <n v="0"/>
  </r>
  <r>
    <x v="31"/>
    <x v="19"/>
    <x v="1313"/>
    <s v="NA"/>
    <n v="6"/>
    <n v="339"/>
    <n v="6327"/>
    <n v="2750"/>
    <n v="2148"/>
    <n v="367"/>
    <n v="0.59799999999999998"/>
    <n v="0.1"/>
    <n v="0.753"/>
    <n v="24.1"/>
    <n v="0.183"/>
    <n v="2016"/>
    <n v="18.7"/>
    <n v="8.1"/>
    <n v="6.3"/>
    <n v="1.1000000000000001"/>
    <x v="1"/>
    <x v="1"/>
    <n v="1"/>
  </r>
  <r>
    <x v="32"/>
    <x v="7"/>
    <x v="1314"/>
    <s v="Kansas"/>
    <n v="5"/>
    <n v="183"/>
    <n v="2186"/>
    <n v="958"/>
    <n v="759"/>
    <n v="78"/>
    <n v="0.59599999999999997"/>
    <n v="0.28599999999999998"/>
    <n v="0.77400000000000002"/>
    <n v="6.3"/>
    <n v="0.13900000000000001"/>
    <n v="2016"/>
    <n v="11.9"/>
    <n v="5.2"/>
    <n v="4.0999999999999996"/>
    <n v="0.4"/>
    <x v="1"/>
    <x v="2"/>
    <n v="0"/>
  </r>
  <r>
    <x v="33"/>
    <x v="15"/>
    <x v="1315"/>
    <s v="Kentucky"/>
    <n v="3"/>
    <n v="133"/>
    <n v="2782"/>
    <n v="998"/>
    <n v="223"/>
    <n v="537"/>
    <n v="0.40300000000000002"/>
    <n v="0.28000000000000003"/>
    <n v="0.80800000000000005"/>
    <n v="0.5"/>
    <n v="8.0000000000000002E-3"/>
    <n v="2016"/>
    <n v="20.9"/>
    <n v="7.5"/>
    <n v="1.7"/>
    <n v="4"/>
    <x v="1"/>
    <x v="3"/>
    <n v="0"/>
  </r>
  <r>
    <x v="35"/>
    <x v="12"/>
    <x v="1316"/>
    <s v="Virginia"/>
    <n v="6"/>
    <n v="325"/>
    <n v="9780"/>
    <n v="4991"/>
    <n v="1357"/>
    <n v="1550"/>
    <n v="0.46400000000000002"/>
    <n v="0.377"/>
    <n v="0.88300000000000001"/>
    <n v="23.8"/>
    <n v="0.11700000000000001"/>
    <n v="2016"/>
    <n v="30.1"/>
    <n v="15.4"/>
    <n v="4.2"/>
    <n v="4.8"/>
    <x v="1"/>
    <x v="5"/>
    <n v="1"/>
  </r>
  <r>
    <x v="36"/>
    <x v="11"/>
    <x v="1317"/>
    <s v="Louisville"/>
    <n v="2"/>
    <n v="6"/>
    <n v="74"/>
    <n v="18"/>
    <n v="14"/>
    <n v="4"/>
    <n v="0.58299999999999996"/>
    <n v="0"/>
    <n v="1"/>
    <n v="0.1"/>
    <n v="4.2999999999999997E-2"/>
    <n v="2016"/>
    <n v="12.3"/>
    <n v="3"/>
    <n v="2.2999999999999998"/>
    <n v="0.7"/>
    <x v="1"/>
    <x v="6"/>
    <n v="0"/>
  </r>
  <r>
    <x v="37"/>
    <x v="12"/>
    <x v="1318"/>
    <s v="UNLV"/>
    <n v="5"/>
    <n v="199"/>
    <n v="3373"/>
    <n v="760"/>
    <n v="319"/>
    <n v="270"/>
    <n v="0.42"/>
    <n v="0.30499999999999999"/>
    <n v="0.78500000000000003"/>
    <n v="4.4000000000000004"/>
    <n v="6.2E-2"/>
    <n v="2016"/>
    <n v="16.899999999999999"/>
    <n v="3.8"/>
    <n v="1.6"/>
    <n v="1.4"/>
    <x v="1"/>
    <x v="7"/>
    <n v="0"/>
  </r>
  <r>
    <x v="39"/>
    <x v="29"/>
    <x v="1319"/>
    <s v="Maryland"/>
    <n v="1"/>
    <n v="7"/>
    <n v="24"/>
    <n v="10"/>
    <n v="6"/>
    <n v="0"/>
    <n v="0.23100000000000001"/>
    <n v="0"/>
    <n v="1"/>
    <n v="-0.1"/>
    <n v="-0.21099999999999999"/>
    <n v="2016"/>
    <n v="3.4"/>
    <n v="1.4"/>
    <n v="0.9"/>
    <n v="0"/>
    <x v="1"/>
    <x v="9"/>
    <n v="0"/>
  </r>
  <r>
    <x v="40"/>
    <x v="3"/>
    <x v="1320"/>
    <s v="UNLV"/>
    <n v="1"/>
    <n v="19"/>
    <n v="108"/>
    <n v="23"/>
    <n v="35"/>
    <n v="4"/>
    <n v="0.32300000000000001"/>
    <n v="0"/>
    <n v="0.6"/>
    <n v="0"/>
    <n v="-5.0000000000000001E-3"/>
    <n v="2016"/>
    <n v="5.7"/>
    <n v="1.2"/>
    <n v="1.8"/>
    <n v="0.2"/>
    <x v="1"/>
    <x v="10"/>
    <n v="0"/>
  </r>
  <r>
    <x v="41"/>
    <x v="22"/>
    <x v="1321"/>
    <s v="Seton Hall"/>
    <n v="2"/>
    <n v="89"/>
    <n v="1823"/>
    <n v="643"/>
    <n v="210"/>
    <n v="212"/>
    <n v="0.41099999999999998"/>
    <n v="0.30499999999999999"/>
    <n v="0.78800000000000003"/>
    <n v="-0.9"/>
    <n v="-2.5000000000000001E-2"/>
    <n v="2016"/>
    <n v="20.5"/>
    <n v="7.2"/>
    <n v="2.4"/>
    <n v="2.4"/>
    <x v="1"/>
    <x v="11"/>
    <n v="0"/>
  </r>
  <r>
    <x v="42"/>
    <x v="11"/>
    <x v="1322"/>
    <s v="NA"/>
    <n v="2"/>
    <n v="19"/>
    <n v="125"/>
    <n v="24"/>
    <n v="22"/>
    <n v="2"/>
    <n v="0.21199999999999999"/>
    <n v="0.105"/>
    <n v="0.66700000000000004"/>
    <n v="-0.2"/>
    <n v="-9.2999999999999999E-2"/>
    <n v="2016"/>
    <n v="6.6"/>
    <n v="1.3"/>
    <n v="1.2"/>
    <n v="0.1"/>
    <x v="1"/>
    <x v="12"/>
    <n v="0"/>
  </r>
  <r>
    <x v="44"/>
    <x v="14"/>
    <x v="1323"/>
    <s v="Notre Dame"/>
    <n v="3"/>
    <n v="26"/>
    <n v="136"/>
    <n v="48"/>
    <n v="19"/>
    <n v="17"/>
    <n v="0.48599999999999999"/>
    <n v="0.28599999999999998"/>
    <n v="0.66700000000000004"/>
    <n v="0.2"/>
    <n v="8.6999999999999994E-2"/>
    <n v="2016"/>
    <n v="5.2"/>
    <n v="1.8"/>
    <n v="0.7"/>
    <n v="0.7"/>
    <x v="1"/>
    <x v="14"/>
    <n v="0"/>
  </r>
  <r>
    <x v="45"/>
    <x v="26"/>
    <x v="1324"/>
    <s v="Purdue"/>
    <n v="1"/>
    <n v="22"/>
    <n v="163"/>
    <n v="48"/>
    <n v="36"/>
    <n v="4"/>
    <n v="0.40500000000000003"/>
    <n v="0.5"/>
    <n v="0.45"/>
    <n v="0"/>
    <n v="-1E-3"/>
    <n v="2016"/>
    <n v="7.4"/>
    <n v="2.2000000000000002"/>
    <n v="1.6"/>
    <n v="0.2"/>
    <x v="1"/>
    <x v="15"/>
    <n v="0"/>
  </r>
  <r>
    <x v="46"/>
    <x v="3"/>
    <x v="1325"/>
    <s v="Maryland"/>
    <n v="6"/>
    <n v="232"/>
    <n v="3037"/>
    <n v="1140"/>
    <n v="405"/>
    <n v="125"/>
    <n v="0.45900000000000002"/>
    <n v="0.29699999999999999"/>
    <n v="0.72"/>
    <n v="3.7"/>
    <n v="5.8000000000000003E-2"/>
    <n v="2016"/>
    <n v="13.1"/>
    <n v="4.9000000000000004"/>
    <n v="1.7"/>
    <n v="0.5"/>
    <x v="1"/>
    <x v="16"/>
    <n v="1"/>
  </r>
  <r>
    <x v="47"/>
    <x v="20"/>
    <x v="1326"/>
    <s v="NA"/>
    <n v="2"/>
    <n v="98"/>
    <n v="1667"/>
    <n v="458"/>
    <n v="256"/>
    <n v="82"/>
    <n v="0.371"/>
    <n v="0.33500000000000002"/>
    <n v="0.76900000000000002"/>
    <n v="0"/>
    <n v="-1E-3"/>
    <n v="2016"/>
    <n v="17"/>
    <n v="4.7"/>
    <n v="2.6"/>
    <n v="0.8"/>
    <x v="1"/>
    <x v="17"/>
    <n v="0"/>
  </r>
  <r>
    <x v="52"/>
    <x v="18"/>
    <x v="1327"/>
    <s v="Syracuse"/>
    <n v="1"/>
    <n v="9"/>
    <n v="32"/>
    <n v="4"/>
    <n v="3"/>
    <n v="2"/>
    <n v="0.1"/>
    <n v="0"/>
    <n v="1"/>
    <n v="-0.1"/>
    <n v="-0.13600000000000001"/>
    <n v="2016"/>
    <n v="3.6"/>
    <n v="0.4"/>
    <n v="0.3"/>
    <n v="0.2"/>
    <x v="1"/>
    <x v="18"/>
    <n v="0"/>
  </r>
  <r>
    <x v="48"/>
    <x v="24"/>
    <x v="1328"/>
    <s v="Iowa State"/>
    <n v="6"/>
    <n v="283"/>
    <n v="3981"/>
    <n v="1667"/>
    <n v="563"/>
    <n v="228"/>
    <n v="0.435"/>
    <n v="0.40200000000000002"/>
    <n v="0.86499999999999999"/>
    <n v="7.4"/>
    <n v="8.8999999999999996E-2"/>
    <n v="2016"/>
    <n v="14.1"/>
    <n v="5.9"/>
    <n v="2"/>
    <n v="0.8"/>
    <x v="1"/>
    <x v="19"/>
    <n v="1"/>
  </r>
  <r>
    <x v="49"/>
    <x v="14"/>
    <x v="1329"/>
    <s v="Providence"/>
    <n v="1"/>
    <n v="3"/>
    <n v="10"/>
    <n v="0"/>
    <n v="2"/>
    <n v="0"/>
    <n v="0"/>
    <n v="0"/>
    <n v="0"/>
    <n v="-0.1"/>
    <n v="-0.47299999999999998"/>
    <n v="2016"/>
    <n v="3.3"/>
    <n v="0"/>
    <n v="0.7"/>
    <n v="0"/>
    <x v="1"/>
    <x v="20"/>
    <n v="0"/>
  </r>
  <r>
    <x v="50"/>
    <x v="22"/>
    <x v="1330"/>
    <s v="Weber State"/>
    <n v="2"/>
    <n v="18"/>
    <n v="91"/>
    <n v="31"/>
    <n v="27"/>
    <n v="2"/>
    <n v="0.54500000000000004"/>
    <n v="0.2"/>
    <n v="0.5"/>
    <n v="0.3"/>
    <n v="0.13200000000000001"/>
    <n v="2016"/>
    <n v="5.0999999999999996"/>
    <n v="1.7"/>
    <n v="1.5"/>
    <n v="0.1"/>
    <x v="1"/>
    <x v="21"/>
    <n v="0"/>
  </r>
  <r>
    <x v="57"/>
    <x v="2"/>
    <x v="1331"/>
    <s v="NA"/>
    <n v="1"/>
    <n v="13"/>
    <n v="38"/>
    <n v="14"/>
    <n v="14"/>
    <n v="3"/>
    <n v="0.33300000000000002"/>
    <n v="0.125"/>
    <n v="0.75"/>
    <n v="0"/>
    <n v="-8.0000000000000002E-3"/>
    <n v="2016"/>
    <n v="2.9"/>
    <n v="1.1000000000000001"/>
    <n v="1.1000000000000001"/>
    <n v="0.2"/>
    <x v="1"/>
    <x v="22"/>
    <n v="0"/>
  </r>
  <r>
    <x v="51"/>
    <x v="9"/>
    <x v="1332"/>
    <s v="Oakland"/>
    <n v="2"/>
    <n v="58"/>
    <n v="526"/>
    <n v="223"/>
    <n v="59"/>
    <n v="78"/>
    <n v="0.36399999999999999"/>
    <n v="0.26800000000000002"/>
    <n v="0.754"/>
    <n v="-0.4"/>
    <n v="-4.1000000000000002E-2"/>
    <n v="2016"/>
    <n v="9.1"/>
    <n v="3.8"/>
    <n v="1"/>
    <n v="1.3"/>
    <x v="1"/>
    <x v="23"/>
    <n v="0"/>
  </r>
  <r>
    <x v="53"/>
    <x v="0"/>
    <x v="1333"/>
    <s v="UNC"/>
    <n v="1"/>
    <n v="5"/>
    <n v="28"/>
    <n v="12"/>
    <n v="4"/>
    <n v="3"/>
    <n v="0.28599999999999998"/>
    <n v="0.25"/>
    <n v="1"/>
    <n v="0"/>
    <n v="-6.0000000000000001E-3"/>
    <n v="2016"/>
    <n v="5.6"/>
    <n v="2.4"/>
    <n v="0.8"/>
    <n v="0.6"/>
    <x v="1"/>
    <x v="24"/>
    <n v="0"/>
  </r>
  <r>
    <x v="54"/>
    <x v="2"/>
    <x v="1334"/>
    <s v="UConn"/>
    <n v="2"/>
    <n v="25"/>
    <n v="232"/>
    <n v="69"/>
    <n v="52"/>
    <n v="30"/>
    <n v="0.39400000000000002"/>
    <n v="0.35699999999999998"/>
    <n v="0.5"/>
    <n v="0"/>
    <n v="0"/>
    <n v="2016"/>
    <n v="9.3000000000000007"/>
    <n v="2.8"/>
    <n v="2.1"/>
    <n v="1.2"/>
    <x v="1"/>
    <x v="25"/>
    <n v="0"/>
  </r>
  <r>
    <x v="56"/>
    <x v="14"/>
    <x v="1335"/>
    <s v="Iowa State"/>
    <n v="5"/>
    <n v="202"/>
    <n v="2583"/>
    <n v="926"/>
    <n v="376"/>
    <n v="110"/>
    <n v="0.42799999999999999"/>
    <n v="0.35699999999999998"/>
    <n v="0.71799999999999997"/>
    <n v="2.8"/>
    <n v="5.1999999999999998E-2"/>
    <n v="2016"/>
    <n v="12.8"/>
    <n v="4.5999999999999996"/>
    <n v="1.9"/>
    <n v="0.5"/>
    <x v="1"/>
    <x v="27"/>
    <n v="0"/>
  </r>
  <r>
    <x v="58"/>
    <x v="22"/>
    <x v="1336"/>
    <s v="California"/>
    <n v="3"/>
    <n v="106"/>
    <n v="1639"/>
    <n v="549"/>
    <n v="228"/>
    <n v="126"/>
    <n v="0.42499999999999999"/>
    <n v="0.20300000000000001"/>
    <n v="0.67100000000000004"/>
    <n v="0.2"/>
    <n v="6.0000000000000001E-3"/>
    <n v="2016"/>
    <n v="15.5"/>
    <n v="5.2"/>
    <n v="2.2000000000000002"/>
    <n v="1.2"/>
    <x v="1"/>
    <x v="29"/>
    <n v="0"/>
  </r>
  <r>
    <x v="0"/>
    <x v="21"/>
    <x v="1337"/>
    <s v="Washington"/>
    <n v="4"/>
    <n v="113"/>
    <n v="2891"/>
    <n v="1228"/>
    <n v="376"/>
    <n v="524"/>
    <n v="0.44700000000000001"/>
    <n v="0.26500000000000001"/>
    <n v="0.69499999999999995"/>
    <n v="3.1"/>
    <n v="5.1999999999999998E-2"/>
    <n v="2017"/>
    <n v="25.6"/>
    <n v="10.9"/>
    <n v="3.3"/>
    <n v="4.5999999999999996"/>
    <x v="0"/>
    <x v="0"/>
    <n v="0"/>
  </r>
  <r>
    <x v="1"/>
    <x v="19"/>
    <x v="1338"/>
    <s v="UCLA"/>
    <n v="5"/>
    <n v="252"/>
    <n v="8187"/>
    <n v="2995"/>
    <n v="1447"/>
    <n v="1563"/>
    <n v="0.4"/>
    <n v="0.36399999999999999"/>
    <n v="0.57799999999999996"/>
    <n v="11.7"/>
    <n v="6.8000000000000005E-2"/>
    <n v="2017"/>
    <n v="32.5"/>
    <n v="11.9"/>
    <n v="5.7"/>
    <n v="6.2"/>
    <x v="0"/>
    <x v="1"/>
    <n v="0"/>
  </r>
  <r>
    <x v="2"/>
    <x v="14"/>
    <x v="1339"/>
    <s v="Duke"/>
    <n v="5"/>
    <n v="345"/>
    <n v="11473"/>
    <n v="7033"/>
    <n v="2280"/>
    <n v="1005"/>
    <n v="0.45300000000000001"/>
    <n v="0.38"/>
    <n v="0.84199999999999997"/>
    <n v="31.5"/>
    <n v="0.13200000000000001"/>
    <n v="2017"/>
    <n v="33.299999999999997"/>
    <n v="20.399999999999999"/>
    <n v="6.6"/>
    <n v="2.9"/>
    <x v="0"/>
    <x v="2"/>
    <n v="0"/>
  </r>
  <r>
    <x v="3"/>
    <x v="15"/>
    <x v="1340"/>
    <s v="Kansas"/>
    <n v="5"/>
    <n v="280"/>
    <n v="6598"/>
    <n v="3224"/>
    <n v="1141"/>
    <n v="529"/>
    <n v="0.41699999999999998"/>
    <n v="0.29299999999999998"/>
    <n v="0.67900000000000005"/>
    <n v="-1.6"/>
    <n v="-1.2E-2"/>
    <n v="2017"/>
    <n v="23.6"/>
    <n v="11.5"/>
    <n v="4.0999999999999996"/>
    <n v="1.9"/>
    <x v="0"/>
    <x v="3"/>
    <n v="0"/>
  </r>
  <r>
    <x v="4"/>
    <x v="6"/>
    <x v="1341"/>
    <s v="Kentucky"/>
    <n v="5"/>
    <n v="311"/>
    <n v="9894"/>
    <n v="5826"/>
    <n v="1094"/>
    <n v="1922"/>
    <n v="0.45900000000000002"/>
    <n v="0.317"/>
    <n v="0.72499999999999998"/>
    <n v="15"/>
    <n v="7.2999999999999995E-2"/>
    <n v="2017"/>
    <n v="31.8"/>
    <n v="18.7"/>
    <n v="3.5"/>
    <n v="6.2"/>
    <x v="0"/>
    <x v="4"/>
    <n v="0"/>
  </r>
  <r>
    <x v="5"/>
    <x v="3"/>
    <x v="1342"/>
    <s v="Florida State"/>
    <n v="3"/>
    <n v="136"/>
    <n v="3512"/>
    <n v="1269"/>
    <n v="741"/>
    <n v="146"/>
    <n v="0.435"/>
    <n v="0.33"/>
    <n v="0.79700000000000004"/>
    <n v="6.7"/>
    <n v="9.0999999999999998E-2"/>
    <n v="2017"/>
    <n v="25.8"/>
    <n v="9.3000000000000007"/>
    <n v="5.4"/>
    <n v="1.1000000000000001"/>
    <x v="0"/>
    <x v="5"/>
    <n v="0"/>
  </r>
  <r>
    <x v="6"/>
    <x v="5"/>
    <x v="1343"/>
    <s v="Arizona"/>
    <n v="5"/>
    <n v="259"/>
    <n v="7659"/>
    <n v="3955"/>
    <n v="1761"/>
    <n v="329"/>
    <n v="0.439"/>
    <n v="0.36299999999999999"/>
    <n v="0.84699999999999998"/>
    <n v="14.7"/>
    <n v="9.1999999999999998E-2"/>
    <n v="2017"/>
    <n v="29.6"/>
    <n v="15.3"/>
    <n v="6.8"/>
    <n v="1.3"/>
    <x v="0"/>
    <x v="6"/>
    <n v="0"/>
  </r>
  <r>
    <x v="7"/>
    <x v="13"/>
    <x v="1344"/>
    <s v="NA"/>
    <n v="5"/>
    <n v="258"/>
    <n v="4708"/>
    <n v="1356"/>
    <n v="479"/>
    <n v="616"/>
    <n v="0.36799999999999999"/>
    <n v="0.33"/>
    <n v="0.77400000000000002"/>
    <n v="0.3"/>
    <n v="3.0000000000000001E-3"/>
    <n v="2017"/>
    <n v="18.2"/>
    <n v="5.3"/>
    <n v="1.9"/>
    <n v="2.4"/>
    <x v="0"/>
    <x v="7"/>
    <n v="0"/>
  </r>
  <r>
    <x v="8"/>
    <x v="26"/>
    <x v="1345"/>
    <s v="NC State"/>
    <n v="5"/>
    <n v="216"/>
    <n v="5152"/>
    <n v="2317"/>
    <n v="636"/>
    <n v="917"/>
    <n v="0.40200000000000002"/>
    <n v="0.312"/>
    <n v="0.65200000000000002"/>
    <n v="-0.3"/>
    <n v="-3.0000000000000001E-3"/>
    <n v="2017"/>
    <n v="23.9"/>
    <n v="10.7"/>
    <n v="2.9"/>
    <n v="4.2"/>
    <x v="0"/>
    <x v="8"/>
    <n v="0"/>
  </r>
  <r>
    <x v="9"/>
    <x v="6"/>
    <x v="1346"/>
    <s v="Gonzaga"/>
    <n v="4"/>
    <n v="159"/>
    <n v="2773"/>
    <n v="910"/>
    <n v="640"/>
    <n v="150"/>
    <n v="0.44400000000000001"/>
    <n v="0.32700000000000001"/>
    <n v="0.71699999999999997"/>
    <n v="4"/>
    <n v="6.9000000000000006E-2"/>
    <n v="2017"/>
    <n v="17.399999999999999"/>
    <n v="5.7"/>
    <n v="4"/>
    <n v="0.9"/>
    <x v="0"/>
    <x v="9"/>
    <n v="0"/>
  </r>
  <r>
    <x v="10"/>
    <x v="4"/>
    <x v="1347"/>
    <s v="Kentucky"/>
    <n v="5"/>
    <n v="285"/>
    <n v="5567"/>
    <n v="2802"/>
    <n v="633"/>
    <n v="536"/>
    <n v="0.41799999999999998"/>
    <n v="0.35299999999999998"/>
    <n v="0.82899999999999996"/>
    <n v="4.7"/>
    <n v="4.1000000000000002E-2"/>
    <n v="2017"/>
    <n v="19.5"/>
    <n v="9.8000000000000007"/>
    <n v="2.2000000000000002"/>
    <n v="1.9"/>
    <x v="0"/>
    <x v="10"/>
    <n v="0"/>
  </r>
  <r>
    <x v="11"/>
    <x v="18"/>
    <x v="1348"/>
    <s v="Duke"/>
    <n v="5"/>
    <n v="277"/>
    <n v="6442"/>
    <n v="2724"/>
    <n v="792"/>
    <n v="570"/>
    <n v="0.44900000000000001"/>
    <n v="0.42199999999999999"/>
    <n v="0.86399999999999999"/>
    <n v="13.1"/>
    <n v="9.8000000000000004E-2"/>
    <n v="2017"/>
    <n v="23.3"/>
    <n v="9.8000000000000007"/>
    <n v="2.9"/>
    <n v="2.1"/>
    <x v="0"/>
    <x v="11"/>
    <n v="0"/>
  </r>
  <r>
    <x v="12"/>
    <x v="2"/>
    <x v="1349"/>
    <s v="Louisville"/>
    <n v="5"/>
    <n v="324"/>
    <n v="10906"/>
    <n v="7685"/>
    <n v="1345"/>
    <n v="1423"/>
    <n v="0.441"/>
    <n v="0.36"/>
    <n v="0.83499999999999996"/>
    <n v="27.3"/>
    <n v="0.12"/>
    <n v="2017"/>
    <n v="33.700000000000003"/>
    <n v="23.7"/>
    <n v="4.2"/>
    <n v="4.4000000000000004"/>
    <x v="0"/>
    <x v="12"/>
    <n v="0"/>
  </r>
  <r>
    <x v="13"/>
    <x v="8"/>
    <x v="1350"/>
    <s v="Kentucky"/>
    <n v="5"/>
    <n v="321"/>
    <n v="8975"/>
    <n v="4182"/>
    <n v="2634"/>
    <n v="1118"/>
    <n v="0.55300000000000005"/>
    <n v="0.14599999999999999"/>
    <n v="0.74"/>
    <n v="32.1"/>
    <n v="0.17199999999999999"/>
    <n v="2017"/>
    <n v="28"/>
    <n v="13"/>
    <n v="8.1999999999999993"/>
    <n v="3.5"/>
    <x v="0"/>
    <x v="13"/>
    <n v="0"/>
  </r>
  <r>
    <x v="14"/>
    <x v="17"/>
    <x v="1351"/>
    <s v="UNC"/>
    <n v="5"/>
    <n v="255"/>
    <n v="4779"/>
    <n v="1656"/>
    <n v="637"/>
    <n v="276"/>
    <n v="0.42599999999999999"/>
    <n v="0.32100000000000001"/>
    <n v="0.79900000000000004"/>
    <n v="5.3"/>
    <n v="5.2999999999999999E-2"/>
    <n v="2017"/>
    <n v="18.7"/>
    <n v="6.5"/>
    <n v="2.5"/>
    <n v="1.1000000000000001"/>
    <x v="0"/>
    <x v="14"/>
    <n v="0"/>
  </r>
  <r>
    <x v="15"/>
    <x v="20"/>
    <x v="1352"/>
    <s v="Creighton"/>
    <n v="4"/>
    <n v="22"/>
    <n v="296"/>
    <n v="86"/>
    <n v="60"/>
    <n v="19"/>
    <n v="0.40400000000000003"/>
    <n v="0.25"/>
    <n v="0.66700000000000004"/>
    <n v="0.4"/>
    <n v="6.6000000000000003E-2"/>
    <n v="2017"/>
    <n v="13.5"/>
    <n v="3.9"/>
    <n v="2.7"/>
    <n v="0.9"/>
    <x v="0"/>
    <x v="15"/>
    <n v="0"/>
  </r>
  <r>
    <x v="16"/>
    <x v="12"/>
    <x v="1353"/>
    <s v="Michigan"/>
    <n v="5"/>
    <n v="145"/>
    <n v="1797"/>
    <n v="641"/>
    <n v="450"/>
    <n v="107"/>
    <n v="0.41699999999999998"/>
    <n v="0.32700000000000001"/>
    <n v="0.61799999999999999"/>
    <n v="2.8"/>
    <n v="7.2999999999999995E-2"/>
    <n v="2017"/>
    <n v="12.4"/>
    <n v="4.4000000000000004"/>
    <n v="3.1"/>
    <n v="0.7"/>
    <x v="0"/>
    <x v="16"/>
    <n v="0"/>
  </r>
  <r>
    <x v="17"/>
    <x v="24"/>
    <x v="1354"/>
    <s v="UCLA"/>
    <n v="4"/>
    <n v="146"/>
    <n v="1238"/>
    <n v="477"/>
    <n v="283"/>
    <n v="43"/>
    <n v="0.49199999999999999"/>
    <n v="0.34100000000000003"/>
    <n v="0.58499999999999996"/>
    <n v="2.7"/>
    <n v="0.104"/>
    <n v="2017"/>
    <n v="8.5"/>
    <n v="3.3"/>
    <n v="1.9"/>
    <n v="0.3"/>
    <x v="0"/>
    <x v="17"/>
    <n v="0"/>
  </r>
  <r>
    <x v="18"/>
    <x v="9"/>
    <x v="1355"/>
    <s v="Wake Forest"/>
    <n v="5"/>
    <n v="289"/>
    <n v="8389"/>
    <n v="4800"/>
    <n v="2416"/>
    <n v="451"/>
    <n v="0.56200000000000006"/>
    <n v="0.38200000000000001"/>
    <n v="0.78"/>
    <n v="28.3"/>
    <n v="0.16200000000000001"/>
    <n v="2017"/>
    <n v="29"/>
    <n v="16.600000000000001"/>
    <n v="8.4"/>
    <n v="1.6"/>
    <x v="0"/>
    <x v="18"/>
    <n v="0"/>
  </r>
  <r>
    <x v="19"/>
    <x v="17"/>
    <x v="1356"/>
    <s v="Duke"/>
    <n v="3"/>
    <n v="142"/>
    <n v="1835"/>
    <n v="832"/>
    <n v="543"/>
    <n v="174"/>
    <n v="0.51100000000000001"/>
    <n v="0.25800000000000001"/>
    <n v="0.67100000000000004"/>
    <n v="3"/>
    <n v="7.9000000000000001E-2"/>
    <n v="2017"/>
    <n v="12.9"/>
    <n v="5.9"/>
    <n v="3.8"/>
    <n v="1.2"/>
    <x v="0"/>
    <x v="19"/>
    <n v="0"/>
  </r>
  <r>
    <x v="20"/>
    <x v="1"/>
    <x v="1357"/>
    <s v="NA"/>
    <n v="4"/>
    <n v="204"/>
    <n v="4000"/>
    <n v="924"/>
    <n v="263"/>
    <n v="144"/>
    <n v="0.40400000000000003"/>
    <n v="0.33400000000000002"/>
    <n v="0.753"/>
    <n v="4.4000000000000004"/>
    <n v="5.2999999999999999E-2"/>
    <n v="2017"/>
    <n v="19.600000000000001"/>
    <n v="4.5"/>
    <n v="1.3"/>
    <n v="0.7"/>
    <x v="0"/>
    <x v="20"/>
    <n v="0"/>
  </r>
  <r>
    <x v="21"/>
    <x v="0"/>
    <x v="1358"/>
    <s v="Texas"/>
    <n v="5"/>
    <n v="335"/>
    <n v="8883"/>
    <n v="3851"/>
    <n v="2913"/>
    <n v="466"/>
    <n v="0.623"/>
    <n v="0.189"/>
    <n v="0.69799999999999995"/>
    <n v="34.6"/>
    <n v="0.187"/>
    <n v="2017"/>
    <n v="26.5"/>
    <n v="11.5"/>
    <n v="8.6999999999999993"/>
    <n v="1.4"/>
    <x v="0"/>
    <x v="21"/>
    <n v="0"/>
  </r>
  <r>
    <x v="22"/>
    <x v="28"/>
    <x v="1359"/>
    <s v="Indiana"/>
    <n v="5"/>
    <n v="295"/>
    <n v="7873"/>
    <n v="3056"/>
    <n v="1213"/>
    <n v="414"/>
    <n v="0.46899999999999997"/>
    <n v="0.36899999999999999"/>
    <n v="0.70599999999999996"/>
    <n v="16.8"/>
    <n v="0.10299999999999999"/>
    <n v="2017"/>
    <n v="26.7"/>
    <n v="10.4"/>
    <n v="4.0999999999999996"/>
    <n v="1.4"/>
    <x v="0"/>
    <x v="22"/>
    <n v="0"/>
  </r>
  <r>
    <x v="23"/>
    <x v="22"/>
    <x v="1360"/>
    <s v="Syracuse"/>
    <n v="2"/>
    <n v="26"/>
    <n v="96"/>
    <n v="23"/>
    <n v="18"/>
    <n v="6"/>
    <n v="0.5"/>
    <n v="0.4"/>
    <n v="0.33300000000000002"/>
    <n v="0.2"/>
    <n v="8.4000000000000005E-2"/>
    <n v="2017"/>
    <n v="3.7"/>
    <n v="0.9"/>
    <n v="0.7"/>
    <n v="0.2"/>
    <x v="0"/>
    <x v="23"/>
    <n v="0"/>
  </r>
  <r>
    <x v="24"/>
    <x v="3"/>
    <x v="1361"/>
    <s v="NA"/>
    <n v="2"/>
    <n v="28"/>
    <n v="443"/>
    <n v="156"/>
    <n v="108"/>
    <n v="19"/>
    <n v="0.52100000000000002"/>
    <n v="0"/>
    <n v="0.58599999999999997"/>
    <n v="0.4"/>
    <n v="3.7999999999999999E-2"/>
    <n v="2017"/>
    <n v="15.8"/>
    <n v="5.6"/>
    <n v="3.9"/>
    <n v="0.7"/>
    <x v="0"/>
    <x v="24"/>
    <n v="0"/>
  </r>
  <r>
    <x v="25"/>
    <x v="17"/>
    <x v="1362"/>
    <s v="Purdue"/>
    <n v="3"/>
    <n v="75"/>
    <n v="655"/>
    <n v="169"/>
    <n v="218"/>
    <n v="56"/>
    <n v="0.438"/>
    <n v="0.11799999999999999"/>
    <n v="0.61399999999999999"/>
    <n v="-0.2"/>
    <n v="-1.4999999999999999E-2"/>
    <n v="2017"/>
    <n v="8.6999999999999993"/>
    <n v="2.2999999999999998"/>
    <n v="2.9"/>
    <n v="0.7"/>
    <x v="0"/>
    <x v="25"/>
    <n v="0"/>
  </r>
  <r>
    <x v="26"/>
    <x v="0"/>
    <x v="1363"/>
    <s v="Utah"/>
    <n v="5"/>
    <n v="331"/>
    <n v="10020"/>
    <n v="5103"/>
    <n v="2038"/>
    <n v="696"/>
    <n v="0.44800000000000001"/>
    <n v="0.33800000000000002"/>
    <n v="0.72199999999999998"/>
    <n v="14.3"/>
    <n v="6.9000000000000006E-2"/>
    <n v="2017"/>
    <n v="30.3"/>
    <n v="15.4"/>
    <n v="6.2"/>
    <n v="2.1"/>
    <x v="0"/>
    <x v="26"/>
    <n v="0"/>
  </r>
  <r>
    <x v="27"/>
    <x v="19"/>
    <x v="1364"/>
    <s v="UNC"/>
    <n v="5"/>
    <n v="157"/>
    <n v="1912"/>
    <n v="748"/>
    <n v="699"/>
    <n v="84"/>
    <n v="0.63500000000000001"/>
    <n v="0.42899999999999999"/>
    <n v="0.67500000000000004"/>
    <n v="7.3"/>
    <n v="0.184"/>
    <n v="2017"/>
    <n v="12.2"/>
    <n v="4.8"/>
    <n v="4.5"/>
    <n v="0.5"/>
    <x v="0"/>
    <x v="27"/>
    <n v="0"/>
  </r>
  <r>
    <x v="28"/>
    <x v="16"/>
    <x v="1365"/>
    <s v="Colorado"/>
    <n v="5"/>
    <n v="241"/>
    <n v="6215"/>
    <n v="2790"/>
    <n v="793"/>
    <n v="929"/>
    <n v="0.44400000000000001"/>
    <n v="0.34100000000000003"/>
    <n v="0.83399999999999996"/>
    <n v="13.9"/>
    <n v="0.107"/>
    <n v="2017"/>
    <n v="25.8"/>
    <n v="11.6"/>
    <n v="3.3"/>
    <n v="3.9"/>
    <x v="0"/>
    <x v="28"/>
    <n v="0"/>
  </r>
  <r>
    <x v="29"/>
    <x v="22"/>
    <x v="1366"/>
    <s v="Villanova"/>
    <n v="5"/>
    <n v="286"/>
    <n v="7763"/>
    <n v="2731"/>
    <n v="1646"/>
    <n v="571"/>
    <n v="0.44800000000000001"/>
    <n v="0.34799999999999998"/>
    <n v="0.73599999999999999"/>
    <n v="15.1"/>
    <n v="9.4E-2"/>
    <n v="2017"/>
    <n v="27.1"/>
    <n v="9.5"/>
    <n v="5.8"/>
    <n v="2"/>
    <x v="0"/>
    <x v="29"/>
    <n v="0"/>
  </r>
  <r>
    <x v="30"/>
    <x v="4"/>
    <x v="1367"/>
    <s v="Duke"/>
    <n v="4"/>
    <n v="203"/>
    <n v="3672"/>
    <n v="1724"/>
    <n v="372"/>
    <n v="207"/>
    <n v="0.42599999999999999"/>
    <n v="0.33800000000000002"/>
    <n v="0.77400000000000002"/>
    <n v="2.2999999999999998"/>
    <n v="0.03"/>
    <n v="2017"/>
    <n v="18.100000000000001"/>
    <n v="8.5"/>
    <n v="1.8"/>
    <n v="1"/>
    <x v="1"/>
    <x v="0"/>
    <n v="0"/>
  </r>
  <r>
    <x v="31"/>
    <x v="15"/>
    <x v="1368"/>
    <s v="Miami (FL)"/>
    <n v="3"/>
    <n v="60"/>
    <n v="688"/>
    <n v="192"/>
    <n v="118"/>
    <n v="45"/>
    <n v="0.39300000000000002"/>
    <n v="0.379"/>
    <n v="0.70599999999999996"/>
    <n v="0.8"/>
    <n v="5.3999999999999999E-2"/>
    <n v="2017"/>
    <n v="11.5"/>
    <n v="3.2"/>
    <n v="2"/>
    <n v="0.8"/>
    <x v="1"/>
    <x v="1"/>
    <n v="0"/>
  </r>
  <r>
    <x v="32"/>
    <x v="3"/>
    <x v="1369"/>
    <s v="Kansas State"/>
    <n v="5"/>
    <n v="226"/>
    <n v="3827"/>
    <n v="989"/>
    <n v="555"/>
    <n v="208"/>
    <n v="0.40799999999999997"/>
    <n v="0.29199999999999998"/>
    <n v="0.79800000000000004"/>
    <n v="4.2"/>
    <n v="5.2999999999999999E-2"/>
    <n v="2017"/>
    <n v="16.899999999999999"/>
    <n v="4.4000000000000004"/>
    <n v="2.5"/>
    <n v="0.9"/>
    <x v="1"/>
    <x v="2"/>
    <n v="0"/>
  </r>
  <r>
    <x v="33"/>
    <x v="6"/>
    <x v="1370"/>
    <s v="Kansas"/>
    <n v="4"/>
    <n v="103"/>
    <n v="1616"/>
    <n v="695"/>
    <n v="204"/>
    <n v="272"/>
    <n v="0.39600000000000002"/>
    <n v="0.30099999999999999"/>
    <n v="0.755"/>
    <n v="1.2"/>
    <n v="3.5000000000000003E-2"/>
    <n v="2017"/>
    <n v="15.7"/>
    <n v="6.7"/>
    <n v="2"/>
    <n v="2.6"/>
    <x v="1"/>
    <x v="3"/>
    <n v="0"/>
  </r>
  <r>
    <x v="34"/>
    <x v="3"/>
    <x v="1371"/>
    <s v="California"/>
    <n v="2"/>
    <n v="85"/>
    <n v="1237"/>
    <n v="485"/>
    <n v="364"/>
    <n v="86"/>
    <n v="0.55500000000000005"/>
    <n v="0.2"/>
    <n v="0.74299999999999999"/>
    <n v="3.2"/>
    <n v="0.125"/>
    <n v="2017"/>
    <n v="14.6"/>
    <n v="5.7"/>
    <n v="4.3"/>
    <n v="1"/>
    <x v="1"/>
    <x v="4"/>
    <n v="0"/>
  </r>
  <r>
    <x v="35"/>
    <x v="21"/>
    <x v="1372"/>
    <s v="NA"/>
    <n v="2"/>
    <n v="51"/>
    <n v="686"/>
    <n v="217"/>
    <n v="174"/>
    <n v="40"/>
    <n v="0.48599999999999999"/>
    <n v="0.34"/>
    <n v="0.48399999999999999"/>
    <n v="1.4"/>
    <n v="9.8000000000000004E-2"/>
    <n v="2017"/>
    <n v="13.5"/>
    <n v="4.3"/>
    <n v="3.4"/>
    <n v="0.8"/>
    <x v="1"/>
    <x v="5"/>
    <n v="0"/>
  </r>
  <r>
    <x v="36"/>
    <x v="14"/>
    <x v="1373"/>
    <s v="SMU"/>
    <n v="5"/>
    <n v="276"/>
    <n v="4026"/>
    <n v="941"/>
    <n v="599"/>
    <n v="122"/>
    <n v="0.38200000000000001"/>
    <n v="0.34300000000000003"/>
    <n v="0.70599999999999996"/>
    <n v="5"/>
    <n v="5.8999999999999997E-2"/>
    <n v="2017"/>
    <n v="14.6"/>
    <n v="3.4"/>
    <n v="2.2000000000000002"/>
    <n v="0.4"/>
    <x v="1"/>
    <x v="6"/>
    <n v="0"/>
  </r>
  <r>
    <x v="37"/>
    <x v="20"/>
    <x v="1374"/>
    <s v="Oregon"/>
    <n v="5"/>
    <n v="161"/>
    <n v="1937"/>
    <n v="593"/>
    <n v="497"/>
    <n v="201"/>
    <n v="0.55200000000000005"/>
    <n v="0.2"/>
    <n v="0.63600000000000001"/>
    <n v="4.9000000000000004"/>
    <n v="0.121"/>
    <n v="2017"/>
    <n v="12"/>
    <n v="3.7"/>
    <n v="3.1"/>
    <n v="1.2"/>
    <x v="1"/>
    <x v="7"/>
    <n v="0"/>
  </r>
  <r>
    <x v="38"/>
    <x v="21"/>
    <x v="1375"/>
    <s v="Oklahoma State"/>
    <n v="2"/>
    <n v="56"/>
    <n v="843"/>
    <n v="237"/>
    <n v="96"/>
    <n v="110"/>
    <n v="0.34499999999999997"/>
    <n v="0.26300000000000001"/>
    <n v="0.77600000000000002"/>
    <n v="-0.4"/>
    <n v="-2.1999999999999999E-2"/>
    <n v="2017"/>
    <n v="15.1"/>
    <n v="4.2"/>
    <n v="1.7"/>
    <n v="2"/>
    <x v="1"/>
    <x v="8"/>
    <n v="0"/>
  </r>
  <r>
    <x v="39"/>
    <x v="29"/>
    <x v="1376"/>
    <s v="Florida State"/>
    <n v="4"/>
    <n v="207"/>
    <n v="4012"/>
    <n v="1503"/>
    <n v="537"/>
    <n v="230"/>
    <n v="0.40200000000000002"/>
    <n v="0.314"/>
    <n v="0.78"/>
    <n v="0.8"/>
    <n v="0.01"/>
    <n v="2017"/>
    <n v="19.399999999999999"/>
    <n v="7.3"/>
    <n v="2.6"/>
    <n v="1.1000000000000001"/>
    <x v="1"/>
    <x v="9"/>
    <n v="0"/>
  </r>
  <r>
    <x v="40"/>
    <x v="9"/>
    <x v="1377"/>
    <s v="Oregon"/>
    <n v="2"/>
    <n v="104"/>
    <n v="1672"/>
    <n v="701"/>
    <n v="243"/>
    <n v="135"/>
    <n v="0.38900000000000001"/>
    <n v="0.35"/>
    <n v="0.66900000000000004"/>
    <n v="1"/>
    <n v="0.03"/>
    <n v="2017"/>
    <n v="16.100000000000001"/>
    <n v="6.7"/>
    <n v="2.2999999999999998"/>
    <n v="1.3"/>
    <x v="1"/>
    <x v="10"/>
    <n v="0"/>
  </r>
  <r>
    <x v="41"/>
    <x v="22"/>
    <x v="1378"/>
    <s v="Indiana"/>
    <n v="5"/>
    <n v="159"/>
    <n v="3263"/>
    <n v="1661"/>
    <n v="927"/>
    <n v="211"/>
    <n v="0.59299999999999997"/>
    <n v="0.35599999999999998"/>
    <n v="0.755"/>
    <n v="11.4"/>
    <n v="0.16700000000000001"/>
    <n v="2017"/>
    <n v="20.5"/>
    <n v="10.4"/>
    <n v="5.8"/>
    <n v="1.3"/>
    <x v="1"/>
    <x v="11"/>
    <n v="0"/>
  </r>
  <r>
    <x v="42"/>
    <x v="11"/>
    <x v="1379"/>
    <s v="NA"/>
    <n v="4"/>
    <n v="144"/>
    <n v="1804"/>
    <n v="744"/>
    <n v="525"/>
    <n v="175"/>
    <n v="0.59099999999999997"/>
    <n v="0.308"/>
    <n v="0.67"/>
    <n v="6.3"/>
    <n v="0.16700000000000001"/>
    <n v="2017"/>
    <n v="12.5"/>
    <n v="5.2"/>
    <n v="3.6"/>
    <n v="1.2"/>
    <x v="1"/>
    <x v="12"/>
    <n v="0"/>
  </r>
  <r>
    <x v="43"/>
    <x v="13"/>
    <x v="1380"/>
    <s v="Oregon"/>
    <n v="5"/>
    <n v="213"/>
    <n v="4242"/>
    <n v="1594"/>
    <n v="532"/>
    <n v="315"/>
    <n v="0.41699999999999998"/>
    <n v="0.34499999999999997"/>
    <n v="0.71099999999999997"/>
    <n v="3"/>
    <n v="3.4000000000000002E-2"/>
    <n v="2017"/>
    <n v="19.899999999999999"/>
    <n v="7.5"/>
    <n v="2.5"/>
    <n v="1.5"/>
    <x v="1"/>
    <x v="13"/>
    <n v="0"/>
  </r>
  <r>
    <x v="44"/>
    <x v="11"/>
    <x v="1381"/>
    <s v="Oregon"/>
    <n v="5"/>
    <n v="261"/>
    <n v="7376"/>
    <n v="3752"/>
    <n v="796"/>
    <n v="515"/>
    <n v="0.42"/>
    <n v="0.35099999999999998"/>
    <n v="0.8"/>
    <n v="4.8"/>
    <n v="3.1E-2"/>
    <n v="2017"/>
    <n v="28.3"/>
    <n v="14.4"/>
    <n v="3"/>
    <n v="2"/>
    <x v="1"/>
    <x v="14"/>
    <n v="0"/>
  </r>
  <r>
    <x v="45"/>
    <x v="21"/>
    <x v="1382"/>
    <s v="SMU"/>
    <n v="5"/>
    <n v="253"/>
    <n v="4329"/>
    <n v="1410"/>
    <n v="862"/>
    <n v="262"/>
    <n v="0.42299999999999999"/>
    <n v="0.37"/>
    <n v="0.79100000000000004"/>
    <n v="6.6"/>
    <n v="7.2999999999999995E-2"/>
    <n v="2017"/>
    <n v="17.100000000000001"/>
    <n v="5.6"/>
    <n v="3.4"/>
    <n v="1"/>
    <x v="1"/>
    <x v="15"/>
    <n v="0"/>
  </r>
  <r>
    <x v="46"/>
    <x v="24"/>
    <x v="1383"/>
    <s v="UCLA"/>
    <n v="2"/>
    <n v="14"/>
    <n v="36"/>
    <n v="13"/>
    <n v="12"/>
    <n v="1"/>
    <n v="0.33300000000000002"/>
    <n v="0"/>
    <n v="0.83299999999999996"/>
    <n v="0"/>
    <n v="5.7000000000000002E-2"/>
    <n v="2017"/>
    <n v="2.6"/>
    <n v="0.9"/>
    <n v="0.9"/>
    <n v="0.1"/>
    <x v="1"/>
    <x v="16"/>
    <n v="0"/>
  </r>
  <r>
    <x v="47"/>
    <x v="12"/>
    <x v="1384"/>
    <s v="South Carolina"/>
    <n v="4"/>
    <n v="160"/>
    <n v="1721"/>
    <n v="401"/>
    <n v="206"/>
    <n v="111"/>
    <n v="0.40699999999999997"/>
    <n v="0.34"/>
    <n v="0.67200000000000004"/>
    <n v="1.1000000000000001"/>
    <n v="3.2000000000000001E-2"/>
    <n v="2017"/>
    <n v="10.8"/>
    <n v="2.5"/>
    <n v="1.3"/>
    <n v="0.7"/>
    <x v="1"/>
    <x v="17"/>
    <n v="0"/>
  </r>
  <r>
    <x v="52"/>
    <x v="2"/>
    <x v="1385"/>
    <s v="NA"/>
    <n v="3"/>
    <n v="69"/>
    <n v="478"/>
    <n v="162"/>
    <n v="83"/>
    <n v="30"/>
    <n v="0.48399999999999999"/>
    <n v="0.33300000000000002"/>
    <n v="0.79300000000000004"/>
    <n v="0.8"/>
    <n v="7.8E-2"/>
    <n v="2017"/>
    <n v="6.9"/>
    <n v="2.2999999999999998"/>
    <n v="1.2"/>
    <n v="0.4"/>
    <x v="1"/>
    <x v="18"/>
    <n v="0"/>
  </r>
  <r>
    <x v="49"/>
    <x v="2"/>
    <x v="1386"/>
    <s v="Iowa State"/>
    <n v="5"/>
    <n v="257"/>
    <n v="6388"/>
    <n v="2660"/>
    <n v="583"/>
    <n v="934"/>
    <n v="0.47799999999999998"/>
    <n v="0.38800000000000001"/>
    <n v="0.82299999999999995"/>
    <n v="16.600000000000001"/>
    <n v="0.125"/>
    <n v="2017"/>
    <n v="24.9"/>
    <n v="10.4"/>
    <n v="2.2999999999999998"/>
    <n v="3.6"/>
    <x v="1"/>
    <x v="20"/>
    <n v="0"/>
  </r>
  <r>
    <x v="50"/>
    <x v="29"/>
    <x v="1387"/>
    <s v="Xavier"/>
    <n v="4"/>
    <n v="108"/>
    <n v="1520"/>
    <n v="619"/>
    <n v="165"/>
    <n v="114"/>
    <n v="0.47399999999999998"/>
    <n v="0.33300000000000002"/>
    <n v="0.72799999999999998"/>
    <n v="1.9"/>
    <n v="6.0999999999999999E-2"/>
    <n v="2017"/>
    <n v="14.1"/>
    <n v="5.7"/>
    <n v="1.5"/>
    <n v="1.1000000000000001"/>
    <x v="1"/>
    <x v="21"/>
    <n v="0"/>
  </r>
  <r>
    <x v="57"/>
    <x v="14"/>
    <x v="1388"/>
    <s v="Arizona"/>
    <n v="3"/>
    <n v="47"/>
    <n v="640"/>
    <n v="258"/>
    <n v="71"/>
    <n v="109"/>
    <n v="0.435"/>
    <n v="0.34899999999999998"/>
    <n v="0.75700000000000001"/>
    <n v="1"/>
    <n v="7.4999999999999997E-2"/>
    <n v="2017"/>
    <n v="13.6"/>
    <n v="5.5"/>
    <n v="1.5"/>
    <n v="2.2999999999999998"/>
    <x v="1"/>
    <x v="22"/>
    <n v="0"/>
  </r>
  <r>
    <x v="51"/>
    <x v="15"/>
    <x v="1389"/>
    <s v="Valparaiso"/>
    <n v="1"/>
    <n v="20"/>
    <n v="225"/>
    <n v="82"/>
    <n v="37"/>
    <n v="12"/>
    <n v="0.378"/>
    <n v="0.31"/>
    <n v="0.8"/>
    <n v="0.3"/>
    <n v="5.5E-2"/>
    <n v="2017"/>
    <n v="11.3"/>
    <n v="4.0999999999999996"/>
    <n v="1.9"/>
    <n v="0.6"/>
    <x v="1"/>
    <x v="23"/>
    <n v="0"/>
  </r>
  <r>
    <x v="53"/>
    <x v="22"/>
    <x v="1390"/>
    <s v="Gonzaga"/>
    <n v="1"/>
    <n v="10"/>
    <n v="50"/>
    <n v="14"/>
    <n v="6"/>
    <n v="6"/>
    <n v="0.313"/>
    <n v="0.28599999999999998"/>
    <n v="1"/>
    <n v="0"/>
    <n v="1.7000000000000001E-2"/>
    <n v="2017"/>
    <n v="5"/>
    <n v="1.4"/>
    <n v="0.6"/>
    <n v="0.6"/>
    <x v="1"/>
    <x v="24"/>
    <n v="0"/>
  </r>
  <r>
    <x v="54"/>
    <x v="14"/>
    <x v="1391"/>
    <s v="California"/>
    <n v="1"/>
    <n v="13"/>
    <n v="115"/>
    <n v="39"/>
    <n v="19"/>
    <n v="8"/>
    <n v="0.57699999999999996"/>
    <n v="0.42899999999999999"/>
    <n v="0.46200000000000002"/>
    <n v="0.2"/>
    <n v="9.8000000000000004E-2"/>
    <n v="2017"/>
    <n v="8.8000000000000007"/>
    <n v="3"/>
    <n v="1.5"/>
    <n v="0.6"/>
    <x v="1"/>
    <x v="25"/>
    <n v="0"/>
  </r>
  <r>
    <x v="59"/>
    <x v="16"/>
    <x v="1392"/>
    <s v="Clemson"/>
    <n v="1"/>
    <n v="27"/>
    <n v="439"/>
    <n v="114"/>
    <n v="98"/>
    <n v="13"/>
    <n v="0.443"/>
    <n v="0.25600000000000001"/>
    <n v="0.76900000000000002"/>
    <n v="0.3"/>
    <n v="0.03"/>
    <n v="2017"/>
    <n v="16.3"/>
    <n v="4.2"/>
    <n v="3.6"/>
    <n v="0.5"/>
    <x v="1"/>
    <x v="28"/>
    <n v="0"/>
  </r>
  <r>
    <x v="0"/>
    <x v="15"/>
    <x v="1393"/>
    <s v="Arizona"/>
    <n v="4"/>
    <n v="215"/>
    <n v="6610"/>
    <n v="3455"/>
    <n v="2272"/>
    <n v="349"/>
    <n v="0.59499999999999997"/>
    <n v="0.19600000000000001"/>
    <n v="0.751"/>
    <n v="22.1"/>
    <n v="0.161"/>
    <n v="2018"/>
    <n v="30.7"/>
    <n v="16.100000000000001"/>
    <n v="10.6"/>
    <n v="1.6"/>
    <x v="0"/>
    <x v="0"/>
    <n v="0"/>
  </r>
  <r>
    <x v="1"/>
    <x v="6"/>
    <x v="1394"/>
    <s v="Duke"/>
    <n v="4"/>
    <n v="150"/>
    <n v="3713"/>
    <n v="2010"/>
    <n v="1115"/>
    <n v="133"/>
    <n v="0.49299999999999999"/>
    <n v="0.29799999999999999"/>
    <n v="0.66500000000000004"/>
    <n v="6.3"/>
    <n v="8.1000000000000003E-2"/>
    <n v="2018"/>
    <n v="24.8"/>
    <n v="13.4"/>
    <n v="7.4"/>
    <n v="0.9"/>
    <x v="0"/>
    <x v="1"/>
    <n v="0"/>
  </r>
  <r>
    <x v="2"/>
    <x v="9"/>
    <x v="1395"/>
    <s v="NA"/>
    <n v="4"/>
    <n v="243"/>
    <n v="8186"/>
    <n v="6327"/>
    <n v="2067"/>
    <n v="1929"/>
    <n v="0.45600000000000002"/>
    <n v="0.33200000000000002"/>
    <n v="0.73399999999999999"/>
    <n v="26.3"/>
    <n v="0.154"/>
    <n v="2018"/>
    <n v="33.700000000000003"/>
    <n v="26"/>
    <n v="8.5"/>
    <n v="7.9"/>
    <x v="0"/>
    <x v="2"/>
    <n v="0"/>
  </r>
  <r>
    <x v="3"/>
    <x v="27"/>
    <x v="1396"/>
    <s v="Michigan State"/>
    <n v="4"/>
    <n v="185"/>
    <n v="5037"/>
    <n v="2932"/>
    <n v="950"/>
    <n v="217"/>
    <n v="0.45700000000000002"/>
    <n v="0.35299999999999998"/>
    <n v="0.77900000000000003"/>
    <n v="11.6"/>
    <n v="0.11"/>
    <n v="2018"/>
    <n v="27.2"/>
    <n v="15.8"/>
    <n v="5.0999999999999996"/>
    <n v="1.2"/>
    <x v="0"/>
    <x v="3"/>
    <n v="0"/>
  </r>
  <r>
    <x v="4"/>
    <x v="26"/>
    <x v="1397"/>
    <s v="Oklahoma"/>
    <n v="4"/>
    <n v="257"/>
    <n v="8572"/>
    <n v="6396"/>
    <n v="1007"/>
    <n v="2300"/>
    <n v="0.437"/>
    <n v="0.35199999999999998"/>
    <n v="0.86799999999999999"/>
    <n v="22.6"/>
    <n v="0.126"/>
    <n v="2018"/>
    <n v="33.4"/>
    <n v="24.9"/>
    <n v="3.9"/>
    <n v="8.9"/>
    <x v="0"/>
    <x v="4"/>
    <n v="0"/>
  </r>
  <r>
    <x v="5"/>
    <x v="3"/>
    <x v="1398"/>
    <s v="Texas"/>
    <n v="4"/>
    <n v="204"/>
    <n v="3641"/>
    <n v="1479"/>
    <n v="1187"/>
    <n v="180"/>
    <n v="0.47"/>
    <n v="0.33300000000000002"/>
    <n v="0.68"/>
    <n v="8.5"/>
    <n v="0.112"/>
    <n v="2018"/>
    <n v="17.8"/>
    <n v="7.3"/>
    <n v="5.8"/>
    <n v="0.9"/>
    <x v="0"/>
    <x v="5"/>
    <n v="0"/>
  </r>
  <r>
    <x v="6"/>
    <x v="20"/>
    <x v="1399"/>
    <s v="Duke"/>
    <n v="4"/>
    <n v="192"/>
    <n v="5238"/>
    <n v="2260"/>
    <n v="1675"/>
    <n v="372"/>
    <n v="0.50700000000000001"/>
    <n v="0.29099999999999998"/>
    <n v="0.73799999999999999"/>
    <n v="12.4"/>
    <n v="0.114"/>
    <n v="2018"/>
    <n v="27.3"/>
    <n v="11.8"/>
    <n v="8.6999999999999993"/>
    <n v="1.9"/>
    <x v="0"/>
    <x v="6"/>
    <n v="0"/>
  </r>
  <r>
    <x v="7"/>
    <x v="25"/>
    <x v="1400"/>
    <s v="Alabama"/>
    <n v="4"/>
    <n v="218"/>
    <n v="7179"/>
    <n v="4356"/>
    <n v="663"/>
    <n v="720"/>
    <n v="0.45800000000000002"/>
    <n v="0.378"/>
    <n v="0.82699999999999996"/>
    <n v="5.5"/>
    <n v="3.6999999999999998E-2"/>
    <n v="2018"/>
    <n v="32.9"/>
    <n v="20"/>
    <n v="3"/>
    <n v="3.3"/>
    <x v="0"/>
    <x v="7"/>
    <n v="0"/>
  </r>
  <r>
    <x v="8"/>
    <x v="13"/>
    <x v="1401"/>
    <s v="Kentucky"/>
    <n v="4"/>
    <n v="203"/>
    <n v="3956"/>
    <n v="1608"/>
    <n v="615"/>
    <n v="170"/>
    <n v="0.36799999999999999"/>
    <n v="0.34200000000000003"/>
    <n v="0.70399999999999996"/>
    <n v="-0.5"/>
    <n v="-6.0000000000000001E-3"/>
    <n v="2018"/>
    <n v="19.5"/>
    <n v="7.9"/>
    <n v="3"/>
    <n v="0.8"/>
    <x v="0"/>
    <x v="8"/>
    <n v="0"/>
  </r>
  <r>
    <x v="9"/>
    <x v="21"/>
    <x v="1402"/>
    <s v="Villanova"/>
    <n v="4"/>
    <n v="285"/>
    <n v="8826"/>
    <n v="3096"/>
    <n v="1117"/>
    <n v="577"/>
    <n v="0.505"/>
    <n v="0.374"/>
    <n v="0.83199999999999996"/>
    <n v="22.1"/>
    <n v="0.12"/>
    <n v="2018"/>
    <n v="31"/>
    <n v="10.9"/>
    <n v="3.9"/>
    <n v="2"/>
    <x v="0"/>
    <x v="9"/>
    <n v="0"/>
  </r>
  <r>
    <x v="10"/>
    <x v="4"/>
    <x v="1403"/>
    <s v="Kentucky"/>
    <n v="4"/>
    <n v="230"/>
    <n v="7269"/>
    <n v="4026"/>
    <n v="1013"/>
    <n v="945"/>
    <n v="0.46700000000000003"/>
    <n v="0.34499999999999997"/>
    <n v="0.80700000000000005"/>
    <n v="16.2"/>
    <n v="0.107"/>
    <n v="2018"/>
    <n v="31.6"/>
    <n v="17.5"/>
    <n v="4.4000000000000004"/>
    <n v="4.0999999999999996"/>
    <x v="0"/>
    <x v="10"/>
    <n v="0"/>
  </r>
  <r>
    <x v="11"/>
    <x v="7"/>
    <x v="1404"/>
    <s v="Michigan State"/>
    <n v="4"/>
    <n v="269"/>
    <n v="7726"/>
    <n v="3441"/>
    <n v="1500"/>
    <n v="564"/>
    <n v="0.46700000000000003"/>
    <n v="0.34"/>
    <n v="0.80800000000000005"/>
    <n v="13.7"/>
    <n v="8.5000000000000006E-2"/>
    <n v="2018"/>
    <n v="28.7"/>
    <n v="12.8"/>
    <n v="5.6"/>
    <n v="2.1"/>
    <x v="0"/>
    <x v="11"/>
    <n v="0"/>
  </r>
  <r>
    <x v="12"/>
    <x v="7"/>
    <x v="1405"/>
    <s v="Boston College"/>
    <n v="3"/>
    <n v="113"/>
    <n v="1604"/>
    <n v="514"/>
    <n v="208"/>
    <n v="131"/>
    <n v="0.36299999999999999"/>
    <n v="0.31"/>
    <n v="0.72099999999999997"/>
    <n v="-0.1"/>
    <n v="-3.0000000000000001E-3"/>
    <n v="2018"/>
    <n v="14.2"/>
    <n v="4.5"/>
    <n v="1.8"/>
    <n v="1.2"/>
    <x v="0"/>
    <x v="12"/>
    <n v="0"/>
  </r>
  <r>
    <x v="13"/>
    <x v="2"/>
    <x v="1406"/>
    <s v="Missouri"/>
    <n v="3"/>
    <n v="125"/>
    <n v="3080"/>
    <n v="1763"/>
    <n v="763"/>
    <n v="133"/>
    <n v="0.51800000000000002"/>
    <n v="0.41899999999999998"/>
    <n v="0.79500000000000004"/>
    <n v="9.6"/>
    <n v="0.15"/>
    <n v="2018"/>
    <n v="24.6"/>
    <n v="14.1"/>
    <n v="6.1"/>
    <n v="1.1000000000000001"/>
    <x v="0"/>
    <x v="13"/>
    <n v="0"/>
  </r>
  <r>
    <x v="14"/>
    <x v="23"/>
    <x v="1407"/>
    <s v="Oregon"/>
    <n v="4"/>
    <n v="203"/>
    <n v="3904"/>
    <n v="1346"/>
    <n v="803"/>
    <n v="342"/>
    <n v="0.42599999999999999"/>
    <n v="0.33"/>
    <n v="0.754"/>
    <n v="4.5999999999999996"/>
    <n v="5.6000000000000001E-2"/>
    <n v="2018"/>
    <n v="19.2"/>
    <n v="6.6"/>
    <n v="4"/>
    <n v="1.7"/>
    <x v="0"/>
    <x v="14"/>
    <n v="0"/>
  </r>
  <r>
    <x v="15"/>
    <x v="15"/>
    <x v="1408"/>
    <s v="Texas Tech"/>
    <n v="2"/>
    <n v="13"/>
    <n v="143"/>
    <n v="48"/>
    <n v="15"/>
    <n v="12"/>
    <n v="0.378"/>
    <n v="0.316"/>
    <n v="0.66700000000000004"/>
    <n v="0"/>
    <n v="1.0999999999999999E-2"/>
    <n v="2018"/>
    <n v="11"/>
    <n v="3.7"/>
    <n v="1.2"/>
    <n v="0.9"/>
    <x v="0"/>
    <x v="15"/>
    <n v="0"/>
  </r>
  <r>
    <x v="16"/>
    <x v="12"/>
    <x v="1409"/>
    <s v="Villanova"/>
    <n v="4"/>
    <n v="179"/>
    <n v="4161"/>
    <n v="1579"/>
    <n v="836"/>
    <n v="429"/>
    <n v="0.42099999999999999"/>
    <n v="0.34"/>
    <n v="0.755"/>
    <n v="8.6"/>
    <n v="9.9000000000000005E-2"/>
    <n v="2018"/>
    <n v="23.2"/>
    <n v="8.8000000000000007"/>
    <n v="4.7"/>
    <n v="2.4"/>
    <x v="0"/>
    <x v="16"/>
    <n v="0"/>
  </r>
  <r>
    <x v="17"/>
    <x v="16"/>
    <x v="1410"/>
    <s v="Miami (FL)"/>
    <n v="4"/>
    <n v="192"/>
    <n v="3858"/>
    <n v="1708"/>
    <n v="450"/>
    <n v="301"/>
    <n v="0.41"/>
    <n v="0.33900000000000002"/>
    <n v="0.78800000000000003"/>
    <n v="1.3"/>
    <n v="1.7000000000000001E-2"/>
    <n v="2018"/>
    <n v="20.100000000000001"/>
    <n v="8.9"/>
    <n v="2.2999999999999998"/>
    <n v="1.6"/>
    <x v="0"/>
    <x v="17"/>
    <n v="0"/>
  </r>
  <r>
    <x v="18"/>
    <x v="9"/>
    <x v="1411"/>
    <s v="Maryland"/>
    <n v="4"/>
    <n v="251"/>
    <n v="7414"/>
    <n v="2825"/>
    <n v="866"/>
    <n v="811"/>
    <n v="0.43"/>
    <n v="0.376"/>
    <n v="0.78700000000000003"/>
    <n v="8.3000000000000007"/>
    <n v="5.3999999999999999E-2"/>
    <n v="2018"/>
    <n v="29.5"/>
    <n v="11.3"/>
    <n v="3.5"/>
    <n v="3.2"/>
    <x v="0"/>
    <x v="18"/>
    <n v="0"/>
  </r>
  <r>
    <x v="19"/>
    <x v="5"/>
    <x v="1412"/>
    <s v="Georgia Tech"/>
    <n v="4"/>
    <n v="228"/>
    <n v="4909"/>
    <n v="1504"/>
    <n v="702"/>
    <n v="271"/>
    <n v="0.4"/>
    <n v="0.27300000000000002"/>
    <n v="0.755"/>
    <n v="5"/>
    <n v="4.9000000000000002E-2"/>
    <n v="2018"/>
    <n v="21.5"/>
    <n v="6.6"/>
    <n v="3.1"/>
    <n v="1.2"/>
    <x v="0"/>
    <x v="19"/>
    <n v="0"/>
  </r>
  <r>
    <x v="20"/>
    <x v="22"/>
    <x v="1413"/>
    <s v="Duke"/>
    <n v="4"/>
    <n v="175"/>
    <n v="3764"/>
    <n v="1637"/>
    <n v="434"/>
    <n v="259"/>
    <n v="0.42399999999999999"/>
    <n v="0.38600000000000001"/>
    <n v="0.83699999999999997"/>
    <n v="7.1"/>
    <n v="0.09"/>
    <n v="2018"/>
    <n v="21.5"/>
    <n v="9.4"/>
    <n v="2.5"/>
    <n v="1.5"/>
    <x v="0"/>
    <x v="20"/>
    <n v="0"/>
  </r>
  <r>
    <x v="21"/>
    <x v="20"/>
    <x v="1414"/>
    <s v="Boise State"/>
    <n v="4"/>
    <n v="103"/>
    <n v="1790"/>
    <n v="558"/>
    <n v="376"/>
    <n v="79"/>
    <n v="0.442"/>
    <n v="0.309"/>
    <n v="0.64300000000000002"/>
    <n v="1.1000000000000001"/>
    <n v="0.03"/>
    <n v="2018"/>
    <n v="17.399999999999999"/>
    <n v="5.4"/>
    <n v="3.7"/>
    <n v="0.8"/>
    <x v="0"/>
    <x v="21"/>
    <n v="0"/>
  </r>
  <r>
    <x v="22"/>
    <x v="24"/>
    <x v="1415"/>
    <s v="UCLA"/>
    <n v="4"/>
    <n v="226"/>
    <n v="4142"/>
    <n v="1669"/>
    <n v="385"/>
    <n v="521"/>
    <n v="0.41499999999999998"/>
    <n v="0.371"/>
    <n v="0.82699999999999996"/>
    <n v="4.0999999999999996"/>
    <n v="4.7E-2"/>
    <n v="2018"/>
    <n v="18.3"/>
    <n v="7.4"/>
    <n v="1.7"/>
    <n v="2.2999999999999998"/>
    <x v="0"/>
    <x v="22"/>
    <n v="0"/>
  </r>
  <r>
    <x v="23"/>
    <x v="17"/>
    <x v="1416"/>
    <s v="NA"/>
    <n v="4"/>
    <n v="207"/>
    <n v="4249"/>
    <n v="2055"/>
    <n v="448"/>
    <n v="404"/>
    <n v="0.42499999999999999"/>
    <n v="0.39"/>
    <n v="0.82799999999999996"/>
    <n v="4.5999999999999996"/>
    <n v="5.1999999999999998E-2"/>
    <n v="2018"/>
    <n v="20.5"/>
    <n v="9.9"/>
    <n v="2.2000000000000002"/>
    <n v="2"/>
    <x v="0"/>
    <x v="23"/>
    <n v="0"/>
  </r>
  <r>
    <x v="24"/>
    <x v="19"/>
    <x v="1417"/>
    <s v="Michigan"/>
    <n v="4"/>
    <n v="178"/>
    <n v="2567"/>
    <n v="1252"/>
    <n v="560"/>
    <n v="179"/>
    <n v="0.48599999999999999"/>
    <n v="0.32"/>
    <n v="0.81200000000000006"/>
    <n v="4.8"/>
    <n v="8.8999999999999996E-2"/>
    <n v="2018"/>
    <n v="14.4"/>
    <n v="7"/>
    <n v="3.1"/>
    <n v="1"/>
    <x v="0"/>
    <x v="24"/>
    <n v="0"/>
  </r>
  <r>
    <x v="25"/>
    <x v="21"/>
    <x v="1418"/>
    <s v="Wichita State"/>
    <n v="4"/>
    <n v="238"/>
    <n v="5548"/>
    <n v="2112"/>
    <n v="432"/>
    <n v="386"/>
    <n v="0.40799999999999997"/>
    <n v="0.39"/>
    <n v="0.83699999999999997"/>
    <n v="9.6999999999999993"/>
    <n v="8.4000000000000005E-2"/>
    <n v="2018"/>
    <n v="23.3"/>
    <n v="8.9"/>
    <n v="1.8"/>
    <n v="1.6"/>
    <x v="0"/>
    <x v="25"/>
    <n v="0"/>
  </r>
  <r>
    <x v="26"/>
    <x v="14"/>
    <x v="1419"/>
    <s v="Texas A&amp;M"/>
    <n v="4"/>
    <n v="160"/>
    <n v="3064"/>
    <n v="1116"/>
    <n v="1024"/>
    <n v="221"/>
    <n v="0.72499999999999998"/>
    <n v="0"/>
    <n v="0.65"/>
    <n v="16"/>
    <n v="0.25"/>
    <n v="2018"/>
    <n v="19.2"/>
    <n v="7"/>
    <n v="6.4"/>
    <n v="1.4"/>
    <x v="0"/>
    <x v="26"/>
    <n v="0"/>
  </r>
  <r>
    <x v="27"/>
    <x v="10"/>
    <x v="1420"/>
    <s v="Cincinnati"/>
    <n v="2"/>
    <n v="59"/>
    <n v="622"/>
    <n v="168"/>
    <n v="66"/>
    <n v="54"/>
    <n v="0.33700000000000002"/>
    <n v="0.315"/>
    <n v="0.83299999999999996"/>
    <n v="-0.6"/>
    <n v="-4.7E-2"/>
    <n v="2018"/>
    <n v="10.5"/>
    <n v="2.8"/>
    <n v="1.1000000000000001"/>
    <n v="0.9"/>
    <x v="0"/>
    <x v="27"/>
    <n v="0"/>
  </r>
  <r>
    <x v="28"/>
    <x v="0"/>
    <x v="1421"/>
    <s v="NA"/>
    <n v="2"/>
    <n v="49"/>
    <n v="526"/>
    <n v="211"/>
    <n v="91"/>
    <n v="45"/>
    <n v="0.376"/>
    <n v="0.22700000000000001"/>
    <n v="0.72599999999999998"/>
    <n v="0"/>
    <n v="3.0000000000000001E-3"/>
    <n v="2018"/>
    <n v="10.7"/>
    <n v="4.3"/>
    <n v="1.9"/>
    <n v="0.9"/>
    <x v="0"/>
    <x v="28"/>
    <n v="0"/>
  </r>
  <r>
    <x v="29"/>
    <x v="9"/>
    <x v="1422"/>
    <s v="Villanova"/>
    <n v="2"/>
    <n v="95"/>
    <n v="1691"/>
    <n v="642"/>
    <n v="413"/>
    <n v="94"/>
    <n v="0.41699999999999998"/>
    <n v="0.36599999999999999"/>
    <n v="0.76600000000000001"/>
    <n v="2.4"/>
    <n v="6.8000000000000005E-2"/>
    <n v="2018"/>
    <n v="17.8"/>
    <n v="6.8"/>
    <n v="4.3"/>
    <n v="1"/>
    <x v="0"/>
    <x v="29"/>
    <n v="0"/>
  </r>
  <r>
    <x v="30"/>
    <x v="15"/>
    <x v="1423"/>
    <s v="NA"/>
    <n v="2"/>
    <n v="108"/>
    <n v="1677"/>
    <n v="523"/>
    <n v="188"/>
    <n v="242"/>
    <n v="0.39500000000000002"/>
    <n v="0.315"/>
    <n v="0.73699999999999999"/>
    <n v="0.5"/>
    <n v="1.4E-2"/>
    <n v="2018"/>
    <n v="15.5"/>
    <n v="4.8"/>
    <n v="1.7"/>
    <n v="2.2000000000000002"/>
    <x v="1"/>
    <x v="0"/>
    <n v="0"/>
  </r>
  <r>
    <x v="31"/>
    <x v="27"/>
    <x v="1424"/>
    <s v="West Virginia"/>
    <n v="4"/>
    <n v="203"/>
    <n v="2791"/>
    <n v="872"/>
    <n v="343"/>
    <n v="270"/>
    <n v="0.375"/>
    <n v="0.36899999999999999"/>
    <n v="0.78900000000000003"/>
    <n v="3.3"/>
    <n v="5.7000000000000002E-2"/>
    <n v="2018"/>
    <n v="13.7"/>
    <n v="4.3"/>
    <n v="1.7"/>
    <n v="1.3"/>
    <x v="1"/>
    <x v="1"/>
    <n v="0"/>
  </r>
  <r>
    <x v="32"/>
    <x v="26"/>
    <x v="1425"/>
    <s v="Villanova"/>
    <n v="4"/>
    <n v="256"/>
    <n v="6171"/>
    <n v="2944"/>
    <n v="756"/>
    <n v="971"/>
    <n v="0.49399999999999999"/>
    <n v="0.373"/>
    <n v="0.78600000000000003"/>
    <n v="15.6"/>
    <n v="0.121"/>
    <n v="2018"/>
    <n v="24.1"/>
    <n v="11.5"/>
    <n v="3"/>
    <n v="3.8"/>
    <x v="1"/>
    <x v="2"/>
    <n v="0"/>
  </r>
  <r>
    <x v="33"/>
    <x v="9"/>
    <x v="1426"/>
    <s v="Kansas"/>
    <n v="4"/>
    <n v="219"/>
    <n v="6234"/>
    <n v="2891"/>
    <n v="564"/>
    <n v="1131"/>
    <n v="0.372"/>
    <n v="0.35799999999999998"/>
    <n v="0.82499999999999996"/>
    <n v="9"/>
    <n v="7.0000000000000007E-2"/>
    <n v="2018"/>
    <n v="28.5"/>
    <n v="13.2"/>
    <n v="2.6"/>
    <n v="5.2"/>
    <x v="1"/>
    <x v="3"/>
    <n v="0"/>
  </r>
  <r>
    <x v="34"/>
    <x v="3"/>
    <x v="1427"/>
    <s v="Tulane"/>
    <n v="2"/>
    <n v="29"/>
    <n v="170"/>
    <n v="55"/>
    <n v="15"/>
    <n v="4"/>
    <n v="0.4"/>
    <n v="0.36399999999999999"/>
    <n v="0.375"/>
    <n v="0"/>
    <n v="8.0000000000000002E-3"/>
    <n v="2018"/>
    <n v="5.9"/>
    <n v="1.9"/>
    <n v="0.5"/>
    <n v="0.1"/>
    <x v="1"/>
    <x v="4"/>
    <n v="0"/>
  </r>
  <r>
    <x v="35"/>
    <x v="13"/>
    <x v="1428"/>
    <s v="NA"/>
    <n v="4"/>
    <n v="211"/>
    <n v="4973"/>
    <n v="1777"/>
    <n v="1566"/>
    <n v="113"/>
    <n v="0.71899999999999997"/>
    <n v="0"/>
    <n v="0.55500000000000005"/>
    <n v="22.4"/>
    <n v="0.217"/>
    <n v="2018"/>
    <n v="23.6"/>
    <n v="8.4"/>
    <n v="7.4"/>
    <n v="0.5"/>
    <x v="1"/>
    <x v="5"/>
    <n v="0"/>
  </r>
  <r>
    <x v="36"/>
    <x v="6"/>
    <x v="1429"/>
    <s v="Duke"/>
    <n v="4"/>
    <n v="182"/>
    <n v="4920"/>
    <n v="2360"/>
    <n v="391"/>
    <n v="238"/>
    <n v="0.42199999999999999"/>
    <n v="0.39400000000000002"/>
    <n v="0.79300000000000004"/>
    <n v="8"/>
    <n v="7.8E-2"/>
    <n v="2018"/>
    <n v="27"/>
    <n v="13"/>
    <n v="2.1"/>
    <n v="1.3"/>
    <x v="1"/>
    <x v="6"/>
    <n v="0"/>
  </r>
  <r>
    <x v="37"/>
    <x v="21"/>
    <x v="1430"/>
    <s v="Creighton"/>
    <n v="3"/>
    <n v="39"/>
    <n v="409"/>
    <n v="160"/>
    <n v="39"/>
    <n v="36"/>
    <n v="0.38800000000000001"/>
    <n v="0.316"/>
    <n v="0.75"/>
    <n v="0.5"/>
    <n v="5.8000000000000003E-2"/>
    <n v="2018"/>
    <n v="10.5"/>
    <n v="4.0999999999999996"/>
    <n v="1"/>
    <n v="0.9"/>
    <x v="1"/>
    <x v="7"/>
    <n v="0"/>
  </r>
  <r>
    <x v="38"/>
    <x v="21"/>
    <x v="1431"/>
    <s v="NA"/>
    <n v="4"/>
    <n v="141"/>
    <n v="1868"/>
    <n v="438"/>
    <n v="320"/>
    <n v="117"/>
    <n v="0.432"/>
    <n v="0.3"/>
    <n v="0.76300000000000001"/>
    <n v="1.7"/>
    <n v="4.2999999999999997E-2"/>
    <n v="2018"/>
    <n v="13.2"/>
    <n v="3.1"/>
    <n v="2.2999999999999998"/>
    <n v="0.8"/>
    <x v="1"/>
    <x v="8"/>
    <n v="0"/>
  </r>
  <r>
    <x v="39"/>
    <x v="0"/>
    <x v="1432"/>
    <s v="NA"/>
    <n v="3"/>
    <n v="131"/>
    <n v="2103"/>
    <n v="780"/>
    <n v="406"/>
    <n v="113"/>
    <n v="0.44400000000000001"/>
    <n v="0.32900000000000001"/>
    <n v="0.73899999999999999"/>
    <n v="2.2999999999999998"/>
    <n v="5.1999999999999998E-2"/>
    <n v="2018"/>
    <n v="16.100000000000001"/>
    <n v="6"/>
    <n v="3.1"/>
    <n v="0.9"/>
    <x v="1"/>
    <x v="9"/>
    <n v="0"/>
  </r>
  <r>
    <x v="40"/>
    <x v="3"/>
    <x v="1433"/>
    <s v="Kentucky"/>
    <n v="4"/>
    <n v="146"/>
    <n v="2659"/>
    <n v="767"/>
    <n v="877"/>
    <n v="155"/>
    <n v="0.59599999999999997"/>
    <n v="0.16700000000000001"/>
    <n v="0.60899999999999999"/>
    <n v="8"/>
    <n v="0.14499999999999999"/>
    <n v="2018"/>
    <n v="18.2"/>
    <n v="5.3"/>
    <n v="6"/>
    <n v="1.1000000000000001"/>
    <x v="1"/>
    <x v="10"/>
    <n v="0"/>
  </r>
  <r>
    <x v="41"/>
    <x v="18"/>
    <x v="1434"/>
    <s v="Miami (FL)"/>
    <n v="4"/>
    <n v="247"/>
    <n v="5598"/>
    <n v="1732"/>
    <n v="1023"/>
    <n v="491"/>
    <n v="0.47399999999999998"/>
    <n v="0.30099999999999999"/>
    <n v="0.73899999999999999"/>
    <n v="10.199999999999999"/>
    <n v="8.6999999999999994E-2"/>
    <n v="2018"/>
    <n v="22.7"/>
    <n v="7"/>
    <n v="4.0999999999999996"/>
    <n v="2"/>
    <x v="1"/>
    <x v="11"/>
    <n v="0"/>
  </r>
  <r>
    <x v="44"/>
    <x v="0"/>
    <x v="1435"/>
    <s v="Kentucky"/>
    <n v="4"/>
    <n v="200"/>
    <n v="3799"/>
    <n v="1676"/>
    <n v="787"/>
    <n v="218"/>
    <n v="0.47299999999999998"/>
    <n v="0.27600000000000002"/>
    <n v="0.63400000000000001"/>
    <n v="4.5999999999999996"/>
    <n v="5.8000000000000003E-2"/>
    <n v="2018"/>
    <n v="19"/>
    <n v="8.4"/>
    <n v="3.9"/>
    <n v="1.1000000000000001"/>
    <x v="1"/>
    <x v="14"/>
    <n v="0"/>
  </r>
  <r>
    <x v="45"/>
    <x v="11"/>
    <x v="1436"/>
    <s v="USC"/>
    <n v="4"/>
    <n v="213"/>
    <n v="4352"/>
    <n v="1684"/>
    <n v="745"/>
    <n v="602"/>
    <n v="0.40500000000000003"/>
    <n v="0.34699999999999998"/>
    <n v="0.75700000000000001"/>
    <n v="6.3"/>
    <n v="7.0000000000000007E-2"/>
    <n v="2018"/>
    <n v="20.399999999999999"/>
    <n v="7.9"/>
    <n v="3.5"/>
    <n v="2.8"/>
    <x v="1"/>
    <x v="15"/>
    <n v="0"/>
  </r>
  <r>
    <x v="46"/>
    <x v="19"/>
    <x v="1437"/>
    <s v="Kansas"/>
    <n v="4"/>
    <n v="207"/>
    <n v="3683"/>
    <n v="1424"/>
    <n v="392"/>
    <n v="293"/>
    <n v="0.4"/>
    <n v="0.35399999999999998"/>
    <n v="0.77900000000000003"/>
    <n v="2.5"/>
    <n v="3.3000000000000002E-2"/>
    <n v="2018"/>
    <n v="17.8"/>
    <n v="6.9"/>
    <n v="1.9"/>
    <n v="1.4"/>
    <x v="1"/>
    <x v="16"/>
    <n v="0"/>
  </r>
  <r>
    <x v="47"/>
    <x v="5"/>
    <x v="1438"/>
    <s v="Ohio State"/>
    <n v="4"/>
    <n v="149"/>
    <n v="2224"/>
    <n v="757"/>
    <n v="434"/>
    <n v="86"/>
    <n v="0.45100000000000001"/>
    <n v="0.308"/>
    <n v="0.69599999999999995"/>
    <n v="3.1"/>
    <n v="6.6000000000000003E-2"/>
    <n v="2018"/>
    <n v="14.9"/>
    <n v="5.0999999999999996"/>
    <n v="2.9"/>
    <n v="0.6"/>
    <x v="1"/>
    <x v="17"/>
    <n v="0"/>
  </r>
  <r>
    <x v="52"/>
    <x v="16"/>
    <x v="1439"/>
    <s v="USC"/>
    <n v="4"/>
    <n v="125"/>
    <n v="1669"/>
    <n v="712"/>
    <n v="427"/>
    <n v="98"/>
    <n v="0.45600000000000002"/>
    <n v="0.28799999999999998"/>
    <n v="0.755"/>
    <n v="1.6"/>
    <n v="4.7E-2"/>
    <n v="2018"/>
    <n v="13.4"/>
    <n v="5.7"/>
    <n v="3.4"/>
    <n v="0.8"/>
    <x v="1"/>
    <x v="18"/>
    <n v="0"/>
  </r>
  <r>
    <x v="48"/>
    <x v="24"/>
    <x v="1440"/>
    <s v="Missouri State"/>
    <n v="4"/>
    <n v="68"/>
    <n v="510"/>
    <n v="173"/>
    <n v="205"/>
    <n v="30"/>
    <n v="0.49299999999999999"/>
    <n v="0.25"/>
    <n v="0.71799999999999997"/>
    <n v="1.3"/>
    <n v="0.124"/>
    <n v="2018"/>
    <n v="7.5"/>
    <n v="2.5"/>
    <n v="3"/>
    <n v="0.4"/>
    <x v="1"/>
    <x v="19"/>
    <n v="0"/>
  </r>
  <r>
    <x v="50"/>
    <x v="22"/>
    <x v="1441"/>
    <s v="Purdue"/>
    <n v="1"/>
    <n v="2"/>
    <n v="16"/>
    <n v="3"/>
    <n v="2"/>
    <n v="0"/>
    <n v="0.25"/>
    <n v="0.25"/>
    <n v="0"/>
    <n v="0"/>
    <n v="-1.4E-2"/>
    <n v="2018"/>
    <n v="8"/>
    <n v="1.5"/>
    <n v="1"/>
    <n v="0"/>
    <x v="1"/>
    <x v="21"/>
    <n v="0"/>
  </r>
  <r>
    <x v="57"/>
    <x v="1"/>
    <x v="1442"/>
    <s v="Virginia"/>
    <n v="1"/>
    <n v="11"/>
    <n v="81"/>
    <n v="20"/>
    <n v="7"/>
    <n v="13"/>
    <n v="0.2"/>
    <n v="0.23499999999999999"/>
    <n v="0.5"/>
    <n v="-0.2"/>
    <n v="-0.11600000000000001"/>
    <n v="2018"/>
    <n v="7.4"/>
    <n v="1.8"/>
    <n v="0.6"/>
    <n v="1.2"/>
    <x v="1"/>
    <x v="22"/>
    <n v="0"/>
  </r>
  <r>
    <x v="51"/>
    <x v="26"/>
    <x v="1443"/>
    <s v="SMU"/>
    <n v="4"/>
    <n v="154"/>
    <n v="3289"/>
    <n v="1589"/>
    <n v="367"/>
    <n v="403"/>
    <n v="0.44600000000000001"/>
    <n v="0.36099999999999999"/>
    <n v="0.82499999999999996"/>
    <n v="6"/>
    <n v="8.7999999999999995E-2"/>
    <n v="2018"/>
    <n v="21.4"/>
    <n v="10.3"/>
    <n v="2.4"/>
    <n v="2.6"/>
    <x v="1"/>
    <x v="23"/>
    <n v="0"/>
  </r>
  <r>
    <x v="53"/>
    <x v="4"/>
    <x v="1444"/>
    <s v="NA"/>
    <n v="1"/>
    <n v="1"/>
    <n v="3"/>
    <n v="0"/>
    <n v="0"/>
    <n v="0"/>
    <n v="0"/>
    <n v="0"/>
    <n v="0"/>
    <n v="0"/>
    <n v="-1.6E-2"/>
    <n v="2018"/>
    <n v="3"/>
    <n v="0"/>
    <n v="0"/>
    <n v="0"/>
    <x v="1"/>
    <x v="24"/>
    <n v="0"/>
  </r>
  <r>
    <x v="54"/>
    <x v="21"/>
    <x v="1445"/>
    <s v="Louisville"/>
    <n v="2"/>
    <n v="16"/>
    <n v="167"/>
    <n v="58"/>
    <n v="52"/>
    <n v="5"/>
    <n v="0.52900000000000003"/>
    <n v="0"/>
    <n v="0.28599999999999998"/>
    <n v="0.1"/>
    <n v="2.4E-2"/>
    <n v="2018"/>
    <n v="10.4"/>
    <n v="3.6"/>
    <n v="3.3"/>
    <n v="0.3"/>
    <x v="1"/>
    <x v="25"/>
    <n v="0"/>
  </r>
  <r>
    <x v="55"/>
    <x v="1"/>
    <x v="1446"/>
    <s v="UT Arlington"/>
    <n v="1"/>
    <n v="10"/>
    <n v="52"/>
    <n v="17"/>
    <n v="12"/>
    <n v="5"/>
    <n v="0.25900000000000001"/>
    <n v="0.15"/>
    <n v="0"/>
    <n v="-0.1"/>
    <n v="-8.5000000000000006E-2"/>
    <n v="2018"/>
    <n v="5.2"/>
    <n v="1.7"/>
    <n v="1.2"/>
    <n v="0.5"/>
    <x v="1"/>
    <x v="26"/>
    <n v="0"/>
  </r>
  <r>
    <x v="56"/>
    <x v="2"/>
    <x v="1447"/>
    <s v="UCLA"/>
    <n v="1"/>
    <n v="11"/>
    <n v="36"/>
    <n v="18"/>
    <n v="4"/>
    <n v="5"/>
    <n v="0.53800000000000003"/>
    <n v="0.42899999999999999"/>
    <n v="0.5"/>
    <n v="0.1"/>
    <n v="0.16200000000000001"/>
    <n v="2018"/>
    <n v="3.3"/>
    <n v="1.6"/>
    <n v="0.4"/>
    <n v="0.5"/>
    <x v="1"/>
    <x v="27"/>
    <n v="0"/>
  </r>
  <r>
    <x v="59"/>
    <x v="15"/>
    <x v="1448"/>
    <s v="Colorado"/>
    <n v="2"/>
    <n v="5"/>
    <n v="25"/>
    <n v="1"/>
    <n v="6"/>
    <n v="0"/>
    <n v="0"/>
    <n v="0"/>
    <n v="0.5"/>
    <n v="-0.1"/>
    <n v="-0.222"/>
    <n v="2018"/>
    <n v="5"/>
    <n v="0.2"/>
    <n v="1.2"/>
    <n v="0"/>
    <x v="1"/>
    <x v="28"/>
    <n v="0"/>
  </r>
  <r>
    <x v="58"/>
    <x v="21"/>
    <x v="1449"/>
    <s v="Dayton"/>
    <n v="3"/>
    <n v="22"/>
    <n v="87"/>
    <n v="21"/>
    <n v="23"/>
    <n v="3"/>
    <n v="0.375"/>
    <n v="0"/>
    <n v="0.47399999999999998"/>
    <n v="-0.2"/>
    <n v="-9.8000000000000004E-2"/>
    <n v="2018"/>
    <n v="4"/>
    <n v="1"/>
    <n v="1"/>
    <n v="0.1"/>
    <x v="1"/>
    <x v="29"/>
    <n v="0"/>
  </r>
  <r>
    <x v="0"/>
    <x v="29"/>
    <x v="1450"/>
    <s v="Duke"/>
    <n v="2"/>
    <n v="85"/>
    <n v="2694"/>
    <n v="2187"/>
    <n v="591"/>
    <n v="276"/>
    <n v="0.60399999999999998"/>
    <n v="0.33300000000000002"/>
    <n v="0.68300000000000005"/>
    <n v="10.6"/>
    <n v="0.189"/>
    <n v="2019"/>
    <n v="31.7"/>
    <n v="25.7"/>
    <n v="7"/>
    <n v="3.2"/>
    <x v="0"/>
    <x v="0"/>
    <n v="0"/>
  </r>
  <r>
    <x v="1"/>
    <x v="27"/>
    <x v="1451"/>
    <s v="Murray State"/>
    <n v="3"/>
    <n v="176"/>
    <n v="5653"/>
    <n v="3630"/>
    <n v="780"/>
    <n v="1269"/>
    <n v="0.47299999999999998"/>
    <n v="0.32100000000000001"/>
    <n v="0.752"/>
    <n v="12.6"/>
    <n v="0.107"/>
    <n v="2019"/>
    <n v="32.1"/>
    <n v="20.6"/>
    <n v="4.4000000000000004"/>
    <n v="7.2"/>
    <x v="0"/>
    <x v="1"/>
    <n v="0"/>
  </r>
  <r>
    <x v="2"/>
    <x v="13"/>
    <x v="1452"/>
    <s v="Duke"/>
    <n v="3"/>
    <n v="176"/>
    <n v="5802"/>
    <n v="2930"/>
    <n v="965"/>
    <n v="485"/>
    <n v="0.42099999999999999"/>
    <n v="0.36399999999999999"/>
    <n v="0.68700000000000006"/>
    <n v="5"/>
    <n v="4.1000000000000002E-2"/>
    <n v="2019"/>
    <n v="33"/>
    <n v="16.600000000000001"/>
    <n v="5.5"/>
    <n v="2.8"/>
    <x v="0"/>
    <x v="2"/>
    <n v="0"/>
  </r>
  <r>
    <x v="3"/>
    <x v="19"/>
    <x v="1453"/>
    <s v="Virginia"/>
    <n v="3"/>
    <n v="116"/>
    <n v="3569"/>
    <n v="1513"/>
    <n v="498"/>
    <n v="192"/>
    <n v="0.434"/>
    <n v="0.35599999999999998"/>
    <n v="0.77800000000000002"/>
    <n v="2.2000000000000002"/>
    <n v="0.03"/>
    <n v="2019"/>
    <n v="30.8"/>
    <n v="13"/>
    <n v="4.3"/>
    <n v="1.7"/>
    <x v="0"/>
    <x v="3"/>
    <n v="0"/>
  </r>
  <r>
    <x v="4"/>
    <x v="25"/>
    <x v="1454"/>
    <s v="Vanderbilt"/>
    <n v="3"/>
    <n v="160"/>
    <n v="5240"/>
    <n v="2622"/>
    <n v="396"/>
    <n v="932"/>
    <n v="0.44400000000000001"/>
    <n v="0.375"/>
    <n v="0.877"/>
    <n v="4.2"/>
    <n v="3.7999999999999999E-2"/>
    <n v="2019"/>
    <n v="32.799999999999997"/>
    <n v="16.399999999999999"/>
    <n v="2.5"/>
    <n v="5.8"/>
    <x v="0"/>
    <x v="4"/>
    <n v="0"/>
  </r>
  <r>
    <x v="5"/>
    <x v="15"/>
    <x v="1455"/>
    <s v="Texas Tech"/>
    <n v="3"/>
    <n v="124"/>
    <n v="2253"/>
    <n v="862"/>
    <n v="355"/>
    <n v="160"/>
    <n v="0.40699999999999997"/>
    <n v="0.28999999999999998"/>
    <n v="0.505"/>
    <n v="0.2"/>
    <n v="3.0000000000000001E-3"/>
    <n v="2019"/>
    <n v="18.2"/>
    <n v="7"/>
    <n v="2.9"/>
    <n v="1.3"/>
    <x v="0"/>
    <x v="5"/>
    <n v="0"/>
  </r>
  <r>
    <x v="6"/>
    <x v="20"/>
    <x v="1456"/>
    <s v="UNC"/>
    <n v="3"/>
    <n v="173"/>
    <n v="4931"/>
    <n v="2446"/>
    <n v="635"/>
    <n v="613"/>
    <n v="0.41499999999999998"/>
    <n v="0.36599999999999999"/>
    <n v="0.84699999999999998"/>
    <n v="5.5"/>
    <n v="5.2999999999999999E-2"/>
    <n v="2019"/>
    <n v="28.5"/>
    <n v="14.1"/>
    <n v="3.7"/>
    <n v="3.5"/>
    <x v="0"/>
    <x v="6"/>
    <n v="0"/>
  </r>
  <r>
    <x v="7"/>
    <x v="9"/>
    <x v="1457"/>
    <s v="Texas"/>
    <n v="3"/>
    <n v="171"/>
    <n v="2845"/>
    <n v="1328"/>
    <n v="701"/>
    <n v="114"/>
    <n v="0.64700000000000002"/>
    <n v="0.318"/>
    <n v="0.71599999999999997"/>
    <n v="10.5"/>
    <n v="0.17799999999999999"/>
    <n v="2019"/>
    <n v="16.600000000000001"/>
    <n v="7.8"/>
    <n v="4.0999999999999996"/>
    <n v="0.7"/>
    <x v="0"/>
    <x v="7"/>
    <n v="0"/>
  </r>
  <r>
    <x v="8"/>
    <x v="23"/>
    <x v="1458"/>
    <s v="Gonzaga"/>
    <n v="3"/>
    <n v="123"/>
    <n v="3571"/>
    <n v="1598"/>
    <n v="665"/>
    <n v="187"/>
    <n v="0.47099999999999997"/>
    <n v="0.33500000000000002"/>
    <n v="0.79600000000000004"/>
    <n v="4.4000000000000004"/>
    <n v="5.8999999999999997E-2"/>
    <n v="2019"/>
    <n v="29"/>
    <n v="13"/>
    <n v="5.4"/>
    <n v="1.5"/>
    <x v="0"/>
    <x v="8"/>
    <n v="0"/>
  </r>
  <r>
    <x v="9"/>
    <x v="9"/>
    <x v="1459"/>
    <s v="Duke"/>
    <n v="3"/>
    <n v="127"/>
    <n v="3202"/>
    <n v="1353"/>
    <n v="412"/>
    <n v="164"/>
    <n v="0.38400000000000001"/>
    <n v="0.32500000000000001"/>
    <n v="0.84099999999999997"/>
    <n v="0.8"/>
    <n v="1.0999999999999999E-2"/>
    <n v="2019"/>
    <n v="25.2"/>
    <n v="10.7"/>
    <n v="3.2"/>
    <n v="1.3"/>
    <x v="0"/>
    <x v="9"/>
    <n v="0"/>
  </r>
  <r>
    <x v="10"/>
    <x v="5"/>
    <x v="1460"/>
    <s v="UNC"/>
    <n v="3"/>
    <n v="172"/>
    <n v="4123"/>
    <n v="1730"/>
    <n v="617"/>
    <n v="229"/>
    <n v="0.439"/>
    <n v="0.38900000000000001"/>
    <n v="0.83499999999999996"/>
    <n v="10"/>
    <n v="0.11600000000000001"/>
    <n v="2019"/>
    <n v="24"/>
    <n v="10.1"/>
    <n v="3.6"/>
    <n v="1.3"/>
    <x v="0"/>
    <x v="10"/>
    <n v="0"/>
  </r>
  <r>
    <x v="11"/>
    <x v="4"/>
    <x v="1461"/>
    <s v="Kentucky"/>
    <n v="3"/>
    <n v="165"/>
    <n v="4805"/>
    <n v="1955"/>
    <n v="976"/>
    <n v="370"/>
    <n v="0.44600000000000001"/>
    <n v="0.38"/>
    <n v="0.70199999999999996"/>
    <n v="6.7"/>
    <n v="6.7000000000000004E-2"/>
    <n v="2019"/>
    <n v="29.1"/>
    <n v="11.8"/>
    <n v="5.9"/>
    <n v="2.2000000000000002"/>
    <x v="0"/>
    <x v="11"/>
    <n v="0"/>
  </r>
  <r>
    <x v="12"/>
    <x v="8"/>
    <x v="1462"/>
    <s v="Kentucky"/>
    <n v="3"/>
    <n v="155"/>
    <n v="4647"/>
    <n v="2478"/>
    <n v="713"/>
    <n v="486"/>
    <n v="0.43099999999999999"/>
    <n v="0.375"/>
    <n v="0.85199999999999998"/>
    <n v="5.2"/>
    <n v="5.2999999999999999E-2"/>
    <n v="2019"/>
    <n v="30"/>
    <n v="16"/>
    <n v="4.5999999999999996"/>
    <n v="3.1"/>
    <x v="0"/>
    <x v="12"/>
    <n v="0"/>
  </r>
  <r>
    <x v="13"/>
    <x v="14"/>
    <x v="1463"/>
    <s v="Indiana"/>
    <n v="3"/>
    <n v="94"/>
    <n v="1381"/>
    <n v="342"/>
    <n v="180"/>
    <n v="45"/>
    <n v="0.39600000000000002"/>
    <n v="0.30499999999999999"/>
    <n v="0.66200000000000003"/>
    <n v="1.5"/>
    <n v="5.2999999999999999E-2"/>
    <n v="2019"/>
    <n v="14.7"/>
    <n v="3.6"/>
    <n v="1.9"/>
    <n v="0.5"/>
    <x v="0"/>
    <x v="13"/>
    <n v="0"/>
  </r>
  <r>
    <x v="14"/>
    <x v="18"/>
    <x v="1464"/>
    <s v="NA"/>
    <n v="3"/>
    <n v="96"/>
    <n v="1639"/>
    <n v="542"/>
    <n v="267"/>
    <n v="66"/>
    <n v="0.38800000000000001"/>
    <n v="0.25600000000000001"/>
    <n v="0.69299999999999995"/>
    <n v="-0.4"/>
    <n v="-1.2E-2"/>
    <n v="2019"/>
    <n v="17.100000000000001"/>
    <n v="5.6"/>
    <n v="2.8"/>
    <n v="0.7"/>
    <x v="0"/>
    <x v="14"/>
    <n v="0"/>
  </r>
  <r>
    <x v="15"/>
    <x v="3"/>
    <x v="1465"/>
    <s v="Auburn"/>
    <n v="2"/>
    <n v="94"/>
    <n v="2303"/>
    <n v="751"/>
    <n v="409"/>
    <n v="177"/>
    <n v="0.39700000000000002"/>
    <n v="0.32300000000000001"/>
    <n v="0.79500000000000004"/>
    <n v="2.6"/>
    <n v="5.5E-2"/>
    <n v="2019"/>
    <n v="24.5"/>
    <n v="8"/>
    <n v="4.4000000000000004"/>
    <n v="1.9"/>
    <x v="0"/>
    <x v="15"/>
    <n v="0"/>
  </r>
  <r>
    <x v="16"/>
    <x v="0"/>
    <x v="1466"/>
    <s v="Virginia Tech"/>
    <n v="3"/>
    <n v="145"/>
    <n v="2920"/>
    <n v="1414"/>
    <n v="393"/>
    <n v="330"/>
    <n v="0.38800000000000001"/>
    <n v="0.33"/>
    <n v="0.71499999999999997"/>
    <n v="0.2"/>
    <n v="4.0000000000000001E-3"/>
    <n v="2019"/>
    <n v="20.100000000000001"/>
    <n v="9.8000000000000007"/>
    <n v="2.7"/>
    <n v="2.2999999999999998"/>
    <x v="0"/>
    <x v="16"/>
    <n v="0"/>
  </r>
  <r>
    <x v="17"/>
    <x v="24"/>
    <x v="1467"/>
    <s v="NA"/>
    <n v="3"/>
    <n v="134"/>
    <n v="1445"/>
    <n v="575"/>
    <n v="357"/>
    <n v="87"/>
    <n v="0.44600000000000001"/>
    <n v="0.214"/>
    <n v="0.68700000000000006"/>
    <n v="2.7"/>
    <n v="8.8999999999999996E-2"/>
    <n v="2019"/>
    <n v="10.8"/>
    <n v="4.3"/>
    <n v="2.7"/>
    <n v="0.6"/>
    <x v="0"/>
    <x v="17"/>
    <n v="0"/>
  </r>
  <r>
    <x v="18"/>
    <x v="16"/>
    <x v="1468"/>
    <s v="NA"/>
    <n v="2"/>
    <n v="36"/>
    <n v="356"/>
    <n v="138"/>
    <n v="78"/>
    <n v="21"/>
    <n v="0.43"/>
    <n v="0.29399999999999998"/>
    <n v="0.57599999999999996"/>
    <n v="0.1"/>
    <n v="1.4999999999999999E-2"/>
    <n v="2019"/>
    <n v="9.9"/>
    <n v="3.8"/>
    <n v="2.2000000000000002"/>
    <n v="0.6"/>
    <x v="0"/>
    <x v="18"/>
    <n v="0"/>
  </r>
  <r>
    <x v="19"/>
    <x v="14"/>
    <x v="1469"/>
    <s v="Washington"/>
    <n v="3"/>
    <n v="173"/>
    <n v="3719"/>
    <n v="802"/>
    <n v="328"/>
    <n v="192"/>
    <n v="0.441"/>
    <n v="0.31900000000000001"/>
    <n v="0.59799999999999998"/>
    <n v="7.3"/>
    <n v="9.4E-2"/>
    <n v="2019"/>
    <n v="21.5"/>
    <n v="4.5999999999999996"/>
    <n v="1.9"/>
    <n v="1.1000000000000001"/>
    <x v="0"/>
    <x v="19"/>
    <n v="0"/>
  </r>
  <r>
    <x v="20"/>
    <x v="1"/>
    <x v="1470"/>
    <s v="Gonzaga"/>
    <n v="3"/>
    <n v="162"/>
    <n v="3582"/>
    <n v="1784"/>
    <n v="920"/>
    <n v="240"/>
    <n v="0.58699999999999997"/>
    <n v="0.29399999999999998"/>
    <n v="0.71699999999999997"/>
    <n v="13.8"/>
    <n v="0.184"/>
    <n v="2019"/>
    <n v="22.1"/>
    <n v="11"/>
    <n v="5.7"/>
    <n v="1.5"/>
    <x v="0"/>
    <x v="20"/>
    <n v="0"/>
  </r>
  <r>
    <x v="21"/>
    <x v="14"/>
    <x v="1471"/>
    <s v="Tennessee"/>
    <n v="3"/>
    <n v="187"/>
    <n v="3459"/>
    <n v="941"/>
    <n v="533"/>
    <n v="193"/>
    <n v="0.45"/>
    <n v="0.378"/>
    <n v="0.73399999999999999"/>
    <n v="6.5"/>
    <n v="0.09"/>
    <n v="2019"/>
    <n v="18.5"/>
    <n v="5"/>
    <n v="2.9"/>
    <n v="1"/>
    <x v="0"/>
    <x v="21"/>
    <n v="0"/>
  </r>
  <r>
    <x v="22"/>
    <x v="22"/>
    <x v="1472"/>
    <s v="NA"/>
    <n v="3"/>
    <n v="169"/>
    <n v="4293"/>
    <n v="1618"/>
    <n v="990"/>
    <n v="211"/>
    <n v="0.39700000000000002"/>
    <n v="0.30499999999999999"/>
    <n v="0.69899999999999995"/>
    <n v="1.4"/>
    <n v="1.6E-2"/>
    <n v="2019"/>
    <n v="25.4"/>
    <n v="9.6"/>
    <n v="5.9"/>
    <n v="1.2"/>
    <x v="0"/>
    <x v="22"/>
    <n v="0"/>
  </r>
  <r>
    <x v="23"/>
    <x v="21"/>
    <x v="1473"/>
    <s v="Virginia"/>
    <n v="3"/>
    <n v="112"/>
    <n v="1917"/>
    <n v="795"/>
    <n v="215"/>
    <n v="273"/>
    <n v="0.39800000000000002"/>
    <n v="0.34399999999999997"/>
    <n v="0.78400000000000003"/>
    <n v="2.1"/>
    <n v="5.1999999999999998E-2"/>
    <n v="2019"/>
    <n v="17.100000000000001"/>
    <n v="7.1"/>
    <n v="1.9"/>
    <n v="2.4"/>
    <x v="0"/>
    <x v="23"/>
    <n v="0"/>
  </r>
  <r>
    <x v="24"/>
    <x v="17"/>
    <x v="1474"/>
    <s v="UNC"/>
    <n v="3"/>
    <n v="138"/>
    <n v="2301"/>
    <n v="802"/>
    <n v="472"/>
    <n v="99"/>
    <n v="0.45500000000000002"/>
    <n v="0.317"/>
    <n v="0.72699999999999998"/>
    <n v="3.7"/>
    <n v="7.8E-2"/>
    <n v="2019"/>
    <n v="16.7"/>
    <n v="5.8"/>
    <n v="3.4"/>
    <n v="0.7"/>
    <x v="0"/>
    <x v="24"/>
    <n v="0"/>
  </r>
  <r>
    <x v="25"/>
    <x v="25"/>
    <x v="1475"/>
    <s v="Belmont"/>
    <n v="2"/>
    <n v="68"/>
    <n v="857"/>
    <n v="255"/>
    <n v="169"/>
    <n v="58"/>
    <n v="0.435"/>
    <n v="0.35899999999999999"/>
    <n v="0.77800000000000002"/>
    <n v="1.3"/>
    <n v="7.0999999999999994E-2"/>
    <n v="2019"/>
    <n v="12.6"/>
    <n v="3.8"/>
    <n v="2.5"/>
    <n v="0.9"/>
    <x v="0"/>
    <x v="25"/>
    <n v="0"/>
  </r>
  <r>
    <x v="26"/>
    <x v="0"/>
    <x v="1476"/>
    <s v="Florida State"/>
    <n v="2"/>
    <n v="51"/>
    <n v="344"/>
    <n v="137"/>
    <n v="71"/>
    <n v="19"/>
    <n v="0.38800000000000001"/>
    <n v="0.314"/>
    <n v="0.84"/>
    <n v="0.4"/>
    <n v="5.3999999999999999E-2"/>
    <n v="2019"/>
    <n v="6.7"/>
    <n v="2.7"/>
    <n v="1.4"/>
    <n v="0.4"/>
    <x v="0"/>
    <x v="26"/>
    <n v="0"/>
  </r>
  <r>
    <x v="27"/>
    <x v="10"/>
    <x v="1477"/>
    <s v="Michigan"/>
    <n v="3"/>
    <n v="161"/>
    <n v="3791"/>
    <n v="1982"/>
    <n v="375"/>
    <n v="417"/>
    <n v="0.40400000000000003"/>
    <n v="0.32500000000000001"/>
    <n v="0.874"/>
    <n v="4.2"/>
    <n v="5.3999999999999999E-2"/>
    <n v="2019"/>
    <n v="23.5"/>
    <n v="12.3"/>
    <n v="2.2999999999999998"/>
    <n v="2.6"/>
    <x v="0"/>
    <x v="27"/>
    <n v="0"/>
  </r>
  <r>
    <x v="28"/>
    <x v="16"/>
    <x v="1478"/>
    <s v="Kentucky"/>
    <n v="3"/>
    <n v="141"/>
    <n v="3989"/>
    <n v="1898"/>
    <n v="797"/>
    <n v="237"/>
    <n v="0.48099999999999998"/>
    <n v="0.39600000000000002"/>
    <n v="0.749"/>
    <n v="7.6"/>
    <n v="9.0999999999999998E-2"/>
    <n v="2019"/>
    <n v="28.3"/>
    <n v="13.5"/>
    <n v="5.7"/>
    <n v="1.7"/>
    <x v="0"/>
    <x v="28"/>
    <n v="0"/>
  </r>
  <r>
    <x v="29"/>
    <x v="12"/>
    <x v="1479"/>
    <s v="USC"/>
    <n v="3"/>
    <n v="115"/>
    <n v="3170"/>
    <n v="1463"/>
    <n v="415"/>
    <n v="514"/>
    <n v="0.42099999999999999"/>
    <n v="0.34699999999999998"/>
    <n v="0.68"/>
    <n v="0.1"/>
    <n v="1E-3"/>
    <n v="2019"/>
    <n v="27.6"/>
    <n v="12.7"/>
    <n v="3.6"/>
    <n v="4.5"/>
    <x v="0"/>
    <x v="29"/>
    <n v="0"/>
  </r>
  <r>
    <x v="30"/>
    <x v="0"/>
    <x v="1480"/>
    <s v="Georgia"/>
    <n v="3"/>
    <n v="72"/>
    <n v="1311"/>
    <n v="506"/>
    <n v="350"/>
    <n v="65"/>
    <n v="0.621"/>
    <n v="0.16700000000000001"/>
    <n v="0.52200000000000002"/>
    <n v="4.2"/>
    <n v="0.154"/>
    <n v="2019"/>
    <n v="18.2"/>
    <n v="7"/>
    <n v="4.9000000000000004"/>
    <n v="0.9"/>
    <x v="1"/>
    <x v="0"/>
    <n v="0"/>
  </r>
  <r>
    <x v="31"/>
    <x v="15"/>
    <x v="1481"/>
    <s v="Stanford"/>
    <n v="3"/>
    <n v="63"/>
    <n v="717"/>
    <n v="176"/>
    <n v="114"/>
    <n v="34"/>
    <n v="0.40600000000000003"/>
    <n v="0.27300000000000002"/>
    <n v="0.60699999999999998"/>
    <n v="0.7"/>
    <n v="4.8000000000000001E-2"/>
    <n v="2019"/>
    <n v="11.4"/>
    <n v="2.8"/>
    <n v="1.8"/>
    <n v="0.5"/>
    <x v="1"/>
    <x v="1"/>
    <n v="0"/>
  </r>
  <r>
    <x v="32"/>
    <x v="21"/>
    <x v="1482"/>
    <s v="Purdue"/>
    <n v="2"/>
    <n v="68"/>
    <n v="627"/>
    <n v="244"/>
    <n v="73"/>
    <n v="38"/>
    <n v="0.372"/>
    <n v="0.30199999999999999"/>
    <n v="0.75"/>
    <n v="0.4"/>
    <n v="0.03"/>
    <n v="2019"/>
    <n v="9.1999999999999993"/>
    <n v="3.6"/>
    <n v="1.1000000000000001"/>
    <n v="0.6"/>
    <x v="1"/>
    <x v="2"/>
    <n v="0"/>
  </r>
  <r>
    <x v="33"/>
    <x v="21"/>
    <x v="1483"/>
    <s v="Maryland"/>
    <n v="3"/>
    <n v="111"/>
    <n v="1010"/>
    <n v="320"/>
    <n v="297"/>
    <n v="63"/>
    <n v="0.498"/>
    <n v="0.14599999999999999"/>
    <n v="0.61699999999999999"/>
    <n v="0.8"/>
    <n v="0.04"/>
    <n v="2019"/>
    <n v="9.1"/>
    <n v="2.9"/>
    <n v="2.7"/>
    <n v="0.6"/>
    <x v="1"/>
    <x v="3"/>
    <n v="0"/>
  </r>
  <r>
    <x v="34"/>
    <x v="9"/>
    <x v="1484"/>
    <s v="NA"/>
    <n v="2"/>
    <n v="5"/>
    <n v="63"/>
    <n v="8"/>
    <n v="5"/>
    <n v="4"/>
    <n v="0.188"/>
    <n v="0.182"/>
    <n v="0"/>
    <n v="-0.2"/>
    <n v="-0.11600000000000001"/>
    <n v="2019"/>
    <n v="12.6"/>
    <n v="1.6"/>
    <n v="1"/>
    <n v="0.8"/>
    <x v="1"/>
    <x v="4"/>
    <n v="0"/>
  </r>
  <r>
    <x v="35"/>
    <x v="4"/>
    <x v="1485"/>
    <s v="Nevada"/>
    <n v="3"/>
    <n v="149"/>
    <n v="3086"/>
    <n v="836"/>
    <n v="527"/>
    <n v="309"/>
    <n v="0.44400000000000001"/>
    <n v="0.32500000000000001"/>
    <n v="0.64200000000000002"/>
    <n v="4.7"/>
    <n v="7.1999999999999995E-2"/>
    <n v="2019"/>
    <n v="20.7"/>
    <n v="5.6"/>
    <n v="3.5"/>
    <n v="2.1"/>
    <x v="1"/>
    <x v="5"/>
    <n v="0"/>
  </r>
  <r>
    <x v="36"/>
    <x v="26"/>
    <x v="1486"/>
    <s v="NA"/>
    <n v="2"/>
    <n v="23"/>
    <n v="160"/>
    <n v="44"/>
    <n v="35"/>
    <n v="6"/>
    <n v="0.3"/>
    <n v="0.314"/>
    <n v="0.5"/>
    <n v="-0.1"/>
    <n v="-3.3000000000000002E-2"/>
    <n v="2019"/>
    <n v="7"/>
    <n v="1.9"/>
    <n v="1.5"/>
    <n v="0.3"/>
    <x v="1"/>
    <x v="6"/>
    <n v="0"/>
  </r>
  <r>
    <x v="37"/>
    <x v="20"/>
    <x v="1487"/>
    <s v="Arkansas"/>
    <n v="3"/>
    <n v="146"/>
    <n v="2401"/>
    <n v="1032"/>
    <n v="630"/>
    <n v="99"/>
    <n v="0.68300000000000005"/>
    <n v="0"/>
    <n v="0.66400000000000003"/>
    <n v="9.5"/>
    <n v="0.189"/>
    <n v="2019"/>
    <n v="16.399999999999999"/>
    <n v="7.1"/>
    <n v="4.3"/>
    <n v="0.7"/>
    <x v="1"/>
    <x v="7"/>
    <n v="0"/>
  </r>
  <r>
    <x v="38"/>
    <x v="29"/>
    <x v="1488"/>
    <s v="NA"/>
    <n v="2"/>
    <n v="29"/>
    <n v="223"/>
    <n v="87"/>
    <n v="43"/>
    <n v="17"/>
    <n v="0.46300000000000002"/>
    <n v="0.30399999999999999"/>
    <n v="0.72"/>
    <n v="0.3"/>
    <n v="5.6000000000000001E-2"/>
    <n v="2019"/>
    <n v="7.7"/>
    <n v="3"/>
    <n v="1.5"/>
    <n v="0.6"/>
    <x v="1"/>
    <x v="8"/>
    <n v="0"/>
  </r>
  <r>
    <x v="39"/>
    <x v="6"/>
    <x v="1489"/>
    <s v="Wyoming"/>
    <n v="2"/>
    <n v="72"/>
    <n v="542"/>
    <n v="228"/>
    <n v="62"/>
    <n v="40"/>
    <n v="0.44600000000000001"/>
    <n v="0.34300000000000003"/>
    <n v="0.54400000000000004"/>
    <n v="0.3"/>
    <n v="2.4E-2"/>
    <n v="2019"/>
    <n v="7.5"/>
    <n v="3.2"/>
    <n v="0.9"/>
    <n v="0.6"/>
    <x v="1"/>
    <x v="9"/>
    <n v="0"/>
  </r>
  <r>
    <x v="40"/>
    <x v="10"/>
    <x v="1490"/>
    <s v="Villanova"/>
    <n v="3"/>
    <n v="144"/>
    <n v="2932"/>
    <n v="1476"/>
    <n v="494"/>
    <n v="205"/>
    <n v="0.495"/>
    <n v="0.32600000000000001"/>
    <n v="0.755"/>
    <n v="4.5999999999999996"/>
    <n v="7.4999999999999997E-2"/>
    <n v="2019"/>
    <n v="20.399999999999999"/>
    <n v="10.3"/>
    <n v="3.4"/>
    <n v="1.4"/>
    <x v="1"/>
    <x v="10"/>
    <n v="0"/>
  </r>
  <r>
    <x v="41"/>
    <x v="21"/>
    <x v="1491"/>
    <s v="Tennessee"/>
    <n v="2"/>
    <n v="57"/>
    <n v="639"/>
    <n v="182"/>
    <n v="96"/>
    <n v="31"/>
    <n v="0.41899999999999998"/>
    <n v="0.32400000000000001"/>
    <n v="0.68200000000000005"/>
    <n v="0.4"/>
    <n v="2.7E-2"/>
    <n v="2019"/>
    <n v="11.2"/>
    <n v="3.2"/>
    <n v="1.7"/>
    <n v="0.5"/>
    <x v="1"/>
    <x v="11"/>
    <n v="0"/>
  </r>
  <r>
    <x v="42"/>
    <x v="5"/>
    <x v="1492"/>
    <s v="Washington"/>
    <n v="3"/>
    <n v="99"/>
    <n v="1523"/>
    <n v="761"/>
    <n v="190"/>
    <n v="168"/>
    <n v="0.436"/>
    <n v="0.32600000000000001"/>
    <n v="0.80300000000000005"/>
    <n v="2.7"/>
    <n v="8.4000000000000005E-2"/>
    <n v="2019"/>
    <n v="15.4"/>
    <n v="7.7"/>
    <n v="1.9"/>
    <n v="1.7"/>
    <x v="1"/>
    <x v="12"/>
    <n v="0"/>
  </r>
  <r>
    <x v="43"/>
    <x v="8"/>
    <x v="1493"/>
    <s v="Oregon"/>
    <n v="3"/>
    <n v="53"/>
    <n v="328"/>
    <n v="142"/>
    <n v="63"/>
    <n v="18"/>
    <n v="0.47799999999999998"/>
    <n v="0.378"/>
    <n v="0.66700000000000004"/>
    <n v="0.2"/>
    <n v="3.3000000000000002E-2"/>
    <n v="2019"/>
    <n v="6.2"/>
    <n v="2.7"/>
    <n v="1.2"/>
    <n v="0.3"/>
    <x v="1"/>
    <x v="13"/>
    <n v="0"/>
  </r>
  <r>
    <x v="44"/>
    <x v="18"/>
    <x v="1494"/>
    <s v="Nebraska"/>
    <n v="3"/>
    <n v="86"/>
    <n v="1769"/>
    <n v="686"/>
    <n v="424"/>
    <n v="122"/>
    <n v="0.48799999999999999"/>
    <n v="0.31900000000000001"/>
    <n v="0.72899999999999998"/>
    <n v="2.1"/>
    <n v="5.6000000000000001E-2"/>
    <n v="2019"/>
    <n v="20.6"/>
    <n v="8"/>
    <n v="4.9000000000000004"/>
    <n v="1.4"/>
    <x v="1"/>
    <x v="14"/>
    <n v="0"/>
  </r>
  <r>
    <x v="45"/>
    <x v="3"/>
    <x v="1495"/>
    <s v="Iowa State"/>
    <n v="3"/>
    <n v="113"/>
    <n v="2473"/>
    <n v="1018"/>
    <n v="317"/>
    <n v="299"/>
    <n v="0.438"/>
    <n v="0.27900000000000003"/>
    <n v="0.77900000000000003"/>
    <n v="3"/>
    <n v="5.8000000000000003E-2"/>
    <n v="2019"/>
    <n v="21.9"/>
    <n v="9"/>
    <n v="2.8"/>
    <n v="2.6"/>
    <x v="1"/>
    <x v="15"/>
    <n v="0"/>
  </r>
  <r>
    <x v="46"/>
    <x v="6"/>
    <x v="1496"/>
    <s v="Michigan"/>
    <n v="3"/>
    <n v="50"/>
    <n v="553"/>
    <n v="187"/>
    <n v="86"/>
    <n v="42"/>
    <n v="0.377"/>
    <n v="0.31900000000000001"/>
    <n v="0.76500000000000001"/>
    <n v="0.1"/>
    <n v="6.0000000000000001E-3"/>
    <n v="2019"/>
    <n v="11.1"/>
    <n v="3.7"/>
    <n v="1.7"/>
    <n v="0.8"/>
    <x v="1"/>
    <x v="16"/>
    <n v="0"/>
  </r>
  <r>
    <x v="47"/>
    <x v="7"/>
    <x v="1497"/>
    <s v="Florida State"/>
    <n v="3"/>
    <n v="168"/>
    <n v="3359"/>
    <n v="1202"/>
    <n v="609"/>
    <n v="299"/>
    <n v="0.49199999999999999"/>
    <n v="0.379"/>
    <n v="0.77"/>
    <n v="8.3000000000000007"/>
    <n v="0.11899999999999999"/>
    <n v="2019"/>
    <n v="20"/>
    <n v="7.2"/>
    <n v="3.6"/>
    <n v="1.8"/>
    <x v="1"/>
    <x v="17"/>
    <n v="0"/>
  </r>
  <r>
    <x v="52"/>
    <x v="16"/>
    <x v="1498"/>
    <s v="Mississippi State"/>
    <n v="3"/>
    <n v="36"/>
    <n v="232"/>
    <n v="72"/>
    <n v="24"/>
    <n v="21"/>
    <n v="0.435"/>
    <n v="0.16700000000000001"/>
    <n v="0.8"/>
    <n v="0"/>
    <n v="2E-3"/>
    <n v="2019"/>
    <n v="6.4"/>
    <n v="2"/>
    <n v="0.7"/>
    <n v="0.6"/>
    <x v="1"/>
    <x v="18"/>
    <n v="0"/>
  </r>
  <r>
    <x v="48"/>
    <x v="24"/>
    <x v="1499"/>
    <s v="College of Charleston"/>
    <n v="2"/>
    <n v="37"/>
    <n v="234"/>
    <n v="88"/>
    <n v="47"/>
    <n v="26"/>
    <n v="0.438"/>
    <n v="0.36599999999999999"/>
    <n v="0.75"/>
    <n v="0.5"/>
    <n v="9.9000000000000005E-2"/>
    <n v="2019"/>
    <n v="6.3"/>
    <n v="2.4"/>
    <n v="1.3"/>
    <n v="0.7"/>
    <x v="1"/>
    <x v="19"/>
    <n v="0"/>
  </r>
  <r>
    <x v="49"/>
    <x v="14"/>
    <x v="1500"/>
    <s v="LSU"/>
    <n v="3"/>
    <n v="40"/>
    <n v="407"/>
    <n v="149"/>
    <n v="37"/>
    <n v="85"/>
    <n v="0.35399999999999998"/>
    <n v="0.29599999999999999"/>
    <n v="0.96"/>
    <n v="0.1"/>
    <n v="1.0999999999999999E-2"/>
    <n v="2019"/>
    <n v="10.199999999999999"/>
    <n v="3.7"/>
    <n v="0.9"/>
    <n v="2.1"/>
    <x v="1"/>
    <x v="20"/>
    <n v="0"/>
  </r>
  <r>
    <x v="50"/>
    <x v="4"/>
    <x v="1501"/>
    <s v="San Diego State"/>
    <n v="3"/>
    <n v="102"/>
    <n v="1882"/>
    <n v="692"/>
    <n v="370"/>
    <n v="109"/>
    <n v="0.47699999999999998"/>
    <n v="0.35299999999999998"/>
    <n v="0.70899999999999996"/>
    <n v="2.9"/>
    <n v="7.2999999999999995E-2"/>
    <n v="2019"/>
    <n v="18.5"/>
    <n v="6.8"/>
    <n v="3.6"/>
    <n v="1.1000000000000001"/>
    <x v="1"/>
    <x v="21"/>
    <n v="0"/>
  </r>
  <r>
    <x v="57"/>
    <x v="22"/>
    <x v="1502"/>
    <s v="Hofstra"/>
    <n v="1"/>
    <n v="4"/>
    <n v="45"/>
    <n v="19"/>
    <n v="5"/>
    <n v="7"/>
    <n v="0.35"/>
    <n v="0.2"/>
    <n v="0.75"/>
    <n v="0"/>
    <n v="-8.0000000000000002E-3"/>
    <n v="2019"/>
    <n v="11.3"/>
    <n v="4.8"/>
    <n v="1.3"/>
    <n v="1.8"/>
    <x v="1"/>
    <x v="22"/>
    <n v="0"/>
  </r>
  <r>
    <x v="51"/>
    <x v="21"/>
    <x v="1503"/>
    <s v="Iowa State"/>
    <n v="1"/>
    <n v="4"/>
    <n v="28"/>
    <n v="11"/>
    <n v="7"/>
    <n v="1"/>
    <n v="0.25"/>
    <n v="0.33300000000000002"/>
    <n v="0.75"/>
    <n v="-0.1"/>
    <n v="-0.13"/>
    <n v="2019"/>
    <n v="7"/>
    <n v="2.8"/>
    <n v="1.8"/>
    <n v="0.3"/>
    <x v="1"/>
    <x v="23"/>
    <n v="0"/>
  </r>
  <r>
    <x v="53"/>
    <x v="13"/>
    <x v="1504"/>
    <s v="Virginia"/>
    <n v="3"/>
    <n v="49"/>
    <n v="420"/>
    <n v="164"/>
    <n v="49"/>
    <n v="50"/>
    <n v="0.373"/>
    <n v="0.32100000000000001"/>
    <n v="0.76700000000000002"/>
    <n v="0.2"/>
    <n v="1.7999999999999999E-2"/>
    <n v="2019"/>
    <n v="8.6"/>
    <n v="3.3"/>
    <n v="1"/>
    <n v="1"/>
    <x v="1"/>
    <x v="24"/>
    <n v="0"/>
  </r>
  <r>
    <x v="55"/>
    <x v="29"/>
    <x v="1505"/>
    <s v="Tennessee"/>
    <n v="2"/>
    <n v="24"/>
    <n v="249"/>
    <n v="68"/>
    <n v="28"/>
    <n v="26"/>
    <n v="0.378"/>
    <n v="0.28599999999999998"/>
    <n v="0"/>
    <n v="0.1"/>
    <n v="0.01"/>
    <n v="2019"/>
    <n v="10.4"/>
    <n v="2.8"/>
    <n v="1.2"/>
    <n v="1.1000000000000001"/>
    <x v="1"/>
    <x v="26"/>
    <n v="0"/>
  </r>
  <r>
    <x v="56"/>
    <x v="10"/>
    <x v="1506"/>
    <s v="Yale"/>
    <n v="3"/>
    <n v="80"/>
    <n v="672"/>
    <n v="145"/>
    <n v="108"/>
    <n v="37"/>
    <n v="0.35"/>
    <n v="0.33"/>
    <n v="0.75"/>
    <n v="1"/>
    <n v="7.0000000000000007E-2"/>
    <n v="2019"/>
    <n v="8.4"/>
    <n v="1.8"/>
    <n v="1.4"/>
    <n v="0.5"/>
    <x v="1"/>
    <x v="27"/>
    <n v="0"/>
  </r>
  <r>
    <x v="59"/>
    <x v="28"/>
    <x v="1507"/>
    <s v="Miami (FL)"/>
    <n v="1"/>
    <n v="6"/>
    <n v="28"/>
    <n v="14"/>
    <n v="14"/>
    <n v="3"/>
    <n v="0.35699999999999998"/>
    <n v="0.5"/>
    <n v="0.6"/>
    <n v="0"/>
    <n v="4.2999999999999997E-2"/>
    <n v="2019"/>
    <n v="4.7"/>
    <n v="2.2999999999999998"/>
    <n v="2.2999999999999998"/>
    <n v="0.5"/>
    <x v="1"/>
    <x v="28"/>
    <n v="0"/>
  </r>
  <r>
    <x v="0"/>
    <x v="5"/>
    <x v="1508"/>
    <s v="Georgia"/>
    <n v="2"/>
    <n v="125"/>
    <n v="4148"/>
    <n v="2551"/>
    <n v="589"/>
    <n v="400"/>
    <n v="0.42499999999999999"/>
    <n v="0.34100000000000003"/>
    <n v="0.77600000000000002"/>
    <n v="3.9"/>
    <n v="4.4999999999999998E-2"/>
    <n v="2020"/>
    <n v="33.200000000000003"/>
    <n v="20.399999999999999"/>
    <n v="4.7"/>
    <n v="3.2"/>
    <x v="0"/>
    <x v="0"/>
    <n v="0"/>
  </r>
  <r>
    <x v="1"/>
    <x v="10"/>
    <x v="1509"/>
    <s v="Memphis"/>
    <n v="1"/>
    <n v="39"/>
    <n v="836"/>
    <n v="448"/>
    <n v="226"/>
    <n v="26"/>
    <n v="0.51900000000000002"/>
    <n v="0.316"/>
    <n v="0.628"/>
    <n v="0.7"/>
    <n v="4.2000000000000003E-2"/>
    <n v="2020"/>
    <n v="21.4"/>
    <n v="11.5"/>
    <n v="5.8"/>
    <n v="0.7"/>
    <x v="0"/>
    <x v="1"/>
    <n v="0"/>
  </r>
  <r>
    <x v="2"/>
    <x v="4"/>
    <x v="1510"/>
    <s v="NA"/>
    <n v="2"/>
    <n v="104"/>
    <n v="3202"/>
    <n v="1865"/>
    <n v="678"/>
    <n v="713"/>
    <n v="0.42899999999999999"/>
    <n v="0.36099999999999999"/>
    <n v="0.81100000000000005"/>
    <n v="7.1"/>
    <n v="0.106"/>
    <n v="2020"/>
    <n v="30.8"/>
    <n v="17.899999999999999"/>
    <n v="6.5"/>
    <n v="6.9"/>
    <x v="0"/>
    <x v="2"/>
    <n v="0"/>
  </r>
  <r>
    <x v="3"/>
    <x v="20"/>
    <x v="1511"/>
    <s v="Florida State"/>
    <n v="2"/>
    <n v="76"/>
    <n v="2108"/>
    <n v="688"/>
    <n v="338"/>
    <n v="102"/>
    <n v="0.48599999999999999"/>
    <n v="0.39600000000000002"/>
    <n v="0.73599999999999999"/>
    <n v="2.7"/>
    <n v="6.0999999999999999E-2"/>
    <n v="2020"/>
    <n v="27.7"/>
    <n v="9.1"/>
    <n v="4.4000000000000004"/>
    <n v="1.3"/>
    <x v="0"/>
    <x v="3"/>
    <n v="0"/>
  </r>
  <r>
    <x v="4"/>
    <x v="25"/>
    <x v="1512"/>
    <s v="Auburn"/>
    <n v="2"/>
    <n v="110"/>
    <n v="3413"/>
    <n v="1031"/>
    <n v="340"/>
    <n v="208"/>
    <n v="0.435"/>
    <n v="0.29899999999999999"/>
    <n v="0.746"/>
    <n v="3.6"/>
    <n v="5.0999999999999997E-2"/>
    <n v="2020"/>
    <n v="31"/>
    <n v="9.4"/>
    <n v="3.1"/>
    <n v="1.9"/>
    <x v="0"/>
    <x v="4"/>
    <n v="0"/>
  </r>
  <r>
    <x v="5"/>
    <x v="9"/>
    <x v="1513"/>
    <s v="USC"/>
    <n v="2"/>
    <n v="76"/>
    <n v="1159"/>
    <n v="453"/>
    <n v="306"/>
    <n v="46"/>
    <n v="0.67900000000000005"/>
    <n v="0"/>
    <n v="0.68100000000000005"/>
    <n v="4.0999999999999996"/>
    <n v="0.17"/>
    <n v="2020"/>
    <n v="15.3"/>
    <n v="6"/>
    <n v="4"/>
    <n v="0.6"/>
    <x v="0"/>
    <x v="5"/>
    <n v="0"/>
  </r>
  <r>
    <x v="6"/>
    <x v="18"/>
    <x v="1514"/>
    <s v="NA"/>
    <n v="2"/>
    <n v="72"/>
    <n v="1793"/>
    <n v="461"/>
    <n v="202"/>
    <n v="325"/>
    <n v="0.35799999999999998"/>
    <n v="0.27600000000000002"/>
    <n v="0.81799999999999995"/>
    <n v="-1.2"/>
    <n v="-3.3000000000000002E-2"/>
    <n v="2020"/>
    <n v="24.9"/>
    <n v="6.4"/>
    <n v="2.8"/>
    <n v="4.5"/>
    <x v="0"/>
    <x v="6"/>
    <n v="0"/>
  </r>
  <r>
    <x v="7"/>
    <x v="13"/>
    <x v="1515"/>
    <s v="Dayton"/>
    <n v="2"/>
    <n v="116"/>
    <n v="1496"/>
    <n v="646"/>
    <n v="331"/>
    <n v="77"/>
    <n v="0.505"/>
    <n v="0.26400000000000001"/>
    <n v="0.746"/>
    <n v="3.6"/>
    <n v="0.115"/>
    <n v="2020"/>
    <n v="12.9"/>
    <n v="5.6"/>
    <n v="2.9"/>
    <n v="0.7"/>
    <x v="0"/>
    <x v="7"/>
    <n v="0"/>
  </r>
  <r>
    <x v="8"/>
    <x v="23"/>
    <x v="1516"/>
    <s v="NA"/>
    <n v="2"/>
    <n v="112"/>
    <n v="2616"/>
    <n v="790"/>
    <n v="557"/>
    <n v="159"/>
    <n v="0.43"/>
    <n v="0.311"/>
    <n v="0.72599999999999998"/>
    <n v="3.5"/>
    <n v="6.4000000000000001E-2"/>
    <n v="2020"/>
    <n v="23.4"/>
    <n v="7.1"/>
    <n v="5"/>
    <n v="1.4"/>
    <x v="0"/>
    <x v="8"/>
    <n v="0"/>
  </r>
  <r>
    <x v="9"/>
    <x v="15"/>
    <x v="1517"/>
    <s v="Maryland"/>
    <n v="2"/>
    <n v="60"/>
    <n v="622"/>
    <n v="276"/>
    <n v="201"/>
    <n v="14"/>
    <n v="0.47499999999999998"/>
    <n v="0.27500000000000002"/>
    <n v="0.754"/>
    <n v="1.5"/>
    <n v="0.11899999999999999"/>
    <n v="2020"/>
    <n v="10.4"/>
    <n v="4.5999999999999996"/>
    <n v="3.4"/>
    <n v="0.2"/>
    <x v="0"/>
    <x v="9"/>
    <n v="0"/>
  </r>
  <r>
    <x v="10"/>
    <x v="16"/>
    <x v="1518"/>
    <s v="Florida State"/>
    <n v="2"/>
    <n v="113"/>
    <n v="2367"/>
    <n v="929"/>
    <n v="389"/>
    <n v="142"/>
    <n v="0.42399999999999999"/>
    <n v="0.34599999999999997"/>
    <n v="0.82199999999999995"/>
    <n v="3.7"/>
    <n v="7.4999999999999997E-2"/>
    <n v="2020"/>
    <n v="20.9"/>
    <n v="8.1999999999999993"/>
    <n v="3.4"/>
    <n v="1.3"/>
    <x v="0"/>
    <x v="10"/>
    <n v="0"/>
  </r>
  <r>
    <x v="11"/>
    <x v="6"/>
    <x v="1519"/>
    <s v="Iowa State"/>
    <n v="2"/>
    <n v="113"/>
    <n v="3658"/>
    <n v="1563"/>
    <n v="389"/>
    <n v="732"/>
    <n v="0.46600000000000003"/>
    <n v="0.41299999999999998"/>
    <n v="0.84099999999999997"/>
    <n v="8.3000000000000007"/>
    <n v="0.109"/>
    <n v="2020"/>
    <n v="32.4"/>
    <n v="13.8"/>
    <n v="3.4"/>
    <n v="6.5"/>
    <x v="0"/>
    <x v="11"/>
    <n v="0"/>
  </r>
  <r>
    <x v="12"/>
    <x v="29"/>
    <x v="1520"/>
    <s v="Alabama"/>
    <n v="2"/>
    <n v="78"/>
    <n v="1245"/>
    <n v="484"/>
    <n v="110"/>
    <n v="173"/>
    <n v="0.39100000000000001"/>
    <n v="0.29799999999999999"/>
    <n v="0.84099999999999997"/>
    <n v="0.7"/>
    <n v="2.7E-2"/>
    <n v="2020"/>
    <n v="16"/>
    <n v="6.2"/>
    <n v="1.4"/>
    <n v="2.2000000000000002"/>
    <x v="0"/>
    <x v="12"/>
    <n v="0"/>
  </r>
  <r>
    <x v="13"/>
    <x v="14"/>
    <x v="1521"/>
    <s v="Vanderbilt"/>
    <n v="2"/>
    <n v="87"/>
    <n v="1112"/>
    <n v="363"/>
    <n v="197"/>
    <n v="36"/>
    <n v="0.41099999999999998"/>
    <n v="0.31"/>
    <n v="0.80900000000000005"/>
    <n v="1.2"/>
    <n v="5.0999999999999997E-2"/>
    <n v="2020"/>
    <n v="12.8"/>
    <n v="4.2"/>
    <n v="2.2999999999999998"/>
    <n v="0.4"/>
    <x v="0"/>
    <x v="13"/>
    <n v="0"/>
  </r>
  <r>
    <x v="14"/>
    <x v="3"/>
    <x v="1522"/>
    <s v="UNC"/>
    <n v="2"/>
    <n v="93"/>
    <n v="2789"/>
    <n v="1420"/>
    <n v="488"/>
    <n v="463"/>
    <n v="0.39700000000000002"/>
    <n v="0.33700000000000002"/>
    <n v="0.84499999999999997"/>
    <n v="1.2"/>
    <n v="0.02"/>
    <n v="2020"/>
    <n v="30"/>
    <n v="15.3"/>
    <n v="5.2"/>
    <n v="5"/>
    <x v="0"/>
    <x v="14"/>
    <n v="0"/>
  </r>
  <r>
    <x v="15"/>
    <x v="17"/>
    <x v="1523"/>
    <s v="Washington"/>
    <n v="2"/>
    <n v="118"/>
    <n v="2754"/>
    <n v="952"/>
    <n v="874"/>
    <n v="114"/>
    <n v="0.53900000000000003"/>
    <n v="0.27600000000000002"/>
    <n v="0.68300000000000005"/>
    <n v="6.1"/>
    <n v="0.106"/>
    <n v="2020"/>
    <n v="23.3"/>
    <n v="8.1"/>
    <n v="7.4"/>
    <n v="1"/>
    <x v="0"/>
    <x v="15"/>
    <n v="0"/>
  </r>
  <r>
    <x v="16"/>
    <x v="5"/>
    <x v="1524"/>
    <s v="NA"/>
    <n v="2"/>
    <n v="87"/>
    <n v="1786"/>
    <n v="596"/>
    <n v="394"/>
    <n v="147"/>
    <n v="0.35799999999999998"/>
    <n v="0.27800000000000002"/>
    <n v="0.69"/>
    <n v="-1.9"/>
    <n v="-5.1999999999999998E-2"/>
    <n v="2020"/>
    <n v="20.5"/>
    <n v="6.9"/>
    <n v="4.5"/>
    <n v="1.7"/>
    <x v="0"/>
    <x v="16"/>
    <n v="0"/>
  </r>
  <r>
    <x v="17"/>
    <x v="26"/>
    <x v="1525"/>
    <s v="Arizona"/>
    <n v="2"/>
    <n v="83"/>
    <n v="1078"/>
    <n v="294"/>
    <n v="173"/>
    <n v="86"/>
    <n v="0.48399999999999999"/>
    <n v="0.25"/>
    <n v="0.65500000000000003"/>
    <n v="2.2999999999999998"/>
    <n v="0.10100000000000001"/>
    <n v="2020"/>
    <n v="13"/>
    <n v="3.5"/>
    <n v="2.1"/>
    <n v="1"/>
    <x v="0"/>
    <x v="17"/>
    <n v="0"/>
  </r>
  <r>
    <x v="18"/>
    <x v="0"/>
    <x v="1526"/>
    <s v="Villanova"/>
    <n v="2"/>
    <n v="128"/>
    <n v="3859"/>
    <n v="1782"/>
    <n v="655"/>
    <n v="258"/>
    <n v="0.39500000000000002"/>
    <n v="0.36399999999999999"/>
    <n v="0.83599999999999997"/>
    <n v="5.6"/>
    <n v="7.0000000000000007E-2"/>
    <n v="2020"/>
    <n v="30.1"/>
    <n v="13.9"/>
    <n v="5.0999999999999996"/>
    <n v="2"/>
    <x v="0"/>
    <x v="18"/>
    <n v="0"/>
  </r>
  <r>
    <x v="19"/>
    <x v="8"/>
    <x v="1527"/>
    <s v="Memphis"/>
    <n v="2"/>
    <n v="109"/>
    <n v="1844"/>
    <n v="662"/>
    <n v="539"/>
    <n v="84"/>
    <n v="0.47099999999999997"/>
    <n v="0.3"/>
    <n v="0.53800000000000003"/>
    <n v="2.7"/>
    <n v="7.0000000000000007E-2"/>
    <n v="2020"/>
    <n v="16.899999999999999"/>
    <n v="6.1"/>
    <n v="4.9000000000000004"/>
    <n v="0.8"/>
    <x v="0"/>
    <x v="19"/>
    <n v="0"/>
  </r>
  <r>
    <x v="20"/>
    <x v="21"/>
    <x v="1528"/>
    <s v="Kentucky"/>
    <n v="2"/>
    <n v="112"/>
    <n v="2751"/>
    <n v="1350"/>
    <n v="284"/>
    <n v="356"/>
    <n v="0.46600000000000003"/>
    <n v="0.35799999999999998"/>
    <n v="0.871"/>
    <n v="6.5"/>
    <n v="0.114"/>
    <n v="2020"/>
    <n v="24.6"/>
    <n v="12.1"/>
    <n v="2.5"/>
    <n v="3.2"/>
    <x v="0"/>
    <x v="20"/>
    <n v="0"/>
  </r>
  <r>
    <x v="21"/>
    <x v="2"/>
    <x v="1529"/>
    <s v="Arizona"/>
    <n v="2"/>
    <n v="81"/>
    <n v="1048"/>
    <n v="401"/>
    <n v="209"/>
    <n v="25"/>
    <n v="0.51800000000000002"/>
    <n v="0.45200000000000001"/>
    <n v="0.64900000000000002"/>
    <n v="2.8"/>
    <n v="0.129"/>
    <n v="2020"/>
    <n v="12.9"/>
    <n v="5"/>
    <n v="2.6"/>
    <n v="0.3"/>
    <x v="0"/>
    <x v="21"/>
    <n v="0"/>
  </r>
  <r>
    <x v="22"/>
    <x v="13"/>
    <x v="1530"/>
    <s v="NA"/>
    <n v="1"/>
    <n v="25"/>
    <n v="188"/>
    <n v="28"/>
    <n v="35"/>
    <n v="11"/>
    <n v="0.28100000000000003"/>
    <n v="0.16700000000000001"/>
    <n v="0.88900000000000001"/>
    <n v="-0.1"/>
    <n v="-1.9E-2"/>
    <n v="2020"/>
    <n v="7.5"/>
    <n v="1.1000000000000001"/>
    <n v="1.4"/>
    <n v="0.4"/>
    <x v="0"/>
    <x v="22"/>
    <n v="0"/>
  </r>
  <r>
    <x v="23"/>
    <x v="12"/>
    <x v="1531"/>
    <s v="NA"/>
    <n v="2"/>
    <n v="93"/>
    <n v="1703"/>
    <n v="655"/>
    <n v="301"/>
    <n v="189"/>
    <n v="0.41"/>
    <n v="0.34"/>
    <n v="0.64"/>
    <n v="0.2"/>
    <n v="7.0000000000000001E-3"/>
    <n v="2020"/>
    <n v="18.3"/>
    <n v="7"/>
    <n v="3.2"/>
    <n v="2"/>
    <x v="0"/>
    <x v="23"/>
    <n v="0"/>
  </r>
  <r>
    <x v="24"/>
    <x v="1"/>
    <x v="1532"/>
    <s v="Kentucky"/>
    <n v="2"/>
    <n v="119"/>
    <n v="2413"/>
    <n v="1246"/>
    <n v="264"/>
    <n v="291"/>
    <n v="0.38300000000000001"/>
    <n v="0.36099999999999999"/>
    <n v="0.89900000000000002"/>
    <n v="4.7"/>
    <n v="9.4E-2"/>
    <n v="2020"/>
    <n v="20.3"/>
    <n v="10.5"/>
    <n v="2.2000000000000002"/>
    <n v="2.4"/>
    <x v="0"/>
    <x v="24"/>
    <n v="0"/>
  </r>
  <r>
    <x v="25"/>
    <x v="14"/>
    <x v="1533"/>
    <s v="Oregon"/>
    <n v="2"/>
    <n v="115"/>
    <n v="1871"/>
    <n v="740"/>
    <n v="235"/>
    <n v="205"/>
    <n v="0.41899999999999998"/>
    <n v="0.39400000000000002"/>
    <n v="0.91500000000000004"/>
    <n v="3.4"/>
    <n v="8.7999999999999995E-2"/>
    <n v="2020"/>
    <n v="16.3"/>
    <n v="6.4"/>
    <n v="2"/>
    <n v="1.8"/>
    <x v="0"/>
    <x v="25"/>
    <n v="0"/>
  </r>
  <r>
    <x v="26"/>
    <x v="22"/>
    <x v="1534"/>
    <s v="Kansas"/>
    <n v="2"/>
    <n v="30"/>
    <n v="235"/>
    <n v="88"/>
    <n v="75"/>
    <n v="0"/>
    <n v="0.69799999999999995"/>
    <n v="0"/>
    <n v="0.66700000000000004"/>
    <n v="0.7"/>
    <n v="0.14099999999999999"/>
    <n v="2020"/>
    <n v="7.8"/>
    <n v="2.9"/>
    <n v="2.5"/>
    <n v="0"/>
    <x v="0"/>
    <x v="26"/>
    <n v="0"/>
  </r>
  <r>
    <x v="27"/>
    <x v="19"/>
    <x v="1535"/>
    <s v="Washington"/>
    <n v="2"/>
    <n v="119"/>
    <n v="2981"/>
    <n v="925"/>
    <n v="471"/>
    <n v="137"/>
    <n v="0.44600000000000001"/>
    <n v="0.33"/>
    <n v="0.70599999999999996"/>
    <n v="3.2"/>
    <n v="5.1999999999999998E-2"/>
    <n v="2020"/>
    <n v="25.1"/>
    <n v="7.8"/>
    <n v="4"/>
    <n v="1.2"/>
    <x v="0"/>
    <x v="27"/>
    <n v="0"/>
  </r>
  <r>
    <x v="28"/>
    <x v="28"/>
    <x v="1536"/>
    <s v="San Diego State"/>
    <n v="2"/>
    <n v="81"/>
    <n v="1233"/>
    <n v="451"/>
    <n v="154"/>
    <n v="173"/>
    <n v="0.36899999999999999"/>
    <n v="0.314"/>
    <n v="0.78500000000000003"/>
    <n v="1.1000000000000001"/>
    <n v="4.2999999999999997E-2"/>
    <n v="2020"/>
    <n v="15.2"/>
    <n v="5.6"/>
    <n v="1.9"/>
    <n v="2.1"/>
    <x v="0"/>
    <x v="28"/>
    <n v="0"/>
  </r>
  <r>
    <x v="29"/>
    <x v="14"/>
    <x v="1537"/>
    <s v="TCU"/>
    <n v="2"/>
    <n v="124"/>
    <n v="3210"/>
    <n v="1625"/>
    <n v="462"/>
    <n v="258"/>
    <n v="0.46400000000000002"/>
    <n v="0.42399999999999999"/>
    <n v="0.879"/>
    <n v="7.8"/>
    <n v="0.11600000000000001"/>
    <n v="2020"/>
    <n v="25.9"/>
    <n v="13.1"/>
    <n v="3.7"/>
    <n v="2.1"/>
    <x v="0"/>
    <x v="29"/>
    <n v="0"/>
  </r>
  <r>
    <x v="30"/>
    <x v="26"/>
    <x v="1538"/>
    <s v="Stanford"/>
    <n v="2"/>
    <n v="13"/>
    <n v="59"/>
    <n v="13"/>
    <n v="6"/>
    <n v="6"/>
    <n v="0.35299999999999998"/>
    <n v="0"/>
    <n v="0.33300000000000002"/>
    <n v="0"/>
    <n v="-3.5000000000000003E-2"/>
    <n v="2020"/>
    <n v="4.5"/>
    <n v="1"/>
    <n v="0.5"/>
    <n v="0.5"/>
    <x v="1"/>
    <x v="0"/>
    <n v="0"/>
  </r>
  <r>
    <x v="31"/>
    <x v="4"/>
    <x v="1539"/>
    <s v="Duke"/>
    <n v="2"/>
    <n v="24"/>
    <n v="133"/>
    <n v="54"/>
    <n v="32"/>
    <n v="2"/>
    <n v="0.5"/>
    <n v="0.14299999999999999"/>
    <n v="0.78600000000000003"/>
    <n v="0.2"/>
    <n v="7.0000000000000007E-2"/>
    <n v="2020"/>
    <n v="5.5"/>
    <n v="2.2999999999999998"/>
    <n v="1.3"/>
    <n v="0.1"/>
    <x v="1"/>
    <x v="1"/>
    <n v="0"/>
  </r>
  <r>
    <x v="32"/>
    <x v="5"/>
    <x v="1540"/>
    <s v="Minnesota"/>
    <n v="2"/>
    <n v="33"/>
    <n v="188"/>
    <n v="63"/>
    <n v="53"/>
    <n v="10"/>
    <n v="0.43099999999999999"/>
    <n v="0.16700000000000001"/>
    <n v="0.70599999999999996"/>
    <n v="0.3"/>
    <n v="8.5999999999999993E-2"/>
    <n v="2020"/>
    <n v="5.7"/>
    <n v="1.9"/>
    <n v="1.6"/>
    <n v="0.3"/>
    <x v="1"/>
    <x v="2"/>
    <n v="0"/>
  </r>
  <r>
    <x v="33"/>
    <x v="21"/>
    <x v="1541"/>
    <s v="NA"/>
    <n v="2"/>
    <n v="96"/>
    <n v="2218"/>
    <n v="791"/>
    <n v="262"/>
    <n v="263"/>
    <n v="0.35899999999999999"/>
    <n v="0.317"/>
    <n v="0.77400000000000002"/>
    <n v="-0.9"/>
    <n v="-0.02"/>
    <n v="2020"/>
    <n v="23.1"/>
    <n v="8.1999999999999993"/>
    <n v="2.7"/>
    <n v="2.7"/>
    <x v="1"/>
    <x v="3"/>
    <n v="0"/>
  </r>
  <r>
    <x v="34"/>
    <x v="6"/>
    <x v="1542"/>
    <s v="Michigan State"/>
    <n v="2"/>
    <n v="98"/>
    <n v="1595"/>
    <n v="566"/>
    <n v="372"/>
    <n v="115"/>
    <n v="0.52200000000000002"/>
    <n v="0.28999999999999998"/>
    <n v="0.64400000000000002"/>
    <n v="4.0999999999999996"/>
    <n v="0.123"/>
    <n v="2020"/>
    <n v="16.3"/>
    <n v="5.8"/>
    <n v="3.8"/>
    <n v="1.2"/>
    <x v="1"/>
    <x v="4"/>
    <n v="0"/>
  </r>
  <r>
    <x v="35"/>
    <x v="21"/>
    <x v="1543"/>
    <s v="Colorado"/>
    <n v="1"/>
    <n v="18"/>
    <n v="71"/>
    <n v="18"/>
    <n v="19"/>
    <n v="3"/>
    <n v="0.318"/>
    <n v="0.25"/>
    <n v="0.6"/>
    <n v="0"/>
    <n v="-3.3000000000000002E-2"/>
    <n v="2020"/>
    <n v="3.9"/>
    <n v="1"/>
    <n v="1.1000000000000001"/>
    <n v="0.2"/>
    <x v="1"/>
    <x v="5"/>
    <n v="0"/>
  </r>
  <r>
    <x v="36"/>
    <x v="23"/>
    <x v="1544"/>
    <s v="NA"/>
    <n v="1"/>
    <n v="6"/>
    <n v="31"/>
    <n v="6"/>
    <n v="5"/>
    <n v="2"/>
    <n v="0.33300000000000002"/>
    <n v="0"/>
    <n v="1"/>
    <n v="0"/>
    <n v="-4.9000000000000002E-2"/>
    <n v="2020"/>
    <n v="5.2"/>
    <n v="1"/>
    <n v="0.8"/>
    <n v="0.3"/>
    <x v="1"/>
    <x v="6"/>
    <n v="0"/>
  </r>
  <r>
    <x v="37"/>
    <x v="22"/>
    <x v="1545"/>
    <s v="Vanderbilt"/>
    <n v="2"/>
    <n v="76"/>
    <n v="1188"/>
    <n v="404"/>
    <n v="163"/>
    <n v="238"/>
    <n v="0.437"/>
    <n v="0.29899999999999999"/>
    <n v="0.71199999999999997"/>
    <n v="1.9"/>
    <n v="7.8E-2"/>
    <n v="2020"/>
    <n v="15.6"/>
    <n v="5.3"/>
    <n v="2.1"/>
    <n v="3.1"/>
    <x v="1"/>
    <x v="7"/>
    <n v="0"/>
  </r>
  <r>
    <x v="38"/>
    <x v="29"/>
    <x v="1546"/>
    <s v="Syracuse"/>
    <n v="2"/>
    <n v="35"/>
    <n v="219"/>
    <n v="81"/>
    <n v="34"/>
    <n v="15"/>
    <n v="0.33700000000000002"/>
    <n v="0.30599999999999999"/>
    <n v="0.85699999999999998"/>
    <n v="0"/>
    <n v="-7.0000000000000001E-3"/>
    <n v="2020"/>
    <n v="6.3"/>
    <n v="2.2999999999999998"/>
    <n v="1"/>
    <n v="0.4"/>
    <x v="1"/>
    <x v="8"/>
    <n v="0"/>
  </r>
  <r>
    <x v="39"/>
    <x v="27"/>
    <x v="1547"/>
    <s v="Mississippi State"/>
    <n v="2"/>
    <n v="25"/>
    <n v="87"/>
    <n v="27"/>
    <n v="27"/>
    <n v="5"/>
    <n v="0.27800000000000002"/>
    <n v="0.2"/>
    <n v="0.5"/>
    <n v="-0.1"/>
    <n v="-7.4999999999999997E-2"/>
    <n v="2020"/>
    <n v="3.5"/>
    <n v="1.1000000000000001"/>
    <n v="1.1000000000000001"/>
    <n v="0.2"/>
    <x v="1"/>
    <x v="9"/>
    <n v="0"/>
  </r>
  <r>
    <x v="40"/>
    <x v="16"/>
    <x v="1548"/>
    <s v="Duke"/>
    <n v="2"/>
    <n v="83"/>
    <n v="888"/>
    <n v="315"/>
    <n v="106"/>
    <n v="151"/>
    <n v="0.49199999999999999"/>
    <n v="0.24"/>
    <n v="0.88300000000000001"/>
    <n v="1.9"/>
    <n v="0.10199999999999999"/>
    <n v="2020"/>
    <n v="10.7"/>
    <n v="3.8"/>
    <n v="1.3"/>
    <n v="1.8"/>
    <x v="1"/>
    <x v="10"/>
    <n v="0"/>
  </r>
  <r>
    <x v="41"/>
    <x v="29"/>
    <x v="1549"/>
    <s v="Kentucky"/>
    <n v="2"/>
    <n v="59"/>
    <n v="407"/>
    <n v="155"/>
    <n v="91"/>
    <n v="15"/>
    <n v="0.65600000000000003"/>
    <n v="0"/>
    <n v="0.71199999999999997"/>
    <n v="1"/>
    <n v="0.124"/>
    <n v="2020"/>
    <n v="6.9"/>
    <n v="2.6"/>
    <n v="1.5"/>
    <n v="0.3"/>
    <x v="1"/>
    <x v="11"/>
    <n v="0"/>
  </r>
  <r>
    <x v="42"/>
    <x v="6"/>
    <x v="1550"/>
    <s v="Texas Tech"/>
    <n v="2"/>
    <n v="32"/>
    <n v="228"/>
    <n v="100"/>
    <n v="23"/>
    <n v="13"/>
    <n v="0.40600000000000003"/>
    <n v="0.27"/>
    <n v="0.63200000000000001"/>
    <n v="-0.1"/>
    <n v="-0.02"/>
    <n v="2020"/>
    <n v="7.1"/>
    <n v="3.1"/>
    <n v="0.7"/>
    <n v="0.4"/>
    <x v="1"/>
    <x v="12"/>
    <n v="0"/>
  </r>
  <r>
    <x v="43"/>
    <x v="20"/>
    <x v="1551"/>
    <s v="NA"/>
    <n v="1"/>
    <n v="9"/>
    <n v="35"/>
    <n v="17"/>
    <n v="10"/>
    <n v="0"/>
    <n v="0.26700000000000002"/>
    <n v="0.2"/>
    <n v="0.72699999999999998"/>
    <n v="0"/>
    <n v="2E-3"/>
    <n v="2020"/>
    <n v="3.9"/>
    <n v="1.9"/>
    <n v="1.1000000000000001"/>
    <n v="0"/>
    <x v="1"/>
    <x v="13"/>
    <n v="0"/>
  </r>
  <r>
    <x v="44"/>
    <x v="12"/>
    <x v="1552"/>
    <s v="Louisville"/>
    <n v="2"/>
    <n v="76"/>
    <n v="1178"/>
    <n v="552"/>
    <n v="230"/>
    <n v="53"/>
    <n v="0.42299999999999999"/>
    <n v="0.38900000000000001"/>
    <n v="0.77100000000000002"/>
    <n v="1.1000000000000001"/>
    <n v="4.4999999999999998E-2"/>
    <n v="2020"/>
    <n v="15.5"/>
    <n v="7.3"/>
    <n v="3"/>
    <n v="0.7"/>
    <x v="1"/>
    <x v="14"/>
    <n v="0"/>
  </r>
  <r>
    <x v="45"/>
    <x v="17"/>
    <x v="1553"/>
    <s v="Washington State"/>
    <n v="2"/>
    <n v="65"/>
    <n v="722"/>
    <n v="219"/>
    <n v="135"/>
    <n v="49"/>
    <n v="0.38800000000000001"/>
    <n v="0.26"/>
    <n v="0.78"/>
    <n v="0.7"/>
    <n v="4.4999999999999998E-2"/>
    <n v="2020"/>
    <n v="11.1"/>
    <n v="3.4"/>
    <n v="2.1"/>
    <n v="0.8"/>
    <x v="1"/>
    <x v="15"/>
    <n v="0"/>
  </r>
  <r>
    <x v="47"/>
    <x v="10"/>
    <x v="1554"/>
    <s v="Arizona"/>
    <n v="1"/>
    <n v="30"/>
    <n v="364"/>
    <n v="123"/>
    <n v="46"/>
    <n v="70"/>
    <n v="0.34200000000000003"/>
    <n v="0.36699999999999999"/>
    <n v="0.82099999999999995"/>
    <n v="0.2"/>
    <n v="2.9000000000000001E-2"/>
    <n v="2020"/>
    <n v="12.1"/>
    <n v="4.0999999999999996"/>
    <n v="1.5"/>
    <n v="2.2999999999999998"/>
    <x v="1"/>
    <x v="17"/>
    <n v="0"/>
  </r>
  <r>
    <x v="52"/>
    <x v="21"/>
    <x v="1555"/>
    <s v="Arkansas"/>
    <n v="2"/>
    <n v="82"/>
    <n v="885"/>
    <n v="309"/>
    <n v="82"/>
    <n v="48"/>
    <n v="0.35599999999999998"/>
    <n v="0.34899999999999998"/>
    <n v="0.84399999999999997"/>
    <n v="1"/>
    <n v="5.2999999999999999E-2"/>
    <n v="2020"/>
    <n v="10.8"/>
    <n v="3.8"/>
    <n v="1"/>
    <n v="0.6"/>
    <x v="1"/>
    <x v="18"/>
    <n v="0"/>
  </r>
  <r>
    <x v="48"/>
    <x v="9"/>
    <x v="1556"/>
    <s v="LSU"/>
    <n v="2"/>
    <n v="56"/>
    <n v="476"/>
    <n v="202"/>
    <n v="60"/>
    <n v="46"/>
    <n v="0.47199999999999998"/>
    <n v="0.33800000000000002"/>
    <n v="0.88200000000000001"/>
    <n v="1.1000000000000001"/>
    <n v="0.108"/>
    <n v="2020"/>
    <n v="8.5"/>
    <n v="3.6"/>
    <n v="1.1000000000000001"/>
    <n v="0.8"/>
    <x v="1"/>
    <x v="19"/>
    <n v="0"/>
  </r>
  <r>
    <x v="50"/>
    <x v="6"/>
    <x v="1557"/>
    <s v="NA"/>
    <n v="2"/>
    <n v="100"/>
    <n v="2165"/>
    <n v="892"/>
    <n v="456"/>
    <n v="120"/>
    <n v="0.51800000000000002"/>
    <n v="0.33800000000000002"/>
    <n v="0.68"/>
    <n v="4.0999999999999996"/>
    <n v="0.09"/>
    <n v="2020"/>
    <n v="21.7"/>
    <n v="8.9"/>
    <n v="4.5999999999999996"/>
    <n v="1.2"/>
    <x v="1"/>
    <x v="21"/>
    <n v="0"/>
  </r>
  <r>
    <x v="57"/>
    <x v="1"/>
    <x v="1558"/>
    <s v="Michigan State"/>
    <n v="2"/>
    <n v="26"/>
    <n v="121"/>
    <n v="51"/>
    <n v="9"/>
    <n v="16"/>
    <n v="0.436"/>
    <n v="0.45500000000000002"/>
    <n v="0.875"/>
    <n v="0.2"/>
    <n v="8.4000000000000005E-2"/>
    <n v="2020"/>
    <n v="4.7"/>
    <n v="2"/>
    <n v="0.3"/>
    <n v="0.6"/>
    <x v="1"/>
    <x v="22"/>
    <n v="0"/>
  </r>
  <r>
    <x v="51"/>
    <x v="24"/>
    <x v="1559"/>
    <s v="Duke"/>
    <n v="2"/>
    <n v="33"/>
    <n v="248"/>
    <n v="88"/>
    <n v="39"/>
    <n v="5"/>
    <n v="0.36"/>
    <n v="0.23300000000000001"/>
    <n v="0.89500000000000002"/>
    <n v="0"/>
    <n v="-7.0000000000000001E-3"/>
    <n v="2020"/>
    <n v="7.5"/>
    <n v="2.7"/>
    <n v="1.2"/>
    <n v="0.2"/>
    <x v="1"/>
    <x v="23"/>
    <n v="0"/>
  </r>
  <r>
    <x v="53"/>
    <x v="0"/>
    <x v="1560"/>
    <s v="John A. Logan College"/>
    <n v="2"/>
    <n v="22"/>
    <n v="205"/>
    <n v="84"/>
    <n v="30"/>
    <n v="9"/>
    <n v="0.39"/>
    <n v="0.26700000000000002"/>
    <n v="0.8"/>
    <n v="-0.1"/>
    <n v="-2.5999999999999999E-2"/>
    <n v="2020"/>
    <n v="9.3000000000000007"/>
    <n v="3.8"/>
    <n v="1.4"/>
    <n v="0.4"/>
    <x v="1"/>
    <x v="24"/>
    <n v="0"/>
  </r>
  <r>
    <x v="54"/>
    <x v="4"/>
    <x v="1561"/>
    <s v="College of Charleston"/>
    <n v="1"/>
    <n v="7"/>
    <n v="27"/>
    <n v="18"/>
    <n v="1"/>
    <n v="3"/>
    <n v="0.66700000000000004"/>
    <n v="0.5"/>
    <n v="0"/>
    <n v="0.1"/>
    <n v="0.17699999999999999"/>
    <n v="2020"/>
    <n v="3.9"/>
    <n v="2.6"/>
    <n v="0.1"/>
    <n v="0.4"/>
    <x v="1"/>
    <x v="25"/>
    <n v="0"/>
  </r>
  <r>
    <x v="55"/>
    <x v="7"/>
    <x v="1562"/>
    <s v="Mississippi State"/>
    <n v="2"/>
    <n v="29"/>
    <n v="262"/>
    <n v="91"/>
    <n v="81"/>
    <n v="16"/>
    <n v="0.42"/>
    <n v="0.217"/>
    <n v="0.8"/>
    <n v="0.3"/>
    <n v="4.5999999999999999E-2"/>
    <n v="2020"/>
    <n v="9"/>
    <n v="3.1"/>
    <n v="2.8"/>
    <n v="0.6"/>
    <x v="1"/>
    <x v="26"/>
    <n v="0"/>
  </r>
  <r>
    <x v="56"/>
    <x v="21"/>
    <x v="1563"/>
    <s v="DePaul"/>
    <n v="2"/>
    <n v="50"/>
    <n v="406"/>
    <n v="146"/>
    <n v="126"/>
    <n v="22"/>
    <n v="0.5"/>
    <n v="0"/>
    <n v="0.44400000000000001"/>
    <n v="1.2"/>
    <n v="0.13600000000000001"/>
    <n v="2020"/>
    <n v="8.1"/>
    <n v="2.9"/>
    <n v="2.5"/>
    <n v="0.4"/>
    <x v="1"/>
    <x v="27"/>
    <n v="0"/>
  </r>
  <r>
    <x v="59"/>
    <x v="28"/>
    <x v="1564"/>
    <s v="Nevada"/>
    <n v="1"/>
    <n v="13"/>
    <n v="172"/>
    <n v="96"/>
    <n v="18"/>
    <n v="17"/>
    <n v="0.5"/>
    <n v="0.47199999999999998"/>
    <n v="0.77800000000000002"/>
    <n v="0.3"/>
    <n v="7.9000000000000001E-2"/>
    <n v="2020"/>
    <n v="13.2"/>
    <n v="7.4"/>
    <n v="1.4"/>
    <n v="1.3"/>
    <x v="1"/>
    <x v="28"/>
    <n v="0"/>
  </r>
  <r>
    <x v="58"/>
    <x v="29"/>
    <x v="1565"/>
    <s v="Utah State University"/>
    <n v="2"/>
    <n v="36"/>
    <n v="291"/>
    <n v="114"/>
    <n v="37"/>
    <n v="25"/>
    <n v="0.41699999999999998"/>
    <n v="0.4"/>
    <n v="0.75"/>
    <n v="0.5"/>
    <n v="8.6999999999999994E-2"/>
    <n v="2020"/>
    <n v="8.1"/>
    <n v="3.2"/>
    <n v="1"/>
    <n v="0.7"/>
    <x v="1"/>
    <x v="29"/>
    <n v="0"/>
  </r>
  <r>
    <x v="0"/>
    <x v="18"/>
    <x v="1566"/>
    <s v="Oklahoma State"/>
    <n v="1"/>
    <n v="44"/>
    <n v="1400"/>
    <n v="692"/>
    <n v="241"/>
    <n v="227"/>
    <n v="0.39400000000000002"/>
    <n v="0.32700000000000001"/>
    <n v="0.85599999999999998"/>
    <n v="-0.8"/>
    <n v="-2.8000000000000001E-2"/>
    <n v="2021"/>
    <n v="31.8"/>
    <n v="15.7"/>
    <n v="5.5"/>
    <n v="5.2"/>
    <x v="0"/>
    <x v="0"/>
    <n v="0"/>
  </r>
  <r>
    <x v="1"/>
    <x v="11"/>
    <x v="1567"/>
    <s v="NA"/>
    <n v="1"/>
    <n v="43"/>
    <n v="1307"/>
    <n v="627"/>
    <n v="134"/>
    <n v="100"/>
    <n v="0.38700000000000001"/>
    <n v="0.311"/>
    <n v="0.81799999999999995"/>
    <n v="-0.8"/>
    <n v="-0.03"/>
    <n v="2021"/>
    <n v="30.4"/>
    <n v="14.6"/>
    <n v="3.1"/>
    <n v="2.2999999999999998"/>
    <x v="0"/>
    <x v="1"/>
    <n v="0"/>
  </r>
  <r>
    <x v="2"/>
    <x v="25"/>
    <x v="1568"/>
    <s v="USC"/>
    <n v="1"/>
    <n v="50"/>
    <n v="1703"/>
    <n v="743"/>
    <n v="403"/>
    <n v="128"/>
    <n v="0.503"/>
    <n v="0.26500000000000001"/>
    <n v="0.67200000000000004"/>
    <n v="4.2"/>
    <n v="0.11700000000000001"/>
    <n v="2021"/>
    <n v="34.1"/>
    <n v="14.9"/>
    <n v="8.1"/>
    <n v="2.6"/>
    <x v="0"/>
    <x v="2"/>
    <n v="0"/>
  </r>
  <r>
    <x v="3"/>
    <x v="28"/>
    <x v="1569"/>
    <s v="Florida State"/>
    <n v="1"/>
    <n v="49"/>
    <n v="1736"/>
    <n v="706"/>
    <n v="365"/>
    <n v="164"/>
    <n v="0.47"/>
    <n v="0.313"/>
    <n v="0.73299999999999998"/>
    <n v="3.8"/>
    <n v="0.104"/>
    <n v="2021"/>
    <n v="35.4"/>
    <n v="14.4"/>
    <n v="7.4"/>
    <n v="3.3"/>
    <x v="0"/>
    <x v="3"/>
    <n v="0"/>
  </r>
  <r>
    <x v="4"/>
    <x v="3"/>
    <x v="1570"/>
    <s v="Gonzaga"/>
    <n v="1"/>
    <n v="39"/>
    <n v="1100"/>
    <n v="492"/>
    <n v="146"/>
    <n v="170"/>
    <n v="0.36699999999999999"/>
    <n v="0.22800000000000001"/>
    <n v="0.77600000000000002"/>
    <n v="-1.2"/>
    <n v="-5.1999999999999998E-2"/>
    <n v="2021"/>
    <n v="28.2"/>
    <n v="12.6"/>
    <n v="3.7"/>
    <n v="4.4000000000000004"/>
    <x v="0"/>
    <x v="4"/>
    <n v="0"/>
  </r>
  <r>
    <x v="5"/>
    <x v="1"/>
    <x v="1571"/>
    <s v="NA"/>
    <n v="1"/>
    <n v="53"/>
    <n v="1664"/>
    <n v="659"/>
    <n v="412"/>
    <n v="339"/>
    <n v="0.41799999999999998"/>
    <n v="0.26700000000000002"/>
    <n v="0.70499999999999996"/>
    <n v="0.9"/>
    <n v="2.7E-2"/>
    <n v="2021"/>
    <n v="31.4"/>
    <n v="12.4"/>
    <n v="7.8"/>
    <n v="6.4"/>
    <x v="0"/>
    <x v="5"/>
    <n v="0"/>
  </r>
  <r>
    <x v="6"/>
    <x v="10"/>
    <x v="1572"/>
    <s v="NA"/>
    <n v="1"/>
    <n v="47"/>
    <n v="680"/>
    <n v="374"/>
    <n v="132"/>
    <n v="33"/>
    <n v="0.51100000000000001"/>
    <n v="0.32200000000000001"/>
    <n v="0.65500000000000003"/>
    <n v="1.7"/>
    <n v="0.11700000000000001"/>
    <n v="2021"/>
    <n v="14.5"/>
    <n v="8"/>
    <n v="2.8"/>
    <n v="0.7"/>
    <x v="0"/>
    <x v="6"/>
    <n v="0"/>
  </r>
  <r>
    <x v="7"/>
    <x v="3"/>
    <x v="1573"/>
    <s v="Michigan"/>
    <n v="1"/>
    <n v="60"/>
    <n v="1918"/>
    <n v="935"/>
    <n v="275"/>
    <n v="178"/>
    <n v="0.46600000000000003"/>
    <n v="0.36199999999999999"/>
    <n v="0.85399999999999998"/>
    <n v="2.9"/>
    <n v="7.1999999999999995E-2"/>
    <n v="2021"/>
    <n v="32"/>
    <n v="15.6"/>
    <n v="4.5999999999999996"/>
    <n v="3"/>
    <x v="0"/>
    <x v="7"/>
    <n v="0"/>
  </r>
  <r>
    <x v="8"/>
    <x v="6"/>
    <x v="1574"/>
    <s v="Baylor"/>
    <n v="1"/>
    <n v="53"/>
    <n v="1376"/>
    <n v="551"/>
    <n v="125"/>
    <n v="183"/>
    <n v="0.40600000000000003"/>
    <n v="0.32600000000000001"/>
    <n v="0.55800000000000005"/>
    <n v="0.2"/>
    <n v="6.0000000000000001E-3"/>
    <n v="2021"/>
    <n v="26"/>
    <n v="10.4"/>
    <n v="2.4"/>
    <n v="3.5"/>
    <x v="0"/>
    <x v="8"/>
    <n v="0"/>
  </r>
  <r>
    <x v="9"/>
    <x v="29"/>
    <x v="1575"/>
    <s v="Stanford"/>
    <n v="1"/>
    <n v="40"/>
    <n v="861"/>
    <n v="291"/>
    <n v="71"/>
    <n v="35"/>
    <n v="0.441"/>
    <n v="0.28399999999999997"/>
    <n v="0.76"/>
    <n v="1"/>
    <n v="5.7000000000000002E-2"/>
    <n v="2021"/>
    <n v="21.5"/>
    <n v="7.3"/>
    <n v="1.8"/>
    <n v="0.9"/>
    <x v="0"/>
    <x v="9"/>
    <n v="0"/>
  </r>
  <r>
    <x v="10"/>
    <x v="4"/>
    <x v="1576"/>
    <s v="UConn"/>
    <n v="1"/>
    <n v="28"/>
    <n v="296"/>
    <n v="140"/>
    <n v="48"/>
    <n v="23"/>
    <n v="0.35299999999999998"/>
    <n v="0.34699999999999998"/>
    <n v="0.871"/>
    <n v="0.1"/>
    <n v="1.4999999999999999E-2"/>
    <n v="2021"/>
    <n v="10.6"/>
    <n v="5"/>
    <n v="1.7"/>
    <n v="0.8"/>
    <x v="0"/>
    <x v="10"/>
    <n v="0"/>
  </r>
  <r>
    <x v="11"/>
    <x v="16"/>
    <x v="1577"/>
    <s v="Alabama"/>
    <n v="1"/>
    <n v="30"/>
    <n v="476"/>
    <n v="147"/>
    <n v="52"/>
    <n v="42"/>
    <n v="0.36899999999999999"/>
    <n v="0.32"/>
    <n v="0.76"/>
    <n v="0.1"/>
    <n v="7.0000000000000001E-3"/>
    <n v="2021"/>
    <n v="15.9"/>
    <n v="4.9000000000000004"/>
    <n v="1.7"/>
    <n v="1.4"/>
    <x v="0"/>
    <x v="11"/>
    <n v="0"/>
  </r>
  <r>
    <x v="12"/>
    <x v="24"/>
    <x v="1578"/>
    <s v="Oregon"/>
    <n v="1"/>
    <n v="50"/>
    <n v="1433"/>
    <n v="671"/>
    <n v="205"/>
    <n v="110"/>
    <n v="0.435"/>
    <n v="0.36399999999999999"/>
    <n v="0.79200000000000004"/>
    <n v="1.3"/>
    <n v="4.4999999999999998E-2"/>
    <n v="2021"/>
    <n v="28.7"/>
    <n v="13.4"/>
    <n v="4.0999999999999996"/>
    <n v="2.2000000000000002"/>
    <x v="0"/>
    <x v="12"/>
    <n v="0"/>
  </r>
  <r>
    <x v="13"/>
    <x v="10"/>
    <x v="1579"/>
    <s v="Arkansas"/>
    <n v="1"/>
    <n v="34"/>
    <n v="322"/>
    <n v="109"/>
    <n v="46"/>
    <n v="11"/>
    <n v="0.376"/>
    <n v="0.30599999999999999"/>
    <n v="0.82399999999999995"/>
    <n v="0.4"/>
    <n v="6.5000000000000002E-2"/>
    <n v="2021"/>
    <n v="9.5"/>
    <n v="3.2"/>
    <n v="1.4"/>
    <n v="0.3"/>
    <x v="0"/>
    <x v="13"/>
    <n v="0"/>
  </r>
  <r>
    <x v="14"/>
    <x v="23"/>
    <x v="1580"/>
    <s v="Gonzaga"/>
    <n v="1"/>
    <n v="53"/>
    <n v="1051"/>
    <n v="360"/>
    <n v="135"/>
    <n v="50"/>
    <n v="0.43"/>
    <n v="0.32200000000000001"/>
    <n v="0.88400000000000001"/>
    <n v="1.2"/>
    <n v="5.5E-2"/>
    <n v="2021"/>
    <n v="19.8"/>
    <n v="6.8"/>
    <n v="2.5"/>
    <n v="0.9"/>
    <x v="0"/>
    <x v="14"/>
    <n v="0"/>
  </r>
  <r>
    <x v="15"/>
    <x v="1"/>
    <x v="1581"/>
    <s v="NA"/>
    <n v="1"/>
    <n v="50"/>
    <n v="937"/>
    <n v="437"/>
    <n v="240"/>
    <n v="125"/>
    <n v="0.48099999999999998"/>
    <n v="0.27700000000000002"/>
    <n v="0.69799999999999995"/>
    <n v="1.3"/>
    <n v="6.5000000000000002E-2"/>
    <n v="2021"/>
    <n v="18.7"/>
    <n v="8.6999999999999993"/>
    <n v="4.8"/>
    <n v="2.5"/>
    <x v="0"/>
    <x v="15"/>
    <n v="0"/>
  </r>
  <r>
    <x v="16"/>
    <x v="27"/>
    <x v="1582"/>
    <s v="Virginia"/>
    <n v="1"/>
    <n v="41"/>
    <n v="519"/>
    <n v="160"/>
    <n v="88"/>
    <n v="20"/>
    <n v="0.33800000000000002"/>
    <n v="0.33600000000000002"/>
    <n v="0.85699999999999998"/>
    <n v="0.6"/>
    <n v="5.1999999999999998E-2"/>
    <n v="2021"/>
    <n v="12.7"/>
    <n v="3.9"/>
    <n v="2.1"/>
    <n v="0.5"/>
    <x v="0"/>
    <x v="16"/>
    <n v="0"/>
  </r>
  <r>
    <x v="17"/>
    <x v="1"/>
    <x v="1583"/>
    <s v="Florida"/>
    <n v="1"/>
    <n v="45"/>
    <n v="898"/>
    <n v="390"/>
    <n v="100"/>
    <n v="45"/>
    <n v="0.38300000000000001"/>
    <n v="0.36499999999999999"/>
    <n v="0.75"/>
    <n v="0.2"/>
    <n v="1.2999999999999999E-2"/>
    <n v="2021"/>
    <n v="20"/>
    <n v="8.6999999999999993"/>
    <n v="2.2000000000000002"/>
    <n v="1"/>
    <x v="0"/>
    <x v="17"/>
    <n v="0"/>
  </r>
  <r>
    <x v="18"/>
    <x v="13"/>
    <x v="1584"/>
    <s v="Texas"/>
    <n v="1"/>
    <n v="17"/>
    <n v="48"/>
    <n v="16"/>
    <n v="8"/>
    <n v="4"/>
    <n v="0.63600000000000001"/>
    <n v="0.5"/>
    <n v="0.25"/>
    <n v="0"/>
    <n v="-2.1999999999999999E-2"/>
    <n v="2021"/>
    <n v="2.8"/>
    <n v="0.9"/>
    <n v="0.5"/>
    <n v="0.2"/>
    <x v="0"/>
    <x v="18"/>
    <n v="0"/>
  </r>
  <r>
    <x v="19"/>
    <x v="9"/>
    <x v="1585"/>
    <s v="Duke"/>
    <n v="1"/>
    <n v="14"/>
    <n v="64"/>
    <n v="25"/>
    <n v="16"/>
    <n v="1"/>
    <n v="0.45"/>
    <n v="0.375"/>
    <n v="0.66700000000000004"/>
    <n v="0"/>
    <n v="8.9999999999999993E-3"/>
    <n v="2021"/>
    <n v="4.5999999999999996"/>
    <n v="1.8"/>
    <n v="1.1000000000000001"/>
    <n v="0.1"/>
    <x v="0"/>
    <x v="19"/>
    <n v="0"/>
  </r>
  <r>
    <x v="20"/>
    <x v="13"/>
    <x v="1586"/>
    <s v="Tennessee"/>
    <n v="1"/>
    <n v="15"/>
    <n v="135"/>
    <n v="53"/>
    <n v="21"/>
    <n v="13"/>
    <n v="0.33300000000000002"/>
    <n v="0.27300000000000002"/>
    <n v="0.76200000000000001"/>
    <n v="0.1"/>
    <n v="2.1000000000000001E-2"/>
    <n v="2021"/>
    <n v="9"/>
    <n v="3.5"/>
    <n v="1.4"/>
    <n v="0.9"/>
    <x v="0"/>
    <x v="20"/>
    <n v="0"/>
  </r>
  <r>
    <x v="21"/>
    <x v="19"/>
    <x v="1587"/>
    <s v="Kentucky"/>
    <n v="1"/>
    <n v="20"/>
    <n v="193"/>
    <n v="115"/>
    <n v="55"/>
    <n v="7"/>
    <n v="0.54200000000000004"/>
    <n v="0.42899999999999999"/>
    <n v="0.66700000000000004"/>
    <n v="0.7"/>
    <n v="0.17299999999999999"/>
    <n v="2021"/>
    <n v="9.6999999999999993"/>
    <n v="5.8"/>
    <n v="2.8"/>
    <n v="0.4"/>
    <x v="0"/>
    <x v="21"/>
    <n v="0"/>
  </r>
  <r>
    <x v="22"/>
    <x v="11"/>
    <x v="1588"/>
    <s v="NA"/>
    <n v="1"/>
    <n v="15"/>
    <n v="105"/>
    <n v="19"/>
    <n v="34"/>
    <n v="8"/>
    <n v="0.33300000000000002"/>
    <n v="0.154"/>
    <n v="0.5"/>
    <n v="0.1"/>
    <n v="5.1999999999999998E-2"/>
    <n v="2021"/>
    <n v="7"/>
    <n v="1.3"/>
    <n v="2.2999999999999998"/>
    <n v="0.5"/>
    <x v="0"/>
    <x v="22"/>
    <n v="0"/>
  </r>
  <r>
    <x v="23"/>
    <x v="11"/>
    <x v="1589"/>
    <s v="Arizona State"/>
    <n v="1"/>
    <n v="50"/>
    <n v="827"/>
    <n v="370"/>
    <n v="107"/>
    <n v="87"/>
    <n v="0.45200000000000001"/>
    <n v="0.32200000000000001"/>
    <n v="0.77300000000000002"/>
    <n v="0.3"/>
    <n v="1.7000000000000001E-2"/>
    <n v="2021"/>
    <n v="16.5"/>
    <n v="7.4"/>
    <n v="2.1"/>
    <n v="1.7"/>
    <x v="0"/>
    <x v="23"/>
    <n v="0"/>
  </r>
  <r>
    <x v="24"/>
    <x v="7"/>
    <x v="1590"/>
    <s v="Houston"/>
    <n v="1"/>
    <n v="39"/>
    <n v="696"/>
    <n v="253"/>
    <n v="77"/>
    <n v="38"/>
    <n v="0.42099999999999999"/>
    <n v="0.39800000000000002"/>
    <n v="0.64700000000000002"/>
    <n v="1.3"/>
    <n v="9.0999999999999998E-2"/>
    <n v="2021"/>
    <n v="17.8"/>
    <n v="6.5"/>
    <n v="2"/>
    <n v="1"/>
    <x v="0"/>
    <x v="24"/>
    <n v="0"/>
  </r>
  <r>
    <x v="25"/>
    <x v="2"/>
    <x v="1591"/>
    <s v="VCU"/>
    <n v="1"/>
    <n v="46"/>
    <n v="829"/>
    <n v="403"/>
    <n v="126"/>
    <n v="93"/>
    <n v="0.36899999999999999"/>
    <n v="0.34599999999999997"/>
    <n v="0.88100000000000001"/>
    <n v="0.5"/>
    <n v="2.7E-2"/>
    <n v="2021"/>
    <n v="18"/>
    <n v="8.8000000000000007"/>
    <n v="2.7"/>
    <n v="2"/>
    <x v="0"/>
    <x v="25"/>
    <n v="0"/>
  </r>
  <r>
    <x v="26"/>
    <x v="0"/>
    <x v="1592"/>
    <s v="LSU"/>
    <n v="1"/>
    <n v="48"/>
    <n v="939"/>
    <n v="470"/>
    <n v="125"/>
    <n v="62"/>
    <n v="0.44500000000000001"/>
    <n v="0.27300000000000002"/>
    <n v="0.80800000000000005"/>
    <n v="0.9"/>
    <n v="4.5999999999999999E-2"/>
    <n v="2021"/>
    <n v="19.600000000000001"/>
    <n v="9.8000000000000007"/>
    <n v="2.6"/>
    <n v="1.3"/>
    <x v="0"/>
    <x v="26"/>
    <n v="0"/>
  </r>
  <r>
    <x v="27"/>
    <x v="21"/>
    <x v="1593"/>
    <s v="Tennessee"/>
    <n v="1"/>
    <n v="2"/>
    <n v="6"/>
    <n v="2"/>
    <n v="2"/>
    <n v="0"/>
    <n v="1"/>
    <n v="0"/>
    <n v="0"/>
    <n v="0"/>
    <n v="0.14099999999999999"/>
    <n v="2021"/>
    <n v="3"/>
    <n v="1"/>
    <n v="1"/>
    <n v="0"/>
    <x v="0"/>
    <x v="27"/>
    <n v="0"/>
  </r>
  <r>
    <x v="28"/>
    <x v="15"/>
    <x v="1594"/>
    <s v="UNC"/>
    <n v="1"/>
    <n v="30"/>
    <n v="373"/>
    <n v="182"/>
    <n v="152"/>
    <n v="15"/>
    <n v="0.57099999999999995"/>
    <n v="0.25"/>
    <n v="0.56799999999999995"/>
    <n v="1.1000000000000001"/>
    <n v="0.14599999999999999"/>
    <n v="2021"/>
    <n v="12.4"/>
    <n v="6.1"/>
    <n v="5.0999999999999996"/>
    <n v="0.5"/>
    <x v="0"/>
    <x v="28"/>
    <n v="0"/>
  </r>
  <r>
    <x v="29"/>
    <x v="22"/>
    <x v="1595"/>
    <s v="Loyola (MD)"/>
    <n v="1"/>
    <n v="27"/>
    <n v="277"/>
    <n v="90"/>
    <n v="64"/>
    <n v="14"/>
    <n v="0.38100000000000001"/>
    <n v="0.10299999999999999"/>
    <n v="0.6"/>
    <n v="0.1"/>
    <n v="2.5000000000000001E-2"/>
    <n v="2021"/>
    <n v="10.3"/>
    <n v="3.3"/>
    <n v="2.4"/>
    <n v="0.5"/>
    <x v="0"/>
    <x v="29"/>
    <n v="0"/>
  </r>
  <r>
    <x v="30"/>
    <x v="12"/>
    <x v="1596"/>
    <s v="NA"/>
    <n v="1"/>
    <n v="10"/>
    <n v="41"/>
    <n v="16"/>
    <n v="10"/>
    <n v="3"/>
    <n v="0.29399999999999998"/>
    <n v="0.36399999999999999"/>
    <n v="0.33300000000000002"/>
    <n v="0"/>
    <n v="4.0000000000000001E-3"/>
    <n v="2021"/>
    <n v="4.0999999999999996"/>
    <n v="1.6"/>
    <n v="1"/>
    <n v="0.3"/>
    <x v="1"/>
    <x v="0"/>
    <n v="0"/>
  </r>
  <r>
    <x v="31"/>
    <x v="13"/>
    <x v="1597"/>
    <s v="Villanova"/>
    <n v="1"/>
    <n v="44"/>
    <n v="1014"/>
    <n v="314"/>
    <n v="254"/>
    <n v="44"/>
    <n v="0.40100000000000002"/>
    <n v="0.33300000000000002"/>
    <n v="0.71399999999999997"/>
    <n v="1.4"/>
    <n v="6.8000000000000005E-2"/>
    <n v="2021"/>
    <n v="23"/>
    <n v="7.1"/>
    <n v="5.8"/>
    <n v="1"/>
    <x v="1"/>
    <x v="1"/>
    <n v="0"/>
  </r>
  <r>
    <x v="34"/>
    <x v="29"/>
    <x v="1598"/>
    <s v="Alabama"/>
    <n v="1"/>
    <n v="56"/>
    <n v="1677"/>
    <n v="536"/>
    <n v="218"/>
    <n v="118"/>
    <n v="0.499"/>
    <n v="0.35799999999999998"/>
    <n v="0.85499999999999998"/>
    <n v="3.5"/>
    <n v="9.9000000000000005E-2"/>
    <n v="2021"/>
    <n v="29.9"/>
    <n v="9.6"/>
    <n v="3.9"/>
    <n v="2.1"/>
    <x v="1"/>
    <x v="4"/>
    <n v="0"/>
  </r>
  <r>
    <x v="35"/>
    <x v="1"/>
    <x v="1599"/>
    <s v="West Virginia"/>
    <n v="1"/>
    <n v="21"/>
    <n v="151"/>
    <n v="38"/>
    <n v="16"/>
    <n v="23"/>
    <n v="0.25900000000000001"/>
    <n v="0.161"/>
    <n v="0.75"/>
    <n v="-0.1"/>
    <n v="-0.03"/>
    <n v="2021"/>
    <n v="7.2"/>
    <n v="1.8"/>
    <n v="0.8"/>
    <n v="1.1000000000000001"/>
    <x v="1"/>
    <x v="5"/>
    <n v="0"/>
  </r>
  <r>
    <x v="36"/>
    <x v="18"/>
    <x v="1600"/>
    <s v="Auburn"/>
    <n v="1"/>
    <n v="19"/>
    <n v="171"/>
    <n v="49"/>
    <n v="27"/>
    <n v="13"/>
    <n v="0.40500000000000003"/>
    <n v="0.29199999999999998"/>
    <n v="0.66700000000000004"/>
    <n v="0.3"/>
    <n v="7.1999999999999995E-2"/>
    <n v="2021"/>
    <n v="9"/>
    <n v="2.6"/>
    <n v="1.4"/>
    <n v="0.7"/>
    <x v="1"/>
    <x v="6"/>
    <n v="0"/>
  </r>
  <r>
    <x v="37"/>
    <x v="20"/>
    <x v="1601"/>
    <s v="Illinois"/>
    <n v="1"/>
    <n v="54"/>
    <n v="1398"/>
    <n v="440"/>
    <n v="151"/>
    <n v="166"/>
    <n v="0.52300000000000002"/>
    <n v="0.40699999999999997"/>
    <n v="0.67700000000000005"/>
    <n v="2.5"/>
    <n v="8.6999999999999994E-2"/>
    <n v="2021"/>
    <n v="25.9"/>
    <n v="8.1"/>
    <n v="2.8"/>
    <n v="3.1"/>
    <x v="1"/>
    <x v="7"/>
    <n v="0"/>
  </r>
  <r>
    <x v="38"/>
    <x v="6"/>
    <x v="1602"/>
    <s v="Utah State University"/>
    <n v="1"/>
    <n v="10"/>
    <n v="56"/>
    <n v="21"/>
    <n v="19"/>
    <n v="4"/>
    <n v="0.39100000000000001"/>
    <n v="0"/>
    <n v="0.6"/>
    <n v="0"/>
    <n v="8.0000000000000002E-3"/>
    <n v="2021"/>
    <n v="5.6"/>
    <n v="2.1"/>
    <n v="1.9"/>
    <n v="0.4"/>
    <x v="1"/>
    <x v="8"/>
    <n v="0"/>
  </r>
  <r>
    <x v="39"/>
    <x v="29"/>
    <x v="1603"/>
    <s v="Baylor"/>
    <n v="1"/>
    <n v="28"/>
    <n v="213"/>
    <n v="96"/>
    <n v="23"/>
    <n v="34"/>
    <n v="0.40899999999999997"/>
    <n v="0.36199999999999999"/>
    <n v="0.58299999999999996"/>
    <n v="0.2"/>
    <n v="3.7999999999999999E-2"/>
    <n v="2021"/>
    <n v="7.6"/>
    <n v="3.4"/>
    <n v="0.8"/>
    <n v="1.2"/>
    <x v="1"/>
    <x v="9"/>
    <n v="0"/>
  </r>
  <r>
    <x v="40"/>
    <x v="16"/>
    <x v="1604"/>
    <s v="Iowa"/>
    <n v="1"/>
    <n v="15"/>
    <n v="92"/>
    <n v="37"/>
    <n v="8"/>
    <n v="5"/>
    <n v="0.46400000000000002"/>
    <n v="0.42099999999999999"/>
    <n v="0.42899999999999999"/>
    <n v="0.2"/>
    <n v="0.106"/>
    <n v="2021"/>
    <n v="6.1"/>
    <n v="2.5"/>
    <n v="0.5"/>
    <n v="0.3"/>
    <x v="1"/>
    <x v="10"/>
    <n v="0"/>
  </r>
  <r>
    <x v="41"/>
    <x v="18"/>
    <x v="1605"/>
    <s v="Michigan"/>
    <n v="1"/>
    <n v="1"/>
    <n v="5"/>
    <n v="0"/>
    <n v="0"/>
    <n v="0"/>
    <n v="0"/>
    <n v="0"/>
    <n v="0"/>
    <n v="-0.1"/>
    <n v="-0.52"/>
    <n v="2021"/>
    <n v="5"/>
    <n v="0"/>
    <n v="0"/>
    <n v="0"/>
    <x v="1"/>
    <x v="11"/>
    <n v="0"/>
  </r>
  <r>
    <x v="42"/>
    <x v="29"/>
    <x v="1606"/>
    <s v="Texas"/>
    <n v="1"/>
    <n v="28"/>
    <n v="220"/>
    <n v="93"/>
    <n v="56"/>
    <n v="7"/>
    <n v="0.432"/>
    <n v="0.19"/>
    <n v="0.63300000000000001"/>
    <n v="0.2"/>
    <n v="5.3999999999999999E-2"/>
    <n v="2021"/>
    <n v="7.9"/>
    <n v="3.3"/>
    <n v="2"/>
    <n v="0.3"/>
    <x v="1"/>
    <x v="12"/>
    <n v="0"/>
  </r>
  <r>
    <x v="43"/>
    <x v="0"/>
    <x v="1607"/>
    <s v="Pepperdine"/>
    <n v="1"/>
    <n v="28"/>
    <n v="690"/>
    <n v="180"/>
    <n v="119"/>
    <n v="18"/>
    <n v="0.39400000000000002"/>
    <n v="0.33"/>
    <n v="0.8"/>
    <n v="0.2"/>
    <n v="1.6E-2"/>
    <n v="2021"/>
    <n v="24.6"/>
    <n v="6.4"/>
    <n v="4.3"/>
    <n v="0.6"/>
    <x v="1"/>
    <x v="13"/>
    <n v="0"/>
  </r>
  <r>
    <x v="45"/>
    <x v="28"/>
    <x v="1608"/>
    <s v="Nebraska"/>
    <n v="1"/>
    <n v="47"/>
    <n v="555"/>
    <n v="170"/>
    <n v="104"/>
    <n v="75"/>
    <n v="0.41299999999999998"/>
    <n v="0.25600000000000001"/>
    <n v="0.61799999999999999"/>
    <n v="0.3"/>
    <n v="2.3E-2"/>
    <n v="2021"/>
    <n v="11.8"/>
    <n v="3.6"/>
    <n v="2.2000000000000002"/>
    <n v="1.6"/>
    <x v="1"/>
    <x v="15"/>
    <n v="0"/>
  </r>
  <r>
    <x v="46"/>
    <x v="28"/>
    <x v="1609"/>
    <s v="Louisville"/>
    <n v="1"/>
    <n v="2"/>
    <n v="2"/>
    <n v="0"/>
    <n v="0"/>
    <n v="0"/>
    <n v="0"/>
    <n v="0"/>
    <n v="0"/>
    <n v="0"/>
    <n v="-0.50600000000000001"/>
    <n v="2021"/>
    <n v="1"/>
    <n v="0"/>
    <n v="0"/>
    <n v="0"/>
    <x v="1"/>
    <x v="16"/>
    <n v="0"/>
  </r>
  <r>
    <x v="47"/>
    <x v="9"/>
    <x v="1610"/>
    <s v="Auburn"/>
    <n v="1"/>
    <n v="11"/>
    <n v="35"/>
    <n v="7"/>
    <n v="5"/>
    <n v="5"/>
    <n v="0.214"/>
    <n v="0.16700000000000001"/>
    <n v="0"/>
    <n v="-0.2"/>
    <n v="-0.33200000000000002"/>
    <n v="2021"/>
    <n v="3.2"/>
    <n v="0.6"/>
    <n v="0.5"/>
    <n v="0.5"/>
    <x v="1"/>
    <x v="17"/>
    <n v="0"/>
  </r>
  <r>
    <x v="49"/>
    <x v="27"/>
    <x v="1611"/>
    <s v="Kentucky"/>
    <n v="1"/>
    <n v="41"/>
    <n v="621"/>
    <n v="274"/>
    <n v="94"/>
    <n v="36"/>
    <n v="0.371"/>
    <n v="0.29799999999999999"/>
    <n v="0.84699999999999998"/>
    <n v="0.2"/>
    <n v="1.9E-2"/>
    <n v="2021"/>
    <n v="15.1"/>
    <n v="6.7"/>
    <n v="2.2999999999999998"/>
    <n v="0.9"/>
    <x v="1"/>
    <x v="20"/>
    <n v="0"/>
  </r>
  <r>
    <x v="50"/>
    <x v="18"/>
    <x v="1612"/>
    <s v="Iowa"/>
    <n v="1"/>
    <n v="29"/>
    <n v="340"/>
    <n v="151"/>
    <n v="87"/>
    <n v="16"/>
    <n v="0.44400000000000001"/>
    <n v="0.34100000000000003"/>
    <n v="0.64300000000000002"/>
    <n v="0.5"/>
    <n v="7.4999999999999997E-2"/>
    <n v="2021"/>
    <n v="11.7"/>
    <n v="5.2"/>
    <n v="3"/>
    <n v="0.6"/>
    <x v="1"/>
    <x v="21"/>
    <n v="0"/>
  </r>
  <r>
    <x v="57"/>
    <x v="21"/>
    <x v="1613"/>
    <s v="Western Kentucky"/>
    <n v="1"/>
    <n v="23"/>
    <n v="168"/>
    <n v="69"/>
    <n v="62"/>
    <n v="7"/>
    <n v="0.63800000000000001"/>
    <n v="0"/>
    <n v="0.75"/>
    <n v="0.8"/>
    <n v="0.22500000000000001"/>
    <n v="2021"/>
    <n v="7.3"/>
    <n v="3"/>
    <n v="2.7"/>
    <n v="0.3"/>
    <x v="1"/>
    <x v="22"/>
    <n v="0"/>
  </r>
  <r>
    <x v="51"/>
    <x v="24"/>
    <x v="1614"/>
    <s v="Seton Hall"/>
    <n v="1"/>
    <n v="34"/>
    <n v="315"/>
    <n v="102"/>
    <n v="60"/>
    <n v="16"/>
    <n v="0.45900000000000002"/>
    <n v="0.38500000000000001"/>
    <n v="0.75"/>
    <n v="0.7"/>
    <n v="0.111"/>
    <n v="2021"/>
    <n v="9.3000000000000007"/>
    <n v="3"/>
    <n v="1.8"/>
    <n v="0.5"/>
    <x v="1"/>
    <x v="23"/>
    <n v="0"/>
  </r>
  <r>
    <x v="53"/>
    <x v="1"/>
    <x v="1615"/>
    <s v="Maryland"/>
    <n v="1"/>
    <n v="34"/>
    <n v="762"/>
    <n v="243"/>
    <n v="115"/>
    <n v="38"/>
    <n v="0.46400000000000002"/>
    <n v="0.307"/>
    <n v="0.70599999999999996"/>
    <n v="1.2"/>
    <n v="7.6999999999999999E-2"/>
    <n v="2021"/>
    <n v="22.4"/>
    <n v="7.1"/>
    <n v="3.4"/>
    <n v="1.1000000000000001"/>
    <x v="1"/>
    <x v="24"/>
    <n v="0"/>
  </r>
  <r>
    <x v="54"/>
    <x v="4"/>
    <x v="1616"/>
    <s v="Florida"/>
    <n v="1"/>
    <n v="2"/>
    <n v="7"/>
    <n v="1"/>
    <n v="0"/>
    <n v="1"/>
    <n v="0"/>
    <n v="0"/>
    <n v="0.5"/>
    <n v="0"/>
    <n v="0.16400000000000001"/>
    <n v="2021"/>
    <n v="3.5"/>
    <n v="0.5"/>
    <n v="0"/>
    <n v="0.5"/>
    <x v="1"/>
    <x v="25"/>
    <n v="0"/>
  </r>
  <r>
    <x v="56"/>
    <x v="13"/>
    <x v="1617"/>
    <s v="Texas"/>
    <n v="1"/>
    <n v="18"/>
    <n v="117"/>
    <n v="19"/>
    <n v="27"/>
    <n v="1"/>
    <n v="0.72699999999999998"/>
    <n v="0"/>
    <n v="0.75"/>
    <n v="0.4"/>
    <n v="0.14499999999999999"/>
    <n v="2021"/>
    <n v="6.5"/>
    <n v="1.1000000000000001"/>
    <n v="1.5"/>
    <n v="0.1"/>
    <x v="1"/>
    <x v="27"/>
    <n v="0"/>
  </r>
  <r>
    <x v="58"/>
    <x v="24"/>
    <x v="1618"/>
    <s v="NA"/>
    <n v="1"/>
    <n v="9"/>
    <n v="48"/>
    <n v="16"/>
    <n v="8"/>
    <n v="0"/>
    <n v="0.45500000000000002"/>
    <n v="0.5"/>
    <n v="0.44400000000000001"/>
    <n v="0"/>
    <n v="-5.0000000000000001E-3"/>
    <n v="2021"/>
    <n v="5.3"/>
    <n v="1.8"/>
    <n v="0.9"/>
    <n v="0"/>
    <x v="1"/>
    <x v="2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EEE42A-8BBD-4624-90D8-F28964F4B6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eam">
  <location ref="G2:H33" firstHeaderRow="1" firstDataRow="1" firstDataCol="1"/>
  <pivotFields count="23">
    <pivotField showAll="0"/>
    <pivotField axis="axisRow" showAll="0" sortType="descending">
      <items count="31">
        <item x="9"/>
        <item x="14"/>
        <item x="0"/>
        <item x="4"/>
        <item x="20"/>
        <item x="25"/>
        <item x="26"/>
        <item x="2"/>
        <item x="18"/>
        <item x="10"/>
        <item x="11"/>
        <item x="24"/>
        <item x="7"/>
        <item x="19"/>
        <item x="27"/>
        <item x="8"/>
        <item x="12"/>
        <item x="5"/>
        <item x="29"/>
        <item x="13"/>
        <item x="1"/>
        <item x="3"/>
        <item x="21"/>
        <item x="15"/>
        <item x="17"/>
        <item x="6"/>
        <item x="16"/>
        <item x="28"/>
        <item x="22"/>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31">
    <i>
      <x v="16"/>
    </i>
    <i>
      <x v="25"/>
    </i>
    <i>
      <x v="4"/>
    </i>
    <i>
      <x v="8"/>
    </i>
    <i>
      <x v="20"/>
    </i>
    <i>
      <x v="17"/>
    </i>
    <i>
      <x v="3"/>
    </i>
    <i>
      <x v="29"/>
    </i>
    <i>
      <x v="22"/>
    </i>
    <i>
      <x v="9"/>
    </i>
    <i>
      <x v="28"/>
    </i>
    <i>
      <x v="10"/>
    </i>
    <i>
      <x/>
    </i>
    <i>
      <x v="11"/>
    </i>
    <i>
      <x v="5"/>
    </i>
    <i>
      <x v="7"/>
    </i>
    <i>
      <x v="13"/>
    </i>
    <i>
      <x v="1"/>
    </i>
    <i>
      <x v="23"/>
    </i>
    <i>
      <x v="12"/>
    </i>
    <i>
      <x v="27"/>
    </i>
    <i>
      <x v="21"/>
    </i>
    <i>
      <x v="26"/>
    </i>
    <i>
      <x v="24"/>
    </i>
    <i>
      <x v="2"/>
    </i>
    <i>
      <x v="6"/>
    </i>
    <i>
      <x v="19"/>
    </i>
    <i>
      <x v="14"/>
    </i>
    <i>
      <x v="15"/>
    </i>
    <i>
      <x v="18"/>
    </i>
    <i t="grand">
      <x/>
    </i>
  </rowItems>
  <colItems count="1">
    <i/>
  </colItems>
  <dataFields count="1">
    <dataField name="Sum of Long_Career" fld="22" baseField="1"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46F0D0-E2F2-442F-AACC-487F785F7E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raft Round">
  <location ref="D2:E5" firstHeaderRow="1" firstDataRow="1" firstDataCol="1"/>
  <pivotFields count="2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20"/>
  </rowFields>
  <rowItems count="3">
    <i>
      <x/>
    </i>
    <i>
      <x v="1"/>
    </i>
    <i t="grand">
      <x/>
    </i>
  </rowItems>
  <colItems count="1">
    <i/>
  </colItems>
  <dataFields count="1">
    <dataField name="Average of years_played" fld="4" subtotal="average" baseField="20" baseItem="0"/>
  </dataField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0" count="1" selected="0">
            <x v="0"/>
          </reference>
        </references>
      </pivotArea>
    </chartFormat>
    <chartFormat chart="3" format="6">
      <pivotArea type="data" outline="0" fieldPosition="0">
        <references count="2">
          <reference field="4294967294" count="1" selected="0">
            <x v="0"/>
          </reference>
          <reference field="2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0" count="1" selected="0">
            <x v="0"/>
          </reference>
        </references>
      </pivotArea>
    </chartFormat>
    <chartFormat chart="6" format="1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B60930-4F10-4484-9E7E-314B340A94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raft Round">
  <location ref="Z2:AA5" firstHeaderRow="1" firstDataRow="1" firstDataCol="1"/>
  <pivotFields count="23">
    <pivotField showAll="0"/>
    <pivotField showAll="0">
      <items count="31">
        <item x="9"/>
        <item x="14"/>
        <item x="0"/>
        <item x="4"/>
        <item x="20"/>
        <item x="25"/>
        <item x="26"/>
        <item x="2"/>
        <item x="18"/>
        <item x="10"/>
        <item x="11"/>
        <item x="24"/>
        <item x="7"/>
        <item x="19"/>
        <item x="27"/>
        <item x="8"/>
        <item x="12"/>
        <item x="5"/>
        <item x="29"/>
        <item x="13"/>
        <item x="1"/>
        <item x="3"/>
        <item x="21"/>
        <item x="15"/>
        <item x="17"/>
        <item x="6"/>
        <item x="16"/>
        <item x="28"/>
        <item x="22"/>
        <item x="23"/>
        <item t="default"/>
      </items>
    </pivotField>
    <pivotField showAll="0">
      <items count="1620">
        <item x="468"/>
        <item x="36"/>
        <item x="509"/>
        <item x="1324"/>
        <item x="969"/>
        <item x="849"/>
        <item x="1188"/>
        <item x="866"/>
        <item x="1415"/>
        <item x="203"/>
        <item x="1521"/>
        <item x="1615"/>
        <item x="1335"/>
        <item x="162"/>
        <item x="834"/>
        <item x="105"/>
        <item x="775"/>
        <item x="1491"/>
        <item x="336"/>
        <item x="180"/>
        <item x="1199"/>
        <item x="400"/>
        <item x="826"/>
        <item x="686"/>
        <item x="837"/>
        <item x="24"/>
        <item x="247"/>
        <item x="852"/>
        <item x="1035"/>
        <item x="11"/>
        <item x="1389"/>
        <item x="443"/>
        <item x="1524"/>
        <item x="1488"/>
        <item x="1164"/>
        <item x="772"/>
        <item x="1138"/>
        <item x="815"/>
        <item x="891"/>
        <item x="980"/>
        <item x="1440"/>
        <item x="154"/>
        <item x="1163"/>
        <item x="282"/>
        <item x="97"/>
        <item x="1581"/>
        <item x="174"/>
        <item x="573"/>
        <item x="576"/>
        <item x="371"/>
        <item x="322"/>
        <item x="585"/>
        <item x="769"/>
        <item x="701"/>
        <item x="421"/>
        <item x="763"/>
        <item x="1086"/>
        <item x="706"/>
        <item x="680"/>
        <item x="439"/>
        <item x="1159"/>
        <item x="773"/>
        <item x="671"/>
        <item x="454"/>
        <item x="718"/>
        <item x="727"/>
        <item x="265"/>
        <item x="1069"/>
        <item x="1278"/>
        <item x="1096"/>
        <item x="1185"/>
        <item x="682"/>
        <item x="1009"/>
        <item x="146"/>
        <item x="1416"/>
        <item x="405"/>
        <item x="379"/>
        <item x="1304"/>
        <item x="66"/>
        <item x="1134"/>
        <item x="22"/>
        <item x="1270"/>
        <item x="1078"/>
        <item x="1508"/>
        <item x="230"/>
        <item x="365"/>
        <item x="222"/>
        <item x="349"/>
        <item x="110"/>
        <item x="885"/>
        <item x="287"/>
        <item x="731"/>
        <item x="707"/>
        <item x="332"/>
        <item x="44"/>
        <item x="214"/>
        <item x="233"/>
        <item x="570"/>
        <item x="1361"/>
        <item x="1161"/>
        <item x="1006"/>
        <item x="1104"/>
        <item x="1444"/>
        <item x="850"/>
        <item x="340"/>
        <item x="937"/>
        <item x="1087"/>
        <item x="991"/>
        <item x="1601"/>
        <item x="206"/>
        <item x="1350"/>
        <item x="434"/>
        <item x="1329"/>
        <item x="318"/>
        <item x="674"/>
        <item x="1140"/>
        <item x="1282"/>
        <item x="699"/>
        <item x="1110"/>
        <item x="712"/>
        <item x="208"/>
        <item x="54"/>
        <item x="39"/>
        <item x="1030"/>
        <item x="61"/>
        <item x="923"/>
        <item x="7"/>
        <item x="248"/>
        <item x="150"/>
        <item x="351"/>
        <item x="809"/>
        <item x="91"/>
        <item x="1259"/>
        <item x="567"/>
        <item x="1211"/>
        <item x="1054"/>
        <item x="1493"/>
        <item x="1591"/>
        <item x="386"/>
        <item x="645"/>
        <item x="591"/>
        <item x="761"/>
        <item x="1080"/>
        <item x="831"/>
        <item x="1281"/>
        <item x="550"/>
        <item x="749"/>
        <item x="1611"/>
        <item x="1470"/>
        <item x="670"/>
        <item x="1283"/>
        <item x="932"/>
        <item x="1031"/>
        <item x="778"/>
        <item x="884"/>
        <item x="547"/>
        <item x="246"/>
        <item x="127"/>
        <item x="344"/>
        <item x="520"/>
        <item x="648"/>
        <item x="141"/>
        <item x="308"/>
        <item x="194"/>
        <item x="31"/>
        <item x="561"/>
        <item x="397"/>
        <item x="1306"/>
        <item x="881"/>
        <item x="213"/>
        <item x="1434"/>
        <item x="1204"/>
        <item x="1483"/>
        <item x="410"/>
        <item x="237"/>
        <item x="108"/>
        <item x="391"/>
        <item x="182"/>
        <item x="360"/>
        <item x="1287"/>
        <item x="122"/>
        <item x="946"/>
        <item x="750"/>
        <item x="1212"/>
        <item x="1566"/>
        <item x="447"/>
        <item x="149"/>
        <item x="1362"/>
        <item x="464"/>
        <item x="1459"/>
        <item x="1592"/>
        <item x="1232"/>
        <item x="1460"/>
        <item x="1251"/>
        <item x="1301"/>
        <item x="29"/>
        <item x="853"/>
        <item x="609"/>
        <item x="649"/>
        <item x="197"/>
        <item x="627"/>
        <item x="586"/>
        <item x="1165"/>
        <item x="1482"/>
        <item x="598"/>
        <item x="412"/>
        <item x="1559"/>
        <item x="1558"/>
        <item x="1267"/>
        <item x="47"/>
        <item x="368"/>
        <item x="787"/>
        <item x="81"/>
        <item x="1414"/>
        <item x="1061"/>
        <item x="725"/>
        <item x="1613"/>
        <item x="228"/>
        <item x="1067"/>
        <item x="357"/>
        <item x="354"/>
        <item x="724"/>
        <item x="212"/>
        <item x="965"/>
        <item x="331"/>
        <item x="1314"/>
        <item x="819"/>
        <item x="243"/>
        <item x="1439"/>
        <item x="1317"/>
        <item x="346"/>
        <item x="628"/>
        <item x="279"/>
        <item x="85"/>
        <item x="373"/>
        <item x="911"/>
        <item x="1578"/>
        <item x="709"/>
        <item x="67"/>
        <item x="462"/>
        <item x="603"/>
        <item x="630"/>
        <item x="138"/>
        <item x="1265"/>
        <item x="484"/>
        <item x="165"/>
        <item x="618"/>
        <item x="721"/>
        <item x="527"/>
        <item x="861"/>
        <item x="323"/>
        <item x="1041"/>
        <item x="129"/>
        <item x="757"/>
        <item x="144"/>
        <item x="184"/>
        <item x="584"/>
        <item x="952"/>
        <item x="98"/>
        <item x="1465"/>
        <item x="1553"/>
        <item x="1143"/>
        <item x="104"/>
        <item x="1218"/>
        <item x="202"/>
        <item x="1209"/>
        <item x="1456"/>
        <item x="1485"/>
        <item x="1137"/>
        <item x="983"/>
        <item x="1522"/>
        <item x="1400"/>
        <item x="403"/>
        <item x="830"/>
        <item x="1580"/>
        <item x="444"/>
        <item x="128"/>
        <item x="168"/>
        <item x="244"/>
        <item x="624"/>
        <item x="260"/>
        <item x="424"/>
        <item x="1237"/>
        <item x="1052"/>
        <item x="490"/>
        <item x="893"/>
        <item x="993"/>
        <item x="808"/>
        <item x="280"/>
        <item x="594"/>
        <item x="416"/>
        <item x="880"/>
        <item x="871"/>
        <item x="900"/>
        <item x="1353"/>
        <item x="844"/>
        <item x="644"/>
        <item x="956"/>
        <item x="582"/>
        <item x="1280"/>
        <item x="1608"/>
        <item x="64"/>
        <item x="501"/>
        <item x="1311"/>
        <item x="1083"/>
        <item x="1215"/>
        <item x="996"/>
        <item x="822"/>
        <item x="238"/>
        <item x="563"/>
        <item x="1380"/>
        <item x="604"/>
        <item x="608"/>
        <item x="508"/>
        <item x="526"/>
        <item x="1239"/>
        <item x="748"/>
        <item x="1487"/>
        <item x="813"/>
        <item x="1334"/>
        <item x="1001"/>
        <item x="1540"/>
        <item x="877"/>
        <item x="338"/>
        <item x="733"/>
        <item x="967"/>
        <item x="955"/>
        <item x="1189"/>
        <item x="1008"/>
        <item x="1196"/>
        <item x="1472"/>
        <item x="1454"/>
        <item x="1131"/>
        <item x="480"/>
        <item x="1123"/>
        <item x="1064"/>
        <item x="619"/>
        <item x="626"/>
        <item x="918"/>
        <item x="176"/>
        <item x="898"/>
        <item x="943"/>
        <item x="140"/>
        <item x="221"/>
        <item x="1274"/>
        <item x="14"/>
        <item x="121"/>
        <item x="610"/>
        <item x="700"/>
        <item x="1609"/>
        <item x="746"/>
        <item x="811"/>
        <item x="256"/>
        <item x="642"/>
        <item x="1574"/>
        <item x="1065"/>
        <item x="1368"/>
        <item x="1594"/>
        <item x="1341"/>
        <item x="1393"/>
        <item x="1302"/>
        <item x="1453"/>
        <item x="906"/>
        <item x="1075"/>
        <item x="1436"/>
        <item x="18"/>
        <item x="1486"/>
        <item x="1310"/>
        <item x="958"/>
        <item x="374"/>
        <item x="1257"/>
        <item x="695"/>
        <item x="931"/>
        <item x="413"/>
        <item x="977"/>
        <item x="949"/>
        <item x="869"/>
        <item x="1323"/>
        <item x="1516"/>
        <item x="1150"/>
        <item x="3"/>
        <item x="1345"/>
        <item x="1295"/>
        <item x="341"/>
        <item x="305"/>
        <item x="46"/>
        <item x="483"/>
        <item x="720"/>
        <item x="217"/>
        <item x="961"/>
        <item x="862"/>
        <item x="1023"/>
        <item x="0"/>
        <item x="425"/>
        <item x="975"/>
        <item x="872"/>
        <item x="1365"/>
        <item x="1025"/>
        <item x="661"/>
        <item x="535"/>
        <item x="500"/>
        <item x="1537"/>
        <item x="494"/>
        <item x="453"/>
        <item x="1250"/>
        <item x="1013"/>
        <item x="676"/>
        <item x="1518"/>
        <item x="1442"/>
        <item x="1426"/>
        <item x="1235"/>
        <item x="1507"/>
        <item x="1004"/>
        <item x="1312"/>
        <item x="1319"/>
        <item x="207"/>
        <item x="1484"/>
        <item x="767"/>
        <item x="55"/>
        <item x="1381"/>
        <item x="450"/>
        <item x="1081"/>
        <item x="384"/>
        <item x="1292"/>
        <item x="864"/>
        <item x="997"/>
        <item x="114"/>
        <item x="281"/>
        <item x="82"/>
        <item x="1043"/>
        <item x="499"/>
        <item x="271"/>
        <item x="269"/>
        <item x="1349"/>
        <item x="705"/>
        <item x="302"/>
        <item x="1409"/>
        <item x="899"/>
        <item x="220"/>
        <item x="190"/>
        <item x="690"/>
        <item x="1119"/>
        <item x="112"/>
        <item x="158"/>
        <item x="1195"/>
        <item x="88"/>
        <item x="57"/>
        <item x="1285"/>
        <item x="262"/>
        <item x="1112"/>
        <item x="328"/>
        <item x="580"/>
        <item x="17"/>
        <item x="131"/>
        <item x="1376"/>
        <item x="225"/>
        <item x="23"/>
        <item x="270"/>
        <item x="672"/>
        <item x="1228"/>
        <item x="629"/>
        <item x="1475"/>
        <item x="1421"/>
        <item x="936"/>
        <item x="565"/>
        <item x="985"/>
        <item x="350"/>
        <item x="240"/>
        <item x="177"/>
        <item x="534"/>
        <item x="514"/>
        <item x="196"/>
        <item x="531"/>
        <item x="1387"/>
        <item x="515"/>
        <item x="1226"/>
        <item x="304"/>
        <item x="978"/>
        <item x="26"/>
        <item x="1194"/>
        <item x="1423"/>
        <item x="1546"/>
        <item x="86"/>
        <item x="994"/>
        <item x="133"/>
        <item x="120"/>
        <item x="432"/>
        <item x="673"/>
        <item x="1244"/>
        <item x="1026"/>
        <item x="990"/>
        <item x="878"/>
        <item x="942"/>
        <item x="204"/>
        <item x="195"/>
        <item x="72"/>
        <item x="1490"/>
        <item x="201"/>
        <item x="175"/>
        <item x="272"/>
        <item x="370"/>
        <item x="245"/>
        <item x="505"/>
        <item x="291"/>
        <item x="1177"/>
        <item x="1180"/>
        <item x="525"/>
        <item x="751"/>
        <item x="166"/>
        <item x="489"/>
        <item x="1076"/>
        <item x="463"/>
        <item x="1097"/>
        <item x="1568"/>
        <item x="974"/>
        <item x="173"/>
        <item x="1099"/>
        <item x="399"/>
        <item x="5"/>
        <item x="1107"/>
        <item x="470"/>
        <item x="739"/>
        <item x="1367"/>
        <item x="1246"/>
        <item x="1370"/>
        <item x="1344"/>
        <item x="601"/>
        <item x="268"/>
        <item x="1573"/>
        <item x="277"/>
        <item x="590"/>
        <item x="1129"/>
        <item x="1307"/>
        <item x="854"/>
        <item x="1015"/>
        <item x="1203"/>
        <item x="1"/>
        <item x="242"/>
        <item x="1429"/>
        <item x="218"/>
        <item x="169"/>
        <item x="897"/>
        <item x="1448"/>
        <item x="155"/>
        <item x="253"/>
        <item x="1328"/>
        <item x="1618"/>
        <item x="1294"/>
        <item x="19"/>
        <item x="734"/>
        <item x="934"/>
        <item x="552"/>
        <item x="172"/>
        <item x="1148"/>
        <item x="557"/>
        <item x="856"/>
        <item x="1167"/>
        <item x="187"/>
        <item x="1223"/>
        <item x="369"/>
        <item x="1467"/>
        <item x="915"/>
        <item x="469"/>
        <item x="981"/>
        <item x="1154"/>
        <item x="189"/>
        <item x="1172"/>
        <item x="1561"/>
        <item x="1471"/>
        <item x="1413"/>
        <item x="63"/>
        <item x="1606"/>
        <item x="426"/>
        <item x="34"/>
        <item x="160"/>
        <item x="211"/>
        <item x="979"/>
        <item x="824"/>
        <item x="259"/>
        <item x="94"/>
        <item x="1000"/>
        <item x="1297"/>
        <item x="820"/>
        <item x="713"/>
        <item x="735"/>
        <item x="1021"/>
        <item x="1435"/>
        <item x="517"/>
        <item x="107"/>
        <item x="1084"/>
        <item x="1356"/>
        <item x="924"/>
        <item x="821"/>
        <item x="1005"/>
        <item x="493"/>
        <item x="1299"/>
        <item x="916"/>
        <item x="1598"/>
        <item x="784"/>
        <item x="215"/>
        <item x="115"/>
        <item x="744"/>
        <item x="1496"/>
        <item x="524"/>
        <item x="1383"/>
        <item x="726"/>
        <item x="1040"/>
        <item x="1532"/>
        <item x="93"/>
        <item x="1431"/>
        <item x="1512"/>
        <item x="1166"/>
        <item x="1379"/>
        <item x="1587"/>
        <item x="1555"/>
        <item x="1605"/>
        <item x="132"/>
        <item x="148"/>
        <item x="1494"/>
        <item x="1523"/>
        <item x="1077"/>
        <item x="1596"/>
        <item x="1321"/>
        <item x="1371"/>
        <item x="1313"/>
        <item x="890"/>
        <item x="783"/>
        <item x="901"/>
        <item x="429"/>
        <item x="689"/>
        <item x="1451"/>
        <item x="1391"/>
        <item x="1186"/>
        <item x="521"/>
        <item x="702"/>
        <item x="1420"/>
        <item x="355"/>
        <item x="1535"/>
        <item x="1593"/>
        <item x="1111"/>
        <item x="418"/>
        <item x="1240"/>
        <item x="1550"/>
        <item x="1050"/>
        <item x="1325"/>
        <item x="502"/>
        <item x="510"/>
        <item x="1290"/>
        <item x="1425"/>
        <item x="1567"/>
        <item x="1564"/>
        <item x="1585"/>
        <item x="1501"/>
        <item x="199"/>
        <item x="1517"/>
        <item x="1570"/>
        <item x="1173"/>
        <item x="496"/>
        <item x="554"/>
        <item x="485"/>
        <item x="147"/>
        <item x="1288"/>
        <item x="617"/>
        <item x="691"/>
        <item x="992"/>
        <item x="812"/>
        <item x="1576"/>
        <item x="362"/>
        <item x="358"/>
        <item x="1181"/>
        <item x="925"/>
        <item x="938"/>
        <item x="668"/>
        <item x="667"/>
        <item x="448"/>
        <item x="164"/>
        <item x="803"/>
        <item x="1509"/>
        <item x="1201"/>
        <item x="867"/>
        <item x="321"/>
        <item x="227"/>
        <item x="566"/>
        <item x="1029"/>
        <item x="1603"/>
        <item x="1101"/>
        <item x="845"/>
        <item x="587"/>
        <item x="1098"/>
        <item x="1262"/>
        <item x="1396"/>
        <item x="1219"/>
        <item x="1392"/>
        <item x="1433"/>
        <item x="1499"/>
        <item x="1358"/>
        <item x="1455"/>
        <item x="738"/>
        <item x="574"/>
        <item x="634"/>
        <item x="1012"/>
        <item x="251"/>
        <item x="492"/>
        <item x="545"/>
        <item x="522"/>
        <item x="655"/>
        <item x="188"/>
        <item x="366"/>
        <item x="742"/>
        <item x="532"/>
        <item x="316"/>
        <item x="843"/>
        <item x="441"/>
        <item x="883"/>
        <item x="382"/>
        <item x="889"/>
        <item x="842"/>
        <item x="1375"/>
        <item x="1457"/>
        <item x="1560"/>
        <item x="578"/>
        <item x="1284"/>
        <item x="1492"/>
        <item x="1339"/>
        <item x="20"/>
        <item x="953"/>
        <item x="451"/>
        <item x="828"/>
        <item x="314"/>
        <item x="325"/>
        <item x="1108"/>
        <item x="941"/>
        <item x="562"/>
        <item x="223"/>
        <item x="1171"/>
        <item x="408"/>
        <item x="364"/>
        <item x="1222"/>
        <item x="1597"/>
        <item x="1020"/>
        <item x="1089"/>
        <item x="1062"/>
        <item x="1256"/>
        <item x="1617"/>
        <item x="298"/>
        <item x="954"/>
        <item x="857"/>
        <item x="275"/>
        <item x="657"/>
        <item x="411"/>
        <item x="1014"/>
        <item x="488"/>
        <item x="1405"/>
        <item x="307"/>
        <item x="16"/>
        <item x="234"/>
        <item x="882"/>
        <item x="549"/>
        <item x="1424"/>
        <item x="99"/>
        <item x="216"/>
        <item x="1033"/>
        <item x="1053"/>
        <item x="266"/>
        <item x="87"/>
        <item x="592"/>
        <item x="832"/>
        <item x="962"/>
        <item x="879"/>
        <item x="921"/>
        <item x="1217"/>
        <item x="537"/>
        <item x="232"/>
        <item x="1604"/>
        <item x="1277"/>
        <item x="1330"/>
        <item x="1187"/>
        <item x="802"/>
        <item x="486"/>
        <item x="904"/>
        <item x="732"/>
        <item x="1183"/>
        <item x="741"/>
        <item x="460"/>
        <item x="1355"/>
        <item x="1091"/>
        <item x="1100"/>
        <item x="602"/>
        <item x="353"/>
        <item x="71"/>
        <item x="973"/>
        <item x="299"/>
        <item x="1220"/>
        <item x="345"/>
        <item x="116"/>
        <item x="959"/>
        <item x="1063"/>
        <item x="1372"/>
        <item x="960"/>
        <item x="1028"/>
        <item x="436"/>
        <item x="1342"/>
        <item x="1572"/>
        <item x="928"/>
        <item x="1206"/>
        <item x="1374"/>
        <item x="1505"/>
        <item x="1229"/>
        <item x="999"/>
        <item x="798"/>
        <item x="1049"/>
        <item x="930"/>
        <item x="1236"/>
        <item x="1269"/>
        <item x="1552"/>
        <item x="1477"/>
        <item x="1059"/>
        <item x="548"/>
        <item x="795"/>
        <item x="677"/>
        <item x="1589"/>
        <item x="1571"/>
        <item x="181"/>
        <item x="1525"/>
        <item x="1068"/>
        <item x="1366"/>
        <item x="653"/>
        <item x="1213"/>
        <item x="1340"/>
        <item x="858"/>
        <item x="1412"/>
        <item x="1275"/>
        <item x="1072"/>
        <item x="688"/>
        <item x="1577"/>
        <item x="939"/>
        <item x="1600"/>
        <item x="612"/>
        <item x="593"/>
        <item x="1296"/>
        <item x="37"/>
        <item x="836"/>
        <item x="736"/>
        <item x="1191"/>
        <item x="457"/>
        <item x="264"/>
        <item x="1258"/>
        <item x="1122"/>
        <item x="1055"/>
        <item x="1351"/>
        <item x="1489"/>
        <item x="1352"/>
        <item x="710"/>
        <item x="1502"/>
        <item x="1247"/>
        <item x="1200"/>
        <item x="191"/>
        <item x="1216"/>
        <item x="1388"/>
        <item x="1584"/>
        <item x="523"/>
        <item x="596"/>
        <item x="1238"/>
        <item x="1038"/>
        <item x="1332"/>
        <item x="361"/>
        <item x="538"/>
        <item x="1438"/>
        <item x="1071"/>
        <item x="664"/>
        <item x="356"/>
        <item x="330"/>
        <item x="1478"/>
        <item x="1146"/>
        <item x="1252"/>
        <item x="343"/>
        <item x="1032"/>
        <item x="571"/>
        <item x="4"/>
        <item x="1090"/>
        <item x="651"/>
        <item x="1045"/>
        <item x="53"/>
        <item x="575"/>
        <item x="452"/>
        <item x="45"/>
        <item x="1141"/>
        <item x="478"/>
        <item x="1557"/>
        <item x="388"/>
        <item x="1586"/>
        <item x="289"/>
        <item x="1607"/>
        <item x="69"/>
        <item x="825"/>
        <item x="236"/>
        <item x="1446"/>
        <item x="1411"/>
        <item x="1401"/>
        <item x="876"/>
        <item x="78"/>
        <item x="697"/>
        <item x="1124"/>
        <item x="1479"/>
        <item x="33"/>
        <item x="989"/>
        <item x="185"/>
        <item x="1266"/>
        <item x="487"/>
        <item x="511"/>
        <item x="198"/>
        <item x="1116"/>
        <item x="1430"/>
        <item x="1514"/>
        <item x="1121"/>
        <item x="1520"/>
        <item x="543"/>
        <item x="631"/>
        <item x="687"/>
        <item x="1034"/>
        <item x="294"/>
        <item x="415"/>
        <item x="894"/>
        <item x="810"/>
        <item x="1449"/>
        <item x="1125"/>
        <item x="1286"/>
        <item x="685"/>
        <item x="1127"/>
        <item x="1241"/>
        <item x="241"/>
        <item x="528"/>
        <item x="1214"/>
        <item x="1504"/>
        <item x="669"/>
        <item x="1363"/>
        <item x="796"/>
        <item x="1126"/>
        <item x="1056"/>
        <item x="909"/>
        <item x="1024"/>
        <item x="859"/>
        <item x="1481"/>
        <item x="70"/>
        <item x="435"/>
        <item x="1231"/>
        <item x="774"/>
        <item x="1510"/>
        <item x="193"/>
        <item x="90"/>
        <item x="25"/>
        <item x="1011"/>
        <item x="1010"/>
        <item x="1418"/>
        <item x="100"/>
        <item x="474"/>
        <item x="467"/>
        <item x="383"/>
        <item x="52"/>
        <item x="1263"/>
        <item x="987"/>
        <item x="119"/>
        <item x="1343"/>
        <item x="516"/>
        <item x="1073"/>
        <item x="229"/>
        <item x="267"/>
        <item x="768"/>
        <item x="1002"/>
        <item x="652"/>
        <item x="1530"/>
        <item x="625"/>
        <item x="118"/>
        <item x="471"/>
        <item x="817"/>
        <item x="459"/>
        <item x="73"/>
        <item x="27"/>
        <item x="972"/>
        <item x="743"/>
        <item x="153"/>
        <item x="704"/>
        <item x="6"/>
        <item x="134"/>
        <item x="1410"/>
        <item x="615"/>
        <item x="1338"/>
        <item x="255"/>
        <item x="569"/>
        <item x="288"/>
        <item x="1182"/>
        <item x="261"/>
        <item x="760"/>
        <item x="12"/>
        <item x="58"/>
        <item x="908"/>
        <item x="1149"/>
        <item x="171"/>
        <item x="717"/>
        <item x="622"/>
        <item x="1395"/>
        <item x="1612"/>
        <item x="1468"/>
        <item x="988"/>
        <item x="1017"/>
        <item x="681"/>
        <item x="1348"/>
        <item x="638"/>
        <item x="656"/>
        <item x="678"/>
        <item x="740"/>
        <item x="161"/>
        <item x="431"/>
        <item x="654"/>
        <item x="2"/>
        <item x="1536"/>
        <item x="1303"/>
        <item x="1316"/>
        <item x="1066"/>
        <item x="170"/>
        <item x="1300"/>
        <item x="917"/>
        <item x="1347"/>
        <item x="319"/>
        <item x="109"/>
        <item x="503"/>
        <item x="477"/>
        <item x="865"/>
        <item x="363"/>
        <item x="770"/>
        <item x="841"/>
        <item x="637"/>
        <item x="320"/>
        <item x="283"/>
        <item x="481"/>
        <item x="589"/>
        <item x="41"/>
        <item x="1037"/>
        <item x="1333"/>
        <item x="1190"/>
        <item x="964"/>
        <item x="814"/>
        <item x="794"/>
        <item x="801"/>
        <item x="1503"/>
        <item x="258"/>
        <item x="905"/>
        <item x="1242"/>
        <item x="613"/>
        <item x="375"/>
        <item x="274"/>
        <item x="312"/>
        <item x="59"/>
        <item x="506"/>
        <item x="324"/>
        <item x="76"/>
        <item x="1227"/>
        <item x="1337"/>
        <item x="1036"/>
        <item x="507"/>
        <item x="359"/>
        <item x="1551"/>
        <item x="123"/>
        <item x="1289"/>
        <item x="1106"/>
        <item x="887"/>
        <item x="1048"/>
        <item x="723"/>
        <item x="276"/>
        <item x="306"/>
        <item x="759"/>
        <item x="1394"/>
        <item x="719"/>
        <item x="1155"/>
        <item x="491"/>
        <item x="1469"/>
        <item x="616"/>
        <item x="665"/>
        <item x="142"/>
        <item x="716"/>
        <item x="136"/>
        <item x="390"/>
        <item x="143"/>
        <item x="800"/>
        <item x="1092"/>
        <item x="342"/>
        <item x="564"/>
        <item x="588"/>
        <item x="1427"/>
        <item x="446"/>
        <item x="1088"/>
        <item x="1476"/>
        <item x="873"/>
        <item x="544"/>
        <item x="1144"/>
        <item x="389"/>
        <item x="387"/>
        <item x="252"/>
        <item x="1327"/>
        <item x="1079"/>
        <item x="278"/>
        <item x="376"/>
        <item x="1406"/>
        <item x="519"/>
        <item x="461"/>
        <item x="219"/>
        <item x="762"/>
        <item x="635"/>
        <item x="1402"/>
        <item x="377"/>
        <item x="827"/>
        <item x="579"/>
        <item x="84"/>
        <item x="482"/>
        <item x="1176"/>
        <item x="186"/>
        <item x="1120"/>
        <item x="512"/>
        <item x="633"/>
        <item x="919"/>
        <item x="758"/>
        <item x="1404"/>
        <item x="1599"/>
        <item x="1103"/>
        <item x="417"/>
        <item x="48"/>
        <item x="393"/>
        <item x="1205"/>
        <item x="1428"/>
        <item x="1506"/>
        <item x="1398"/>
        <item x="666"/>
        <item x="755"/>
        <item x="1386"/>
        <item x="1268"/>
        <item x="210"/>
        <item x="313"/>
        <item x="1417"/>
        <item x="848"/>
        <item x="498"/>
        <item x="1579"/>
        <item x="782"/>
        <item x="1248"/>
        <item x="83"/>
        <item x="970"/>
        <item x="1474"/>
        <item x="737"/>
        <item x="1170"/>
        <item x="912"/>
        <item x="404"/>
        <item x="650"/>
        <item x="1602"/>
        <item x="30"/>
        <item x="1007"/>
        <item x="1162"/>
        <item x="600"/>
        <item x="583"/>
        <item x="1139"/>
        <item x="1480"/>
        <item x="966"/>
        <item x="636"/>
        <item x="855"/>
        <item x="1225"/>
        <item x="1549"/>
        <item x="178"/>
        <item x="839"/>
        <item x="1466"/>
        <item x="1554"/>
        <item x="896"/>
        <item x="1390"/>
        <item x="1192"/>
        <item x="1224"/>
        <item x="1046"/>
        <item x="902"/>
        <item x="1039"/>
        <item x="581"/>
        <item x="1193"/>
        <item x="1044"/>
        <item x="1279"/>
        <item x="1051"/>
        <item x="874"/>
        <item x="1515"/>
        <item x="466"/>
        <item x="1359"/>
        <item x="1128"/>
        <item x="790"/>
        <item x="117"/>
        <item x="518"/>
        <item x="558"/>
        <item x="1422"/>
        <item x="907"/>
        <item x="945"/>
        <item x="1513"/>
        <item x="766"/>
        <item x="1113"/>
        <item x="311"/>
        <item x="1136"/>
        <item x="124"/>
        <item x="1210"/>
        <item x="807"/>
        <item x="1461"/>
        <item x="714"/>
        <item x="1018"/>
        <item x="1308"/>
        <item x="1276"/>
        <item x="394"/>
        <item x="963"/>
        <item x="914"/>
        <item x="1318"/>
        <item x="781"/>
        <item x="986"/>
        <item x="1511"/>
        <item x="971"/>
        <item x="530"/>
        <item x="806"/>
        <item x="982"/>
        <item x="348"/>
        <item x="816"/>
        <item x="385"/>
        <item x="1563"/>
        <item x="1326"/>
        <item x="692"/>
        <item x="1533"/>
        <item x="295"/>
        <item x="1105"/>
        <item x="77"/>
        <item x="703"/>
        <item x="1331"/>
        <item x="1184"/>
        <item x="1174"/>
        <item x="135"/>
        <item x="1527"/>
        <item x="372"/>
        <item x="309"/>
        <item x="504"/>
        <item x="1590"/>
        <item x="495"/>
        <item x="1114"/>
        <item x="791"/>
        <item x="449"/>
        <item x="1115"/>
        <item x="998"/>
        <item x="1498"/>
        <item x="597"/>
        <item x="1531"/>
        <item x="1264"/>
        <item x="378"/>
        <item x="679"/>
        <item x="414"/>
        <item x="793"/>
        <item x="1272"/>
        <item x="870"/>
        <item x="250"/>
        <item x="80"/>
        <item x="779"/>
        <item x="623"/>
        <item x="317"/>
        <item x="111"/>
        <item x="730"/>
        <item x="1254"/>
        <item x="407"/>
        <item x="235"/>
        <item x="392"/>
        <item x="620"/>
        <item x="551"/>
        <item x="1178"/>
        <item x="286"/>
        <item x="1168"/>
        <item x="1445"/>
        <item x="722"/>
        <item x="639"/>
        <item x="1158"/>
        <item x="327"/>
        <item x="1047"/>
        <item x="1562"/>
        <item x="126"/>
        <item x="792"/>
        <item x="159"/>
        <item x="65"/>
        <item x="179"/>
        <item x="92"/>
        <item x="438"/>
        <item x="540"/>
        <item x="183"/>
        <item x="1273"/>
        <item x="75"/>
        <item x="396"/>
        <item x="1175"/>
        <item x="927"/>
        <item x="1452"/>
        <item x="1132"/>
        <item x="606"/>
        <item x="106"/>
        <item x="1133"/>
        <item x="683"/>
        <item x="381"/>
        <item x="139"/>
        <item x="765"/>
        <item x="1419"/>
        <item x="1547"/>
        <item x="886"/>
        <item x="1432"/>
        <item x="475"/>
        <item x="788"/>
        <item x="1207"/>
        <item x="79"/>
        <item x="152"/>
        <item x="838"/>
        <item x="536"/>
        <item x="352"/>
        <item x="947"/>
        <item x="605"/>
        <item x="756"/>
        <item x="1463"/>
        <item x="334"/>
        <item x="614"/>
        <item x="1260"/>
        <item x="786"/>
        <item x="752"/>
        <item x="395"/>
        <item x="888"/>
        <item x="303"/>
        <item x="708"/>
        <item x="1093"/>
        <item x="572"/>
        <item x="406"/>
        <item x="847"/>
        <item x="780"/>
        <item x="1160"/>
        <item x="1458"/>
        <item x="9"/>
        <item x="1230"/>
        <item x="875"/>
        <item x="892"/>
        <item x="428"/>
        <item x="764"/>
        <item x="818"/>
        <item x="595"/>
        <item x="1179"/>
        <item x="1022"/>
        <item x="472"/>
        <item x="423"/>
        <item x="1545"/>
        <item x="1526"/>
        <item x="747"/>
        <item x="167"/>
        <item x="1255"/>
        <item x="401"/>
        <item x="1565"/>
        <item x="957"/>
        <item x="290"/>
        <item x="553"/>
        <item x="1614"/>
        <item x="1595"/>
        <item x="137"/>
        <item x="920"/>
        <item x="643"/>
        <item x="698"/>
        <item x="347"/>
        <item x="163"/>
        <item x="157"/>
        <item x="458"/>
        <item x="1569"/>
        <item x="1616"/>
        <item x="89"/>
        <item x="51"/>
        <item x="568"/>
        <item x="419"/>
        <item x="729"/>
        <item x="125"/>
        <item x="913"/>
        <item x="840"/>
        <item x="684"/>
        <item x="1464"/>
        <item x="1234"/>
        <item x="1373"/>
        <item x="922"/>
        <item x="895"/>
        <item x="694"/>
        <item x="1152"/>
        <item x="799"/>
        <item x="1147"/>
        <item x="1208"/>
        <item x="1403"/>
        <item x="1443"/>
        <item x="409"/>
        <item x="326"/>
        <item x="533"/>
        <item x="1151"/>
        <item x="797"/>
        <item x="96"/>
        <item x="284"/>
        <item x="1610"/>
        <item x="192"/>
        <item x="675"/>
        <item x="145"/>
        <item x="440"/>
        <item x="239"/>
        <item x="789"/>
        <item x="224"/>
        <item x="777"/>
        <item x="1057"/>
        <item x="257"/>
        <item x="1384"/>
        <item x="1309"/>
        <item x="1556"/>
        <item x="660"/>
        <item x="1016"/>
        <item x="1156"/>
        <item x="805"/>
        <item x="910"/>
        <item x="513"/>
        <item x="497"/>
        <item x="1221"/>
        <item x="833"/>
        <item x="60"/>
        <item x="1245"/>
        <item x="74"/>
        <item x="50"/>
        <item x="863"/>
        <item x="929"/>
        <item x="367"/>
        <item x="1320"/>
        <item x="285"/>
        <item x="1382"/>
        <item x="40"/>
        <item x="659"/>
        <item x="433"/>
        <item x="315"/>
        <item x="43"/>
        <item x="296"/>
        <item x="804"/>
        <item x="38"/>
        <item x="56"/>
        <item x="1145"/>
        <item x="542"/>
        <item x="479"/>
        <item x="860"/>
        <item x="1437"/>
        <item x="632"/>
        <item x="1354"/>
        <item x="1198"/>
        <item x="948"/>
        <item x="1495"/>
        <item x="621"/>
        <item x="339"/>
        <item x="21"/>
        <item x="868"/>
        <item x="1293"/>
        <item x="968"/>
        <item x="599"/>
        <item x="1497"/>
        <item x="560"/>
        <item x="1357"/>
        <item x="62"/>
        <item x="1095"/>
        <item x="263"/>
        <item x="1085"/>
        <item x="933"/>
        <item x="156"/>
        <item x="15"/>
        <item x="1253"/>
        <item x="785"/>
        <item x="835"/>
        <item x="1233"/>
        <item x="1541"/>
        <item x="249"/>
        <item x="1378"/>
        <item x="1082"/>
        <item x="1447"/>
        <item x="1291"/>
        <item x="851"/>
        <item x="1003"/>
        <item x="329"/>
        <item x="1157"/>
        <item x="455"/>
        <item x="335"/>
        <item x="476"/>
        <item x="1305"/>
        <item x="611"/>
        <item x="1042"/>
        <item x="420"/>
        <item x="103"/>
        <item x="292"/>
        <item x="473"/>
        <item x="101"/>
        <item x="1109"/>
        <item x="951"/>
        <item x="28"/>
        <item x="696"/>
        <item x="333"/>
        <item x="130"/>
        <item x="1364"/>
        <item x="297"/>
        <item x="205"/>
        <item x="42"/>
        <item x="1169"/>
        <item x="555"/>
        <item x="49"/>
        <item x="1153"/>
        <item x="1102"/>
        <item x="1130"/>
        <item x="430"/>
        <item x="337"/>
        <item x="113"/>
        <item x="1397"/>
        <item x="442"/>
        <item x="254"/>
        <item x="753"/>
        <item x="658"/>
        <item x="310"/>
        <item x="1070"/>
        <item x="13"/>
        <item x="647"/>
        <item x="1548"/>
        <item x="1583"/>
        <item x="427"/>
        <item x="1500"/>
        <item x="556"/>
        <item x="711"/>
        <item x="995"/>
        <item x="35"/>
        <item x="1142"/>
        <item x="1249"/>
        <item x="1582"/>
        <item x="1060"/>
        <item x="1027"/>
        <item x="640"/>
        <item x="1407"/>
        <item x="541"/>
        <item x="1473"/>
        <item x="940"/>
        <item x="1543"/>
        <item x="1377"/>
        <item x="1202"/>
        <item x="935"/>
        <item x="1462"/>
        <item x="1058"/>
        <item x="1360"/>
        <item x="1315"/>
        <item x="1094"/>
        <item x="926"/>
        <item x="1538"/>
        <item x="1519"/>
        <item x="1528"/>
        <item x="10"/>
        <item x="1336"/>
        <item x="398"/>
        <item x="776"/>
        <item x="1118"/>
        <item x="529"/>
        <item x="422"/>
        <item x="273"/>
        <item x="1261"/>
        <item x="1534"/>
        <item x="771"/>
        <item x="1588"/>
        <item x="715"/>
        <item x="1539"/>
        <item x="1074"/>
        <item x="68"/>
        <item x="944"/>
        <item x="1135"/>
        <item x="693"/>
        <item x="151"/>
        <item x="380"/>
        <item x="1441"/>
        <item x="607"/>
        <item x="1544"/>
        <item x="293"/>
        <item x="539"/>
        <item x="402"/>
        <item x="1385"/>
        <item x="754"/>
        <item x="456"/>
        <item x="226"/>
        <item x="1298"/>
        <item x="437"/>
        <item x="102"/>
        <item x="300"/>
        <item x="32"/>
        <item x="903"/>
        <item x="465"/>
        <item x="950"/>
        <item x="745"/>
        <item x="1399"/>
        <item x="1369"/>
        <item x="976"/>
        <item x="209"/>
        <item x="1117"/>
        <item x="823"/>
        <item x="559"/>
        <item x="445"/>
        <item x="8"/>
        <item x="1243"/>
        <item x="662"/>
        <item x="1019"/>
        <item x="1271"/>
        <item x="846"/>
        <item x="984"/>
        <item x="1542"/>
        <item x="577"/>
        <item x="728"/>
        <item x="829"/>
        <item x="200"/>
        <item x="1346"/>
        <item x="1197"/>
        <item x="546"/>
        <item x="95"/>
        <item x="641"/>
        <item x="663"/>
        <item x="1529"/>
        <item x="231"/>
        <item x="1408"/>
        <item x="1322"/>
        <item x="1575"/>
        <item x="1450"/>
        <item x="646"/>
        <item x="30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3">
        <item x="0"/>
        <item x="1"/>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s>
  <rowFields count="1">
    <field x="20"/>
  </rowFields>
  <rowItems count="3">
    <i>
      <x/>
    </i>
    <i>
      <x v="1"/>
    </i>
    <i t="grand">
      <x/>
    </i>
  </rowItems>
  <colItems count="1">
    <i/>
  </colItems>
  <dataFields count="1">
    <dataField name="Average of pts_per_game" fld="17" subtotal="average" baseField="21" baseItem="0"/>
  </dataFields>
  <chartFormats count="2">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767F3B-2166-4BF0-A290-C88DC06880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layers Name">
  <location ref="J2:K13" firstHeaderRow="1" firstDataRow="1" firstDataCol="1"/>
  <pivotFields count="23">
    <pivotField showAll="0"/>
    <pivotField showAll="0">
      <items count="31">
        <item x="9"/>
        <item x="14"/>
        <item x="0"/>
        <item x="4"/>
        <item x="20"/>
        <item x="25"/>
        <item x="26"/>
        <item x="2"/>
        <item x="18"/>
        <item x="10"/>
        <item x="11"/>
        <item x="24"/>
        <item x="7"/>
        <item x="19"/>
        <item x="27"/>
        <item x="8"/>
        <item x="12"/>
        <item x="5"/>
        <item x="29"/>
        <item x="13"/>
        <item x="1"/>
        <item x="3"/>
        <item x="21"/>
        <item x="15"/>
        <item x="17"/>
        <item x="6"/>
        <item x="16"/>
        <item x="28"/>
        <item x="22"/>
        <item x="23"/>
        <item t="default"/>
      </items>
    </pivotField>
    <pivotField axis="axisRow" showAll="0" measureFilter="1" sortType="descending">
      <items count="1620">
        <item x="468"/>
        <item x="36"/>
        <item x="509"/>
        <item x="1324"/>
        <item x="969"/>
        <item x="849"/>
        <item x="1188"/>
        <item x="866"/>
        <item x="1415"/>
        <item x="203"/>
        <item x="1521"/>
        <item x="1615"/>
        <item x="1335"/>
        <item x="162"/>
        <item x="834"/>
        <item x="105"/>
        <item x="775"/>
        <item x="1491"/>
        <item x="336"/>
        <item x="180"/>
        <item x="1199"/>
        <item x="400"/>
        <item x="826"/>
        <item x="686"/>
        <item x="837"/>
        <item x="24"/>
        <item x="247"/>
        <item x="852"/>
        <item x="1035"/>
        <item x="11"/>
        <item x="1389"/>
        <item x="443"/>
        <item x="1524"/>
        <item x="1488"/>
        <item x="1164"/>
        <item x="772"/>
        <item x="1138"/>
        <item x="815"/>
        <item x="891"/>
        <item x="980"/>
        <item x="1440"/>
        <item x="154"/>
        <item x="1163"/>
        <item x="282"/>
        <item x="97"/>
        <item x="1581"/>
        <item x="174"/>
        <item x="573"/>
        <item x="576"/>
        <item x="371"/>
        <item x="322"/>
        <item x="585"/>
        <item x="769"/>
        <item x="701"/>
        <item x="421"/>
        <item x="763"/>
        <item x="1086"/>
        <item x="706"/>
        <item x="680"/>
        <item x="439"/>
        <item x="1159"/>
        <item x="773"/>
        <item x="671"/>
        <item x="454"/>
        <item x="718"/>
        <item x="727"/>
        <item x="265"/>
        <item x="1069"/>
        <item x="1278"/>
        <item x="1096"/>
        <item x="1185"/>
        <item x="682"/>
        <item x="1009"/>
        <item x="146"/>
        <item x="1416"/>
        <item x="405"/>
        <item x="379"/>
        <item x="1304"/>
        <item x="66"/>
        <item x="1134"/>
        <item x="22"/>
        <item x="1270"/>
        <item x="1078"/>
        <item x="1508"/>
        <item x="230"/>
        <item x="365"/>
        <item x="222"/>
        <item x="349"/>
        <item x="110"/>
        <item x="885"/>
        <item x="287"/>
        <item x="731"/>
        <item x="707"/>
        <item x="332"/>
        <item x="44"/>
        <item x="214"/>
        <item x="233"/>
        <item x="570"/>
        <item x="1361"/>
        <item x="1161"/>
        <item x="1006"/>
        <item x="1104"/>
        <item x="1444"/>
        <item x="850"/>
        <item x="340"/>
        <item x="937"/>
        <item x="1087"/>
        <item x="991"/>
        <item x="1601"/>
        <item x="206"/>
        <item x="1350"/>
        <item x="434"/>
        <item x="1329"/>
        <item x="318"/>
        <item x="674"/>
        <item x="1140"/>
        <item x="1282"/>
        <item x="699"/>
        <item x="1110"/>
        <item x="712"/>
        <item x="208"/>
        <item x="54"/>
        <item x="39"/>
        <item x="1030"/>
        <item x="61"/>
        <item x="923"/>
        <item x="7"/>
        <item x="248"/>
        <item x="150"/>
        <item x="351"/>
        <item x="809"/>
        <item x="91"/>
        <item x="1259"/>
        <item x="567"/>
        <item x="1211"/>
        <item x="1054"/>
        <item x="1493"/>
        <item x="1591"/>
        <item x="386"/>
        <item x="645"/>
        <item x="591"/>
        <item x="761"/>
        <item x="1080"/>
        <item x="831"/>
        <item x="1281"/>
        <item x="550"/>
        <item x="749"/>
        <item x="1611"/>
        <item x="1470"/>
        <item x="670"/>
        <item x="1283"/>
        <item x="932"/>
        <item x="1031"/>
        <item x="778"/>
        <item x="884"/>
        <item x="547"/>
        <item x="246"/>
        <item x="127"/>
        <item x="344"/>
        <item x="520"/>
        <item x="648"/>
        <item x="141"/>
        <item x="308"/>
        <item x="194"/>
        <item x="31"/>
        <item x="561"/>
        <item x="397"/>
        <item x="1306"/>
        <item x="881"/>
        <item x="213"/>
        <item x="1434"/>
        <item x="1204"/>
        <item x="1483"/>
        <item x="410"/>
        <item x="237"/>
        <item x="108"/>
        <item x="391"/>
        <item x="182"/>
        <item x="360"/>
        <item x="1287"/>
        <item x="122"/>
        <item x="946"/>
        <item x="750"/>
        <item x="1212"/>
        <item x="1566"/>
        <item x="447"/>
        <item x="149"/>
        <item x="1362"/>
        <item x="464"/>
        <item x="1459"/>
        <item x="1592"/>
        <item x="1232"/>
        <item x="1460"/>
        <item x="1251"/>
        <item x="1301"/>
        <item x="29"/>
        <item x="853"/>
        <item x="609"/>
        <item x="649"/>
        <item x="197"/>
        <item x="627"/>
        <item x="586"/>
        <item x="1165"/>
        <item x="1482"/>
        <item x="598"/>
        <item x="412"/>
        <item x="1559"/>
        <item x="1558"/>
        <item x="1267"/>
        <item x="47"/>
        <item x="368"/>
        <item x="787"/>
        <item x="81"/>
        <item x="1414"/>
        <item x="1061"/>
        <item x="725"/>
        <item x="1613"/>
        <item x="228"/>
        <item x="1067"/>
        <item x="357"/>
        <item x="354"/>
        <item x="724"/>
        <item x="212"/>
        <item x="965"/>
        <item x="331"/>
        <item x="1314"/>
        <item x="819"/>
        <item x="243"/>
        <item x="1439"/>
        <item x="1317"/>
        <item x="346"/>
        <item x="628"/>
        <item x="279"/>
        <item x="85"/>
        <item x="373"/>
        <item x="911"/>
        <item x="1578"/>
        <item x="709"/>
        <item x="67"/>
        <item x="462"/>
        <item x="603"/>
        <item x="630"/>
        <item x="138"/>
        <item x="1265"/>
        <item x="484"/>
        <item x="165"/>
        <item x="618"/>
        <item x="721"/>
        <item x="527"/>
        <item x="861"/>
        <item x="323"/>
        <item x="1041"/>
        <item x="129"/>
        <item x="757"/>
        <item x="144"/>
        <item x="184"/>
        <item x="584"/>
        <item x="952"/>
        <item x="98"/>
        <item x="1465"/>
        <item x="1553"/>
        <item x="1143"/>
        <item x="104"/>
        <item x="1218"/>
        <item x="202"/>
        <item x="1209"/>
        <item x="1456"/>
        <item x="1485"/>
        <item x="1137"/>
        <item x="983"/>
        <item x="1522"/>
        <item x="1400"/>
        <item x="403"/>
        <item x="830"/>
        <item x="1580"/>
        <item x="444"/>
        <item x="128"/>
        <item x="168"/>
        <item x="244"/>
        <item x="624"/>
        <item x="260"/>
        <item x="424"/>
        <item x="1237"/>
        <item x="1052"/>
        <item x="490"/>
        <item x="893"/>
        <item x="993"/>
        <item x="808"/>
        <item x="280"/>
        <item x="594"/>
        <item x="416"/>
        <item x="880"/>
        <item x="871"/>
        <item x="900"/>
        <item x="1353"/>
        <item x="844"/>
        <item x="644"/>
        <item x="956"/>
        <item x="582"/>
        <item x="1280"/>
        <item x="1608"/>
        <item x="64"/>
        <item x="501"/>
        <item x="1311"/>
        <item x="1083"/>
        <item x="1215"/>
        <item x="996"/>
        <item x="822"/>
        <item x="238"/>
        <item x="563"/>
        <item x="1380"/>
        <item x="604"/>
        <item x="608"/>
        <item x="508"/>
        <item x="526"/>
        <item x="1239"/>
        <item x="748"/>
        <item x="1487"/>
        <item x="813"/>
        <item x="1334"/>
        <item x="1001"/>
        <item x="1540"/>
        <item x="877"/>
        <item x="338"/>
        <item x="733"/>
        <item x="967"/>
        <item x="955"/>
        <item x="1189"/>
        <item x="1008"/>
        <item x="1196"/>
        <item x="1472"/>
        <item x="1454"/>
        <item x="1131"/>
        <item x="480"/>
        <item x="1123"/>
        <item x="1064"/>
        <item x="619"/>
        <item x="626"/>
        <item x="918"/>
        <item x="176"/>
        <item x="898"/>
        <item x="943"/>
        <item x="140"/>
        <item x="221"/>
        <item x="1274"/>
        <item x="14"/>
        <item x="121"/>
        <item x="610"/>
        <item x="700"/>
        <item x="1609"/>
        <item x="746"/>
        <item x="811"/>
        <item x="256"/>
        <item x="642"/>
        <item x="1574"/>
        <item x="1065"/>
        <item x="1368"/>
        <item x="1594"/>
        <item x="1341"/>
        <item x="1393"/>
        <item x="1302"/>
        <item x="1453"/>
        <item x="906"/>
        <item x="1075"/>
        <item x="1436"/>
        <item x="18"/>
        <item x="1486"/>
        <item x="1310"/>
        <item x="958"/>
        <item x="374"/>
        <item x="1257"/>
        <item x="695"/>
        <item x="931"/>
        <item x="413"/>
        <item x="977"/>
        <item x="949"/>
        <item x="869"/>
        <item x="1323"/>
        <item x="1516"/>
        <item x="1150"/>
        <item x="3"/>
        <item x="1345"/>
        <item x="1295"/>
        <item x="341"/>
        <item x="305"/>
        <item x="46"/>
        <item x="483"/>
        <item x="720"/>
        <item x="217"/>
        <item x="961"/>
        <item x="862"/>
        <item x="1023"/>
        <item x="0"/>
        <item x="425"/>
        <item x="975"/>
        <item x="872"/>
        <item x="1365"/>
        <item x="1025"/>
        <item x="661"/>
        <item x="535"/>
        <item x="500"/>
        <item x="1537"/>
        <item x="494"/>
        <item x="453"/>
        <item x="1250"/>
        <item x="1013"/>
        <item x="676"/>
        <item x="1518"/>
        <item x="1442"/>
        <item x="1426"/>
        <item x="1235"/>
        <item x="1507"/>
        <item x="1004"/>
        <item x="1312"/>
        <item x="1319"/>
        <item x="207"/>
        <item x="1484"/>
        <item x="767"/>
        <item x="55"/>
        <item x="1381"/>
        <item x="450"/>
        <item x="1081"/>
        <item x="384"/>
        <item x="1292"/>
        <item x="864"/>
        <item x="997"/>
        <item x="114"/>
        <item x="281"/>
        <item x="82"/>
        <item x="1043"/>
        <item x="499"/>
        <item x="271"/>
        <item x="269"/>
        <item x="1349"/>
        <item x="705"/>
        <item x="302"/>
        <item x="1409"/>
        <item x="899"/>
        <item x="220"/>
        <item x="190"/>
        <item x="690"/>
        <item x="1119"/>
        <item x="112"/>
        <item x="158"/>
        <item x="1195"/>
        <item x="88"/>
        <item x="57"/>
        <item x="1285"/>
        <item x="262"/>
        <item x="1112"/>
        <item x="328"/>
        <item x="580"/>
        <item x="17"/>
        <item x="131"/>
        <item x="1376"/>
        <item x="225"/>
        <item x="23"/>
        <item x="270"/>
        <item x="672"/>
        <item x="1228"/>
        <item x="629"/>
        <item x="1475"/>
        <item x="1421"/>
        <item x="936"/>
        <item x="565"/>
        <item x="985"/>
        <item x="350"/>
        <item x="240"/>
        <item x="177"/>
        <item x="534"/>
        <item x="514"/>
        <item x="196"/>
        <item x="531"/>
        <item x="1387"/>
        <item x="515"/>
        <item x="1226"/>
        <item x="304"/>
        <item x="978"/>
        <item x="26"/>
        <item x="1194"/>
        <item x="1423"/>
        <item x="1546"/>
        <item x="86"/>
        <item x="994"/>
        <item x="133"/>
        <item x="120"/>
        <item x="432"/>
        <item x="673"/>
        <item x="1244"/>
        <item x="1026"/>
        <item x="990"/>
        <item x="878"/>
        <item x="942"/>
        <item x="204"/>
        <item x="195"/>
        <item x="72"/>
        <item x="1490"/>
        <item x="201"/>
        <item x="175"/>
        <item x="272"/>
        <item x="370"/>
        <item x="245"/>
        <item x="505"/>
        <item x="291"/>
        <item x="1177"/>
        <item x="1180"/>
        <item x="525"/>
        <item x="751"/>
        <item x="166"/>
        <item x="489"/>
        <item x="1076"/>
        <item x="463"/>
        <item x="1097"/>
        <item x="1568"/>
        <item x="974"/>
        <item x="173"/>
        <item x="1099"/>
        <item x="399"/>
        <item x="5"/>
        <item x="1107"/>
        <item x="470"/>
        <item x="739"/>
        <item x="1367"/>
        <item x="1246"/>
        <item x="1370"/>
        <item x="1344"/>
        <item x="601"/>
        <item x="268"/>
        <item x="1573"/>
        <item x="277"/>
        <item x="590"/>
        <item x="1129"/>
        <item x="1307"/>
        <item x="854"/>
        <item x="1015"/>
        <item x="1203"/>
        <item x="1"/>
        <item x="242"/>
        <item x="1429"/>
        <item x="218"/>
        <item x="169"/>
        <item x="897"/>
        <item x="1448"/>
        <item x="155"/>
        <item x="253"/>
        <item x="1328"/>
        <item x="1618"/>
        <item x="1294"/>
        <item x="19"/>
        <item x="734"/>
        <item x="934"/>
        <item x="552"/>
        <item x="172"/>
        <item x="1148"/>
        <item x="557"/>
        <item x="856"/>
        <item x="1167"/>
        <item x="187"/>
        <item x="1223"/>
        <item x="369"/>
        <item x="1467"/>
        <item x="915"/>
        <item x="469"/>
        <item x="981"/>
        <item x="1154"/>
        <item x="189"/>
        <item x="1172"/>
        <item x="1561"/>
        <item x="1471"/>
        <item x="1413"/>
        <item x="63"/>
        <item x="1606"/>
        <item x="426"/>
        <item x="34"/>
        <item x="160"/>
        <item x="211"/>
        <item x="979"/>
        <item x="824"/>
        <item x="259"/>
        <item x="94"/>
        <item x="1000"/>
        <item x="1297"/>
        <item x="820"/>
        <item x="713"/>
        <item x="735"/>
        <item x="1021"/>
        <item x="1435"/>
        <item x="517"/>
        <item x="107"/>
        <item x="1084"/>
        <item x="1356"/>
        <item x="924"/>
        <item x="821"/>
        <item x="1005"/>
        <item x="493"/>
        <item x="1299"/>
        <item x="916"/>
        <item x="1598"/>
        <item x="784"/>
        <item x="215"/>
        <item x="115"/>
        <item x="744"/>
        <item x="1496"/>
        <item x="524"/>
        <item x="1383"/>
        <item x="726"/>
        <item x="1040"/>
        <item x="1532"/>
        <item x="93"/>
        <item x="1431"/>
        <item x="1512"/>
        <item x="1166"/>
        <item x="1379"/>
        <item x="1587"/>
        <item x="1555"/>
        <item x="1605"/>
        <item x="132"/>
        <item x="148"/>
        <item x="1494"/>
        <item x="1523"/>
        <item x="1077"/>
        <item x="1596"/>
        <item x="1321"/>
        <item x="1371"/>
        <item x="1313"/>
        <item x="890"/>
        <item x="783"/>
        <item x="901"/>
        <item x="429"/>
        <item x="689"/>
        <item x="1451"/>
        <item x="1391"/>
        <item x="1186"/>
        <item x="521"/>
        <item x="702"/>
        <item x="1420"/>
        <item x="355"/>
        <item x="1535"/>
        <item x="1593"/>
        <item x="1111"/>
        <item x="418"/>
        <item x="1240"/>
        <item x="1550"/>
        <item x="1050"/>
        <item x="1325"/>
        <item x="502"/>
        <item x="510"/>
        <item x="1290"/>
        <item x="1425"/>
        <item x="1567"/>
        <item x="1564"/>
        <item x="1585"/>
        <item x="1501"/>
        <item x="199"/>
        <item x="1517"/>
        <item x="1570"/>
        <item x="1173"/>
        <item x="496"/>
        <item x="554"/>
        <item x="485"/>
        <item x="147"/>
        <item x="1288"/>
        <item x="617"/>
        <item x="691"/>
        <item x="992"/>
        <item x="812"/>
        <item x="1576"/>
        <item x="362"/>
        <item x="358"/>
        <item x="1181"/>
        <item x="925"/>
        <item x="938"/>
        <item x="668"/>
        <item x="667"/>
        <item x="448"/>
        <item x="164"/>
        <item x="803"/>
        <item x="1509"/>
        <item x="1201"/>
        <item x="867"/>
        <item x="321"/>
        <item x="227"/>
        <item x="566"/>
        <item x="1029"/>
        <item x="1603"/>
        <item x="1101"/>
        <item x="845"/>
        <item x="587"/>
        <item x="1098"/>
        <item x="1262"/>
        <item x="1396"/>
        <item x="1219"/>
        <item x="1392"/>
        <item x="1433"/>
        <item x="1499"/>
        <item x="1358"/>
        <item x="1455"/>
        <item x="738"/>
        <item x="574"/>
        <item x="634"/>
        <item x="1012"/>
        <item x="251"/>
        <item x="492"/>
        <item x="545"/>
        <item x="522"/>
        <item x="655"/>
        <item x="188"/>
        <item x="366"/>
        <item x="742"/>
        <item x="532"/>
        <item x="316"/>
        <item x="843"/>
        <item x="441"/>
        <item x="883"/>
        <item x="382"/>
        <item x="889"/>
        <item x="842"/>
        <item x="1375"/>
        <item x="1457"/>
        <item x="1560"/>
        <item x="578"/>
        <item x="1284"/>
        <item x="1492"/>
        <item x="1339"/>
        <item x="20"/>
        <item x="953"/>
        <item x="451"/>
        <item x="828"/>
        <item x="314"/>
        <item x="325"/>
        <item x="1108"/>
        <item x="941"/>
        <item x="562"/>
        <item x="223"/>
        <item x="1171"/>
        <item x="408"/>
        <item x="364"/>
        <item x="1222"/>
        <item x="1597"/>
        <item x="1020"/>
        <item x="1089"/>
        <item x="1062"/>
        <item x="1256"/>
        <item x="1617"/>
        <item x="298"/>
        <item x="954"/>
        <item x="857"/>
        <item x="275"/>
        <item x="657"/>
        <item x="411"/>
        <item x="1014"/>
        <item x="488"/>
        <item x="1405"/>
        <item x="307"/>
        <item x="16"/>
        <item x="234"/>
        <item x="882"/>
        <item x="549"/>
        <item x="1424"/>
        <item x="99"/>
        <item x="216"/>
        <item x="1033"/>
        <item x="1053"/>
        <item x="266"/>
        <item x="87"/>
        <item x="592"/>
        <item x="832"/>
        <item x="962"/>
        <item x="879"/>
        <item x="921"/>
        <item x="1217"/>
        <item x="537"/>
        <item x="232"/>
        <item x="1604"/>
        <item x="1277"/>
        <item x="1330"/>
        <item x="1187"/>
        <item x="802"/>
        <item x="486"/>
        <item x="904"/>
        <item x="732"/>
        <item x="1183"/>
        <item x="741"/>
        <item x="460"/>
        <item x="1355"/>
        <item x="1091"/>
        <item x="1100"/>
        <item x="602"/>
        <item x="353"/>
        <item x="71"/>
        <item x="973"/>
        <item x="299"/>
        <item x="1220"/>
        <item x="345"/>
        <item x="116"/>
        <item x="959"/>
        <item x="1063"/>
        <item x="1372"/>
        <item x="960"/>
        <item x="1028"/>
        <item x="436"/>
        <item x="1342"/>
        <item x="1572"/>
        <item x="928"/>
        <item x="1206"/>
        <item x="1374"/>
        <item x="1505"/>
        <item x="1229"/>
        <item x="999"/>
        <item x="798"/>
        <item x="1049"/>
        <item x="930"/>
        <item x="1236"/>
        <item x="1269"/>
        <item x="1552"/>
        <item x="1477"/>
        <item x="1059"/>
        <item x="548"/>
        <item x="795"/>
        <item x="677"/>
        <item x="1589"/>
        <item x="1571"/>
        <item x="181"/>
        <item x="1525"/>
        <item x="1068"/>
        <item x="1366"/>
        <item x="653"/>
        <item x="1213"/>
        <item x="1340"/>
        <item x="858"/>
        <item x="1412"/>
        <item x="1275"/>
        <item x="1072"/>
        <item x="688"/>
        <item x="1577"/>
        <item x="939"/>
        <item x="1600"/>
        <item x="612"/>
        <item x="593"/>
        <item x="1296"/>
        <item x="37"/>
        <item x="836"/>
        <item x="736"/>
        <item x="1191"/>
        <item x="457"/>
        <item x="264"/>
        <item x="1258"/>
        <item x="1122"/>
        <item x="1055"/>
        <item x="1351"/>
        <item x="1489"/>
        <item x="1352"/>
        <item x="710"/>
        <item x="1502"/>
        <item x="1247"/>
        <item x="1200"/>
        <item x="191"/>
        <item x="1216"/>
        <item x="1388"/>
        <item x="1584"/>
        <item x="523"/>
        <item x="596"/>
        <item x="1238"/>
        <item x="1038"/>
        <item x="1332"/>
        <item x="361"/>
        <item x="538"/>
        <item x="1438"/>
        <item x="1071"/>
        <item x="664"/>
        <item x="356"/>
        <item x="330"/>
        <item x="1478"/>
        <item x="1146"/>
        <item x="1252"/>
        <item x="343"/>
        <item x="1032"/>
        <item x="571"/>
        <item x="4"/>
        <item x="1090"/>
        <item x="651"/>
        <item x="1045"/>
        <item x="53"/>
        <item x="575"/>
        <item x="452"/>
        <item x="45"/>
        <item x="1141"/>
        <item x="478"/>
        <item x="1557"/>
        <item x="388"/>
        <item x="1586"/>
        <item x="289"/>
        <item x="1607"/>
        <item x="69"/>
        <item x="825"/>
        <item x="236"/>
        <item x="1446"/>
        <item x="1411"/>
        <item x="1401"/>
        <item x="876"/>
        <item x="78"/>
        <item x="697"/>
        <item x="1124"/>
        <item x="1479"/>
        <item x="33"/>
        <item x="989"/>
        <item x="185"/>
        <item x="1266"/>
        <item x="487"/>
        <item x="511"/>
        <item x="198"/>
        <item x="1116"/>
        <item x="1430"/>
        <item x="1514"/>
        <item x="1121"/>
        <item x="1520"/>
        <item x="543"/>
        <item x="631"/>
        <item x="687"/>
        <item x="1034"/>
        <item x="294"/>
        <item x="415"/>
        <item x="894"/>
        <item x="810"/>
        <item x="1449"/>
        <item x="1125"/>
        <item x="1286"/>
        <item x="685"/>
        <item x="1127"/>
        <item x="1241"/>
        <item x="241"/>
        <item x="528"/>
        <item x="1214"/>
        <item x="1504"/>
        <item x="669"/>
        <item x="1363"/>
        <item x="796"/>
        <item x="1126"/>
        <item x="1056"/>
        <item x="909"/>
        <item x="1024"/>
        <item x="859"/>
        <item x="1481"/>
        <item x="70"/>
        <item x="435"/>
        <item x="1231"/>
        <item x="774"/>
        <item x="1510"/>
        <item x="193"/>
        <item x="90"/>
        <item x="25"/>
        <item x="1011"/>
        <item x="1010"/>
        <item x="1418"/>
        <item x="100"/>
        <item x="474"/>
        <item x="467"/>
        <item x="383"/>
        <item x="52"/>
        <item x="1263"/>
        <item x="987"/>
        <item x="119"/>
        <item x="1343"/>
        <item x="516"/>
        <item x="1073"/>
        <item x="229"/>
        <item x="267"/>
        <item x="768"/>
        <item x="1002"/>
        <item x="652"/>
        <item x="1530"/>
        <item x="625"/>
        <item x="118"/>
        <item x="471"/>
        <item x="817"/>
        <item x="459"/>
        <item x="73"/>
        <item x="27"/>
        <item x="972"/>
        <item x="743"/>
        <item x="153"/>
        <item x="704"/>
        <item x="6"/>
        <item x="134"/>
        <item x="1410"/>
        <item x="615"/>
        <item x="1338"/>
        <item x="255"/>
        <item x="569"/>
        <item x="288"/>
        <item x="1182"/>
        <item x="261"/>
        <item x="760"/>
        <item x="12"/>
        <item x="58"/>
        <item x="908"/>
        <item x="1149"/>
        <item x="171"/>
        <item x="717"/>
        <item x="622"/>
        <item x="1395"/>
        <item x="1612"/>
        <item x="1468"/>
        <item x="988"/>
        <item x="1017"/>
        <item x="681"/>
        <item x="1348"/>
        <item x="638"/>
        <item x="656"/>
        <item x="678"/>
        <item x="740"/>
        <item x="161"/>
        <item x="431"/>
        <item x="654"/>
        <item x="2"/>
        <item x="1536"/>
        <item x="1303"/>
        <item x="1316"/>
        <item x="1066"/>
        <item x="170"/>
        <item x="1300"/>
        <item x="917"/>
        <item x="1347"/>
        <item x="319"/>
        <item x="109"/>
        <item x="503"/>
        <item x="477"/>
        <item x="865"/>
        <item x="363"/>
        <item x="770"/>
        <item x="841"/>
        <item x="637"/>
        <item x="320"/>
        <item x="283"/>
        <item x="481"/>
        <item x="589"/>
        <item x="41"/>
        <item x="1037"/>
        <item x="1333"/>
        <item x="1190"/>
        <item x="964"/>
        <item x="814"/>
        <item x="794"/>
        <item x="801"/>
        <item x="1503"/>
        <item x="258"/>
        <item x="905"/>
        <item x="1242"/>
        <item x="613"/>
        <item x="375"/>
        <item x="274"/>
        <item x="312"/>
        <item x="59"/>
        <item x="506"/>
        <item x="324"/>
        <item x="76"/>
        <item x="1227"/>
        <item x="1337"/>
        <item x="1036"/>
        <item x="507"/>
        <item x="359"/>
        <item x="1551"/>
        <item x="123"/>
        <item x="1289"/>
        <item x="1106"/>
        <item x="887"/>
        <item x="1048"/>
        <item x="723"/>
        <item x="276"/>
        <item x="306"/>
        <item x="759"/>
        <item x="1394"/>
        <item x="719"/>
        <item x="1155"/>
        <item x="491"/>
        <item x="1469"/>
        <item x="616"/>
        <item x="665"/>
        <item x="142"/>
        <item x="716"/>
        <item x="136"/>
        <item x="390"/>
        <item x="143"/>
        <item x="800"/>
        <item x="1092"/>
        <item x="342"/>
        <item x="564"/>
        <item x="588"/>
        <item x="1427"/>
        <item x="446"/>
        <item x="1088"/>
        <item x="1476"/>
        <item x="873"/>
        <item x="544"/>
        <item x="1144"/>
        <item x="389"/>
        <item x="387"/>
        <item x="252"/>
        <item x="1327"/>
        <item x="1079"/>
        <item x="278"/>
        <item x="376"/>
        <item x="1406"/>
        <item x="519"/>
        <item x="461"/>
        <item x="219"/>
        <item x="762"/>
        <item x="635"/>
        <item x="1402"/>
        <item x="377"/>
        <item x="827"/>
        <item x="579"/>
        <item x="84"/>
        <item x="482"/>
        <item x="1176"/>
        <item x="186"/>
        <item x="1120"/>
        <item x="512"/>
        <item x="633"/>
        <item x="919"/>
        <item x="758"/>
        <item x="1404"/>
        <item x="1599"/>
        <item x="1103"/>
        <item x="417"/>
        <item x="48"/>
        <item x="393"/>
        <item x="1205"/>
        <item x="1428"/>
        <item x="1506"/>
        <item x="1398"/>
        <item x="666"/>
        <item x="755"/>
        <item x="1386"/>
        <item x="1268"/>
        <item x="210"/>
        <item x="313"/>
        <item x="1417"/>
        <item x="848"/>
        <item x="498"/>
        <item x="1579"/>
        <item x="782"/>
        <item x="1248"/>
        <item x="83"/>
        <item x="970"/>
        <item x="1474"/>
        <item x="737"/>
        <item x="1170"/>
        <item x="912"/>
        <item x="404"/>
        <item x="650"/>
        <item x="1602"/>
        <item x="30"/>
        <item x="1007"/>
        <item x="1162"/>
        <item x="600"/>
        <item x="583"/>
        <item x="1139"/>
        <item x="1480"/>
        <item x="966"/>
        <item x="636"/>
        <item x="855"/>
        <item x="1225"/>
        <item x="1549"/>
        <item x="178"/>
        <item x="839"/>
        <item x="1466"/>
        <item x="1554"/>
        <item x="896"/>
        <item x="1390"/>
        <item x="1192"/>
        <item x="1224"/>
        <item x="1046"/>
        <item x="902"/>
        <item x="1039"/>
        <item x="581"/>
        <item x="1193"/>
        <item x="1044"/>
        <item x="1279"/>
        <item x="1051"/>
        <item x="874"/>
        <item x="1515"/>
        <item x="466"/>
        <item x="1359"/>
        <item x="1128"/>
        <item x="790"/>
        <item x="117"/>
        <item x="518"/>
        <item x="558"/>
        <item x="1422"/>
        <item x="907"/>
        <item x="945"/>
        <item x="1513"/>
        <item x="766"/>
        <item x="1113"/>
        <item x="311"/>
        <item x="1136"/>
        <item x="124"/>
        <item x="1210"/>
        <item x="807"/>
        <item x="1461"/>
        <item x="714"/>
        <item x="1018"/>
        <item x="1308"/>
        <item x="1276"/>
        <item x="394"/>
        <item x="963"/>
        <item x="914"/>
        <item x="1318"/>
        <item x="781"/>
        <item x="986"/>
        <item x="1511"/>
        <item x="971"/>
        <item x="530"/>
        <item x="806"/>
        <item x="982"/>
        <item x="348"/>
        <item x="816"/>
        <item x="385"/>
        <item x="1563"/>
        <item x="1326"/>
        <item x="692"/>
        <item x="1533"/>
        <item x="295"/>
        <item x="1105"/>
        <item x="77"/>
        <item x="703"/>
        <item x="1331"/>
        <item x="1184"/>
        <item x="1174"/>
        <item x="135"/>
        <item x="1527"/>
        <item x="372"/>
        <item x="309"/>
        <item x="504"/>
        <item x="1590"/>
        <item x="495"/>
        <item x="1114"/>
        <item x="791"/>
        <item x="449"/>
        <item x="1115"/>
        <item x="998"/>
        <item x="1498"/>
        <item x="597"/>
        <item x="1531"/>
        <item x="1264"/>
        <item x="378"/>
        <item x="679"/>
        <item x="414"/>
        <item x="793"/>
        <item x="1272"/>
        <item x="870"/>
        <item x="250"/>
        <item x="80"/>
        <item x="779"/>
        <item x="623"/>
        <item x="317"/>
        <item x="111"/>
        <item x="730"/>
        <item x="1254"/>
        <item x="407"/>
        <item x="235"/>
        <item x="392"/>
        <item x="620"/>
        <item x="551"/>
        <item x="1178"/>
        <item x="286"/>
        <item x="1168"/>
        <item x="1445"/>
        <item x="722"/>
        <item x="639"/>
        <item x="1158"/>
        <item x="327"/>
        <item x="1047"/>
        <item x="1562"/>
        <item x="126"/>
        <item x="792"/>
        <item x="159"/>
        <item x="65"/>
        <item x="179"/>
        <item x="92"/>
        <item x="438"/>
        <item x="540"/>
        <item x="183"/>
        <item x="1273"/>
        <item x="75"/>
        <item x="396"/>
        <item x="1175"/>
        <item x="927"/>
        <item x="1452"/>
        <item x="1132"/>
        <item x="606"/>
        <item x="106"/>
        <item x="1133"/>
        <item x="683"/>
        <item x="381"/>
        <item x="139"/>
        <item x="765"/>
        <item x="1419"/>
        <item x="1547"/>
        <item x="886"/>
        <item x="1432"/>
        <item x="475"/>
        <item x="788"/>
        <item x="1207"/>
        <item x="79"/>
        <item x="152"/>
        <item x="838"/>
        <item x="536"/>
        <item x="352"/>
        <item x="947"/>
        <item x="605"/>
        <item x="756"/>
        <item x="1463"/>
        <item x="334"/>
        <item x="614"/>
        <item x="1260"/>
        <item x="786"/>
        <item x="752"/>
        <item x="395"/>
        <item x="888"/>
        <item x="303"/>
        <item x="708"/>
        <item x="1093"/>
        <item x="572"/>
        <item x="406"/>
        <item x="847"/>
        <item x="780"/>
        <item x="1160"/>
        <item x="1458"/>
        <item x="9"/>
        <item x="1230"/>
        <item x="875"/>
        <item x="892"/>
        <item x="428"/>
        <item x="764"/>
        <item x="818"/>
        <item x="595"/>
        <item x="1179"/>
        <item x="1022"/>
        <item x="472"/>
        <item x="423"/>
        <item x="1545"/>
        <item x="1526"/>
        <item x="747"/>
        <item x="167"/>
        <item x="1255"/>
        <item x="401"/>
        <item x="1565"/>
        <item x="957"/>
        <item x="290"/>
        <item x="553"/>
        <item x="1614"/>
        <item x="1595"/>
        <item x="137"/>
        <item x="920"/>
        <item x="643"/>
        <item x="698"/>
        <item x="347"/>
        <item x="163"/>
        <item x="157"/>
        <item x="458"/>
        <item x="1569"/>
        <item x="1616"/>
        <item x="89"/>
        <item x="51"/>
        <item x="568"/>
        <item x="419"/>
        <item x="729"/>
        <item x="125"/>
        <item x="913"/>
        <item x="840"/>
        <item x="684"/>
        <item x="1464"/>
        <item x="1234"/>
        <item x="1373"/>
        <item x="922"/>
        <item x="895"/>
        <item x="694"/>
        <item x="1152"/>
        <item x="799"/>
        <item x="1147"/>
        <item x="1208"/>
        <item x="1403"/>
        <item x="1443"/>
        <item x="409"/>
        <item x="326"/>
        <item x="533"/>
        <item x="1151"/>
        <item x="797"/>
        <item x="96"/>
        <item x="284"/>
        <item x="1610"/>
        <item x="192"/>
        <item x="675"/>
        <item x="145"/>
        <item x="440"/>
        <item x="239"/>
        <item x="789"/>
        <item x="224"/>
        <item x="777"/>
        <item x="1057"/>
        <item x="257"/>
        <item x="1384"/>
        <item x="1309"/>
        <item x="1556"/>
        <item x="660"/>
        <item x="1016"/>
        <item x="1156"/>
        <item x="805"/>
        <item x="910"/>
        <item x="513"/>
        <item x="497"/>
        <item x="1221"/>
        <item x="833"/>
        <item x="60"/>
        <item x="1245"/>
        <item x="74"/>
        <item x="50"/>
        <item x="863"/>
        <item x="929"/>
        <item x="367"/>
        <item x="1320"/>
        <item x="285"/>
        <item x="1382"/>
        <item x="40"/>
        <item x="659"/>
        <item x="433"/>
        <item x="315"/>
        <item x="43"/>
        <item x="296"/>
        <item x="804"/>
        <item x="38"/>
        <item x="56"/>
        <item x="1145"/>
        <item x="542"/>
        <item x="479"/>
        <item x="860"/>
        <item x="1437"/>
        <item x="632"/>
        <item x="1354"/>
        <item x="1198"/>
        <item x="948"/>
        <item x="1495"/>
        <item x="621"/>
        <item x="339"/>
        <item x="21"/>
        <item x="868"/>
        <item x="1293"/>
        <item x="968"/>
        <item x="599"/>
        <item x="1497"/>
        <item x="560"/>
        <item x="1357"/>
        <item x="62"/>
        <item x="1095"/>
        <item x="263"/>
        <item x="1085"/>
        <item x="933"/>
        <item x="156"/>
        <item x="15"/>
        <item x="1253"/>
        <item x="785"/>
        <item x="835"/>
        <item x="1233"/>
        <item x="1541"/>
        <item x="249"/>
        <item x="1378"/>
        <item x="1082"/>
        <item x="1447"/>
        <item x="1291"/>
        <item x="851"/>
        <item x="1003"/>
        <item x="329"/>
        <item x="1157"/>
        <item x="455"/>
        <item x="335"/>
        <item x="476"/>
        <item x="1305"/>
        <item x="611"/>
        <item x="1042"/>
        <item x="420"/>
        <item x="103"/>
        <item x="292"/>
        <item x="473"/>
        <item x="101"/>
        <item x="1109"/>
        <item x="951"/>
        <item x="28"/>
        <item x="696"/>
        <item x="333"/>
        <item x="130"/>
        <item x="1364"/>
        <item x="297"/>
        <item x="205"/>
        <item x="42"/>
        <item x="1169"/>
        <item x="555"/>
        <item x="49"/>
        <item x="1153"/>
        <item x="1102"/>
        <item x="1130"/>
        <item x="430"/>
        <item x="337"/>
        <item x="113"/>
        <item x="1397"/>
        <item x="442"/>
        <item x="254"/>
        <item x="753"/>
        <item x="658"/>
        <item x="310"/>
        <item x="1070"/>
        <item x="13"/>
        <item x="647"/>
        <item x="1548"/>
        <item x="1583"/>
        <item x="427"/>
        <item x="1500"/>
        <item x="556"/>
        <item x="711"/>
        <item x="995"/>
        <item x="35"/>
        <item x="1142"/>
        <item x="1249"/>
        <item x="1582"/>
        <item x="1060"/>
        <item x="1027"/>
        <item x="640"/>
        <item x="1407"/>
        <item x="541"/>
        <item x="1473"/>
        <item x="940"/>
        <item x="1543"/>
        <item x="1377"/>
        <item x="1202"/>
        <item x="935"/>
        <item x="1462"/>
        <item x="1058"/>
        <item x="1360"/>
        <item x="1315"/>
        <item x="1094"/>
        <item x="926"/>
        <item x="1538"/>
        <item x="1519"/>
        <item x="1528"/>
        <item x="10"/>
        <item x="1336"/>
        <item x="398"/>
        <item x="776"/>
        <item x="1118"/>
        <item x="529"/>
        <item x="422"/>
        <item x="273"/>
        <item x="1261"/>
        <item x="1534"/>
        <item x="771"/>
        <item x="1588"/>
        <item x="715"/>
        <item x="1539"/>
        <item x="1074"/>
        <item x="68"/>
        <item x="944"/>
        <item x="1135"/>
        <item x="693"/>
        <item x="151"/>
        <item x="380"/>
        <item x="1441"/>
        <item x="607"/>
        <item x="1544"/>
        <item x="293"/>
        <item x="539"/>
        <item x="402"/>
        <item x="1385"/>
        <item x="754"/>
        <item x="456"/>
        <item x="226"/>
        <item x="1298"/>
        <item x="437"/>
        <item x="102"/>
        <item x="300"/>
        <item x="32"/>
        <item x="903"/>
        <item x="465"/>
        <item x="950"/>
        <item x="745"/>
        <item x="1399"/>
        <item x="1369"/>
        <item x="976"/>
        <item x="209"/>
        <item x="1117"/>
        <item x="823"/>
        <item x="559"/>
        <item x="445"/>
        <item x="8"/>
        <item x="1243"/>
        <item x="662"/>
        <item x="1019"/>
        <item x="1271"/>
        <item x="846"/>
        <item x="984"/>
        <item x="1542"/>
        <item x="577"/>
        <item x="728"/>
        <item x="829"/>
        <item x="200"/>
        <item x="1346"/>
        <item x="1197"/>
        <item x="546"/>
        <item x="95"/>
        <item x="641"/>
        <item x="663"/>
        <item x="1529"/>
        <item x="231"/>
        <item x="1408"/>
        <item x="1322"/>
        <item x="1575"/>
        <item x="1450"/>
        <item x="646"/>
        <item x="3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1">
    <i>
      <x v="971"/>
    </i>
    <i>
      <x v="920"/>
    </i>
    <i>
      <x v="422"/>
    </i>
    <i>
      <x v="1390"/>
    </i>
    <i>
      <x v="200"/>
    </i>
    <i>
      <x v="1473"/>
    </i>
    <i>
      <x v="1218"/>
    </i>
    <i>
      <x v="895"/>
    </i>
    <i>
      <x v="1565"/>
    </i>
    <i>
      <x v="894"/>
    </i>
    <i t="grand">
      <x/>
    </i>
  </rowItems>
  <colItems count="1">
    <i/>
  </colItems>
  <dataFields count="1">
    <dataField name="Sum of total_pts" fld="7" baseField="0" baseItem="0"/>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F267193-6BEC-47FB-85CD-251B9CDC4A5A}"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7E74B45-46F0-4382-938E-306A6AF34F58}" autoFormatId="16" applyNumberFormats="0" applyBorderFormats="0" applyFontFormats="0" applyPatternFormats="0" applyAlignmentFormats="0" applyWidthHeightFormats="0">
  <queryTableRefresh nextId="25" unboundColumnsRight="1">
    <queryTableFields count="23">
      <queryTableField id="1" name="pick_overall" tableColumnId="1"/>
      <queryTableField id="2" name="team" tableColumnId="2"/>
      <queryTableField id="3" name="player_name" tableColumnId="3"/>
      <queryTableField id="4" name="college" tableColumnId="4"/>
      <queryTableField id="5" name="years_played" tableColumnId="5"/>
      <queryTableField id="6" name="games_played" tableColumnId="6"/>
      <queryTableField id="7" name="total_mins_played" tableColumnId="7"/>
      <queryTableField id="8" name="total_pts" tableColumnId="8"/>
      <queryTableField id="9" name="total_rebounds" tableColumnId="9"/>
      <queryTableField id="10" name="total_assists" tableColumnId="10"/>
      <queryTableField id="11" name="fg_percent" tableColumnId="11"/>
      <queryTableField id="12" name="three_pt_percent" tableColumnId="12"/>
      <queryTableField id="13" name="ft_percent" tableColumnId="13"/>
      <queryTableField id="14" name="win_shares" tableColumnId="14"/>
      <queryTableField id="15" name="win_shares_per_48" tableColumnId="15"/>
      <queryTableField id="16" name="draft_year" tableColumnId="16"/>
      <queryTableField id="17" name="mins_per_game" tableColumnId="17"/>
      <queryTableField id="18" name="pts_per_game" tableColumnId="18"/>
      <queryTableField id="19" name="rebounds_per_game" tableColumnId="19"/>
      <queryTableField id="20" name="assists_per_game" tableColumnId="20"/>
      <queryTableField id="21" name="round_picked" tableColumnId="21"/>
      <queryTableField id="22" name="pick_in_round" tableColumnId="22"/>
      <queryTableField id="24" dataBound="0"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D7910D-9C3B-44E4-B4B8-7D505C23194D}" name="Table001__Page_1" displayName="Table001__Page_1" ref="A1:B24" tableType="queryTable" totalsRowShown="0">
  <autoFilter ref="A1:B24" xr:uid="{BFD7910D-9C3B-44E4-B4B8-7D505C23194D}"/>
  <tableColumns count="2">
    <tableColumn id="1" xr3:uid="{A98B96C7-1F8F-4003-84B6-257F8B7CB414}" uniqueName="1" name="Column1" queryTableFieldId="1" dataDxfId="13"/>
    <tableColumn id="2" xr3:uid="{D6FB5949-D60D-494F-83DD-60DEFB6B22F8}" uniqueName="2" name="Column2" queryTableFieldId="2" dataDxfId="12"/>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16B35A-017B-4E3C-AEFA-A16D23ACCFED}" name="nba_draft" displayName="nba_draft" ref="A1:W1620" tableType="queryTable" totalsRowShown="0">
  <autoFilter ref="A1:W1620" xr:uid="{B716B35A-017B-4E3C-AEFA-A16D23ACCFED}"/>
  <sortState xmlns:xlrd2="http://schemas.microsoft.com/office/spreadsheetml/2017/richdata2" ref="A2:W1620">
    <sortCondition descending="1" ref="H2:H1620"/>
  </sortState>
  <tableColumns count="23">
    <tableColumn id="1" xr3:uid="{0C3F580D-8DA0-48CC-B906-885A081D5C0F}" uniqueName="1" name="pick_overall" queryTableFieldId="1"/>
    <tableColumn id="2" xr3:uid="{5F2C8E67-CE0E-4312-A562-CABABAE824AE}" uniqueName="2" name="team" queryTableFieldId="2" dataDxfId="4"/>
    <tableColumn id="3" xr3:uid="{FCC226DE-CEEA-491B-8C00-0FC8B8A657B3}" uniqueName="3" name="player_name" queryTableFieldId="3" dataDxfId="3"/>
    <tableColumn id="4" xr3:uid="{05A09381-82B4-4909-B7E9-124B7D595563}" uniqueName="4" name="college" queryTableFieldId="4" dataDxfId="2"/>
    <tableColumn id="5" xr3:uid="{DB9457E4-5050-4844-A6FE-BE6D3F7F8839}" uniqueName="5" name="years_played" queryTableFieldId="5"/>
    <tableColumn id="6" xr3:uid="{D52F5594-C3BD-4BFB-82FB-0F8F66F0F51D}" uniqueName="6" name="games_played" queryTableFieldId="6"/>
    <tableColumn id="7" xr3:uid="{50C60206-7C43-4C60-AC2A-37D7E9E3F86B}" uniqueName="7" name="total_mins_played" queryTableFieldId="7"/>
    <tableColumn id="8" xr3:uid="{100E1237-560B-404F-8583-423870EC7154}" uniqueName="8" name="total_pts" queryTableFieldId="8"/>
    <tableColumn id="9" xr3:uid="{E8AFA91C-7D9D-454A-A8D2-1B79205EBC0D}" uniqueName="9" name="total_rebounds" queryTableFieldId="9"/>
    <tableColumn id="10" xr3:uid="{4207D2F6-2F51-4432-B24D-BBFDB967E7C9}" uniqueName="10" name="total_assists" queryTableFieldId="10"/>
    <tableColumn id="11" xr3:uid="{A83E2FBD-93DF-4C2A-930B-26FEC9CF5337}" uniqueName="11" name="fg_percent" queryTableFieldId="11"/>
    <tableColumn id="12" xr3:uid="{020EDB1F-10FB-41CA-9DC2-0D167799D4A1}" uniqueName="12" name="three_pt_percent" queryTableFieldId="12"/>
    <tableColumn id="13" xr3:uid="{356E5F5A-9392-469D-9EAA-F929C39D1FA5}" uniqueName="13" name="ft_percent" queryTableFieldId="13"/>
    <tableColumn id="14" xr3:uid="{481C3247-5C28-44E8-AF11-F1CEBC002827}" uniqueName="14" name="win_shares" queryTableFieldId="14"/>
    <tableColumn id="15" xr3:uid="{6B4F20D3-4DDD-40DE-A5DB-E770117B81A3}" uniqueName="15" name="win_shares_per_48" queryTableFieldId="15"/>
    <tableColumn id="16" xr3:uid="{18302F22-5AB0-4B5F-B47D-3BE8F4D2D5D4}" uniqueName="16" name="draft_year" queryTableFieldId="16"/>
    <tableColumn id="17" xr3:uid="{E956B4C6-FCC7-4A65-9E4F-4F34867A0FEC}" uniqueName="17" name="mins_per_game" queryTableFieldId="17"/>
    <tableColumn id="18" xr3:uid="{218DF5B5-CC24-4678-AB46-A1627D112E0D}" uniqueName="18" name="pts_per_game" queryTableFieldId="18"/>
    <tableColumn id="19" xr3:uid="{1118EED9-4789-4F43-BA0A-B86D1AD2B2B8}" uniqueName="19" name="rebounds_per_game" queryTableFieldId="19"/>
    <tableColumn id="20" xr3:uid="{BF5A2455-9E5A-482C-AD83-79920694DCBA}" uniqueName="20" name="assists_per_game" queryTableFieldId="20"/>
    <tableColumn id="21" xr3:uid="{A2A1F7AD-20BD-479F-A82C-D1D88CAFE10A}" uniqueName="21" name="round_picked" queryTableFieldId="21"/>
    <tableColumn id="22" xr3:uid="{56DD5020-3905-43DE-9147-B73012CD4D8D}" uniqueName="22" name="pick_in_round" queryTableFieldId="22"/>
    <tableColumn id="24" xr3:uid="{EFF67EF9-827F-4B2A-88A1-D764EC8E61D3}" uniqueName="24" name="Long_Career" queryTableFieldId="24" dataDxfId="1">
      <calculatedColumnFormula>IF(nba_draft[[#This Row],[years_played]]&gt;5,1,0)</calculatedColumnFormula>
    </tableColumn>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C3101F-A383-4B72-9B77-856595F0B312}" name="Table3" displayName="Table3" ref="O2:P4" totalsRowShown="0">
  <autoFilter ref="O2:P4" xr:uid="{F8C3101F-A383-4B72-9B77-856595F0B312}"/>
  <tableColumns count="2">
    <tableColumn id="1" xr3:uid="{EC4D6214-A6C0-44CD-BD0A-C2909A645019}" name="Relationship"/>
    <tableColumn id="2" xr3:uid="{46BAC3BB-62E5-4091-8C2E-1495497C6F5D}" name="Values">
      <calculatedColumnFormula>CORREL(nba_draft[pick_in_round],nba_draft[win_shares])</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2A0D33-E1B1-4840-9599-17DC40D462C0}" name="Table4" displayName="Table4" ref="R2:S5" totalsRowShown="0">
  <autoFilter ref="R2:S5" xr:uid="{692A0D33-E1B1-4840-9599-17DC40D462C0}"/>
  <tableColumns count="2">
    <tableColumn id="1" xr3:uid="{33A89C38-DABB-467C-8B46-C8E5F0000ED3}" name="Relationship"/>
    <tableColumn id="2" xr3:uid="{206364E0-5D95-490E-9FA5-98B9957BB0F0}" name="Values"/>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B8516-9DF1-465B-8C47-DA602F60B5B9}" name="Table5" displayName="Table5" ref="U2:V5" totalsRowShown="0">
  <autoFilter ref="U2:V5" xr:uid="{9E7B8516-9DF1-465B-8C47-DA602F60B5B9}"/>
  <tableColumns count="2">
    <tableColumn id="1" xr3:uid="{75A60EFD-AF76-414C-9B15-A7082FE1F578}" name="Relationship"/>
    <tableColumn id="2" xr3:uid="{E1181FDF-638F-4DFF-8554-21FBE431F31E}" name="Values"/>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5B85FF8-C944-493A-A8C1-985C9EC90577}" name="Table7" displayName="Table7" ref="AC2:AD62" totalsRowShown="0">
  <autoFilter ref="AC2:AD62" xr:uid="{35B85FF8-C944-493A-A8C1-985C9EC90577}"/>
  <tableColumns count="2">
    <tableColumn id="1" xr3:uid="{8022ED72-EF26-460C-8DD6-7E732EFC7E2D}" name="Draft Position"/>
    <tableColumn id="2" xr3:uid="{90AA5F3F-939F-419F-BBEB-62507693648D}" name="Sum of win_shares"/>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5A10A2-CFF9-40EA-9B01-496E876DB4BC}" name="Table8" displayName="Table8" ref="A1:B13" totalsRowShown="0" headerRowDxfId="0">
  <autoFilter ref="A1:B13" xr:uid="{2C5A10A2-CFF9-40EA-9B01-496E876DB4BC}"/>
  <tableColumns count="2">
    <tableColumn id="1" xr3:uid="{07B67D52-4D3B-4D00-867F-67BC6E6361C2}" name="Key Performance Indicators"/>
    <tableColumn id="2" xr3:uid="{F7BCC25F-0BAB-484A-9D7C-FCBC1958C907}" name="Column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pivotTable" Target="../pivotTables/pivotTable3.xml"/><Relationship Id="rId7"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8A024-7BCD-4291-AFD2-237652D0E9BC}">
  <dimension ref="A1:B24"/>
  <sheetViews>
    <sheetView topLeftCell="A6" workbookViewId="0">
      <selection activeCell="B15" sqref="B13:B15"/>
    </sheetView>
  </sheetViews>
  <sheetFormatPr defaultRowHeight="15" x14ac:dyDescent="0.25"/>
  <cols>
    <col min="1" max="1" width="18.42578125" bestFit="1" customWidth="1"/>
    <col min="2" max="2" width="38.140625" bestFit="1" customWidth="1"/>
  </cols>
  <sheetData>
    <row r="1" spans="1:2" x14ac:dyDescent="0.25">
      <c r="A1" t="s">
        <v>1886</v>
      </c>
      <c r="B1" t="s">
        <v>1915</v>
      </c>
    </row>
    <row r="2" spans="1:2" x14ac:dyDescent="0.25">
      <c r="A2" s="2" t="s">
        <v>1916</v>
      </c>
      <c r="B2" s="2" t="s">
        <v>1887</v>
      </c>
    </row>
    <row r="3" spans="1:2" x14ac:dyDescent="0.25">
      <c r="A3" s="2" t="s">
        <v>0</v>
      </c>
      <c r="B3" s="2" t="s">
        <v>1888</v>
      </c>
    </row>
    <row r="4" spans="1:2" x14ac:dyDescent="0.25">
      <c r="A4" s="2" t="s">
        <v>1</v>
      </c>
      <c r="B4" s="2" t="s">
        <v>1889</v>
      </c>
    </row>
    <row r="5" spans="1:2" x14ac:dyDescent="0.25">
      <c r="A5" s="2" t="s">
        <v>2</v>
      </c>
      <c r="B5" s="2" t="s">
        <v>1890</v>
      </c>
    </row>
    <row r="6" spans="1:2" x14ac:dyDescent="0.25">
      <c r="A6" s="2" t="s">
        <v>3</v>
      </c>
      <c r="B6" s="5" t="s">
        <v>1891</v>
      </c>
    </row>
    <row r="7" spans="1:2" x14ac:dyDescent="0.25">
      <c r="A7" s="2" t="s">
        <v>4</v>
      </c>
      <c r="B7" s="2" t="s">
        <v>1892</v>
      </c>
    </row>
    <row r="8" spans="1:2" x14ac:dyDescent="0.25">
      <c r="A8" s="2" t="s">
        <v>5</v>
      </c>
      <c r="B8" s="2" t="s">
        <v>1893</v>
      </c>
    </row>
    <row r="9" spans="1:2" x14ac:dyDescent="0.25">
      <c r="A9" s="2" t="s">
        <v>6</v>
      </c>
      <c r="B9" s="2" t="s">
        <v>1894</v>
      </c>
    </row>
    <row r="10" spans="1:2" x14ac:dyDescent="0.25">
      <c r="A10" s="2" t="s">
        <v>7</v>
      </c>
      <c r="B10" s="2" t="s">
        <v>1895</v>
      </c>
    </row>
    <row r="11" spans="1:2" x14ac:dyDescent="0.25">
      <c r="A11" s="2" t="s">
        <v>8</v>
      </c>
      <c r="B11" s="2" t="s">
        <v>1896</v>
      </c>
    </row>
    <row r="12" spans="1:2" x14ac:dyDescent="0.25">
      <c r="A12" s="2" t="s">
        <v>9</v>
      </c>
      <c r="B12" s="2" t="s">
        <v>1897</v>
      </c>
    </row>
    <row r="13" spans="1:2" x14ac:dyDescent="0.25">
      <c r="A13" s="2" t="s">
        <v>10</v>
      </c>
      <c r="B13" s="2" t="s">
        <v>1898</v>
      </c>
    </row>
    <row r="14" spans="1:2" x14ac:dyDescent="0.25">
      <c r="A14" s="2" t="s">
        <v>11</v>
      </c>
      <c r="B14" s="2" t="s">
        <v>1899</v>
      </c>
    </row>
    <row r="15" spans="1:2" x14ac:dyDescent="0.25">
      <c r="A15" s="2" t="s">
        <v>12</v>
      </c>
      <c r="B15" s="2" t="s">
        <v>1900</v>
      </c>
    </row>
    <row r="16" spans="1:2" x14ac:dyDescent="0.25">
      <c r="A16" s="2" t="s">
        <v>13</v>
      </c>
      <c r="B16" s="2" t="s">
        <v>1901</v>
      </c>
    </row>
    <row r="17" spans="1:2" x14ac:dyDescent="0.25">
      <c r="A17" s="2" t="s">
        <v>14</v>
      </c>
      <c r="B17" s="2" t="s">
        <v>1902</v>
      </c>
    </row>
    <row r="18" spans="1:2" x14ac:dyDescent="0.25">
      <c r="A18" s="2" t="s">
        <v>15</v>
      </c>
      <c r="B18" s="2" t="s">
        <v>1903</v>
      </c>
    </row>
    <row r="19" spans="1:2" x14ac:dyDescent="0.25">
      <c r="A19" s="2" t="s">
        <v>16</v>
      </c>
      <c r="B19" s="2" t="s">
        <v>1904</v>
      </c>
    </row>
    <row r="20" spans="1:2" x14ac:dyDescent="0.25">
      <c r="A20" s="2" t="s">
        <v>17</v>
      </c>
      <c r="B20" s="2" t="s">
        <v>1905</v>
      </c>
    </row>
    <row r="21" spans="1:2" x14ac:dyDescent="0.25">
      <c r="A21" s="2" t="s">
        <v>18</v>
      </c>
      <c r="B21" s="2" t="s">
        <v>1906</v>
      </c>
    </row>
    <row r="22" spans="1:2" x14ac:dyDescent="0.25">
      <c r="A22" s="2" t="s">
        <v>19</v>
      </c>
      <c r="B22" s="2" t="s">
        <v>1907</v>
      </c>
    </row>
    <row r="23" spans="1:2" x14ac:dyDescent="0.25">
      <c r="A23" s="2" t="s">
        <v>20</v>
      </c>
      <c r="B23" s="2" t="s">
        <v>1908</v>
      </c>
    </row>
    <row r="24" spans="1:2" x14ac:dyDescent="0.25">
      <c r="A24" s="2" t="s">
        <v>21</v>
      </c>
      <c r="B24" s="2" t="s">
        <v>1909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6C59E-F938-43E9-AAE3-099A51AA8001}">
  <dimension ref="A1:W1620"/>
  <sheetViews>
    <sheetView tabSelected="1" workbookViewId="0"/>
  </sheetViews>
  <sheetFormatPr defaultRowHeight="15" x14ac:dyDescent="0.25"/>
  <cols>
    <col min="1" max="1" width="13.140625" bestFit="1" customWidth="1"/>
    <col min="2" max="2" width="7.42578125" bestFit="1" customWidth="1"/>
    <col min="3" max="3" width="23.42578125" bestFit="1" customWidth="1"/>
    <col min="4" max="4" width="35.5703125" bestFit="1" customWidth="1"/>
    <col min="5" max="5" width="14.140625" bestFit="1" customWidth="1"/>
    <col min="6" max="6" width="15" bestFit="1" customWidth="1"/>
    <col min="7" max="7" width="18.7109375" bestFit="1" customWidth="1"/>
    <col min="8" max="8" width="10.7109375" bestFit="1" customWidth="1"/>
    <col min="9" max="9" width="16.140625" bestFit="1" customWidth="1"/>
    <col min="10" max="10" width="13.5703125" bestFit="1" customWidth="1"/>
    <col min="11" max="11" width="12.140625" bestFit="1" customWidth="1"/>
    <col min="12" max="12" width="18" bestFit="1" customWidth="1"/>
    <col min="13" max="13" width="11.85546875" bestFit="1" customWidth="1"/>
    <col min="14" max="14" width="12.5703125" bestFit="1" customWidth="1"/>
    <col min="15" max="15" width="19.5703125" bestFit="1" customWidth="1"/>
    <col min="16" max="16" width="11.85546875" bestFit="1" customWidth="1"/>
    <col min="17" max="17" width="16.5703125" bestFit="1" customWidth="1"/>
    <col min="18" max="18" width="15.140625" bestFit="1" customWidth="1"/>
    <col min="19" max="19" width="20.5703125" bestFit="1" customWidth="1"/>
    <col min="20" max="20" width="18" bestFit="1" customWidth="1"/>
    <col min="21" max="21" width="14.5703125" bestFit="1" customWidth="1"/>
    <col min="22" max="22" width="15.140625" bestFit="1" customWidth="1"/>
    <col min="23" max="23" width="13.5703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1913</v>
      </c>
    </row>
    <row r="2" spans="1:23" x14ac:dyDescent="0.25">
      <c r="A2">
        <v>1</v>
      </c>
      <c r="B2" t="s">
        <v>138</v>
      </c>
      <c r="C2" t="s">
        <v>845</v>
      </c>
      <c r="D2" t="s">
        <v>97</v>
      </c>
      <c r="E2">
        <v>19</v>
      </c>
      <c r="F2">
        <v>1351</v>
      </c>
      <c r="G2">
        <v>51563</v>
      </c>
      <c r="H2">
        <v>36559</v>
      </c>
      <c r="I2">
        <v>10075</v>
      </c>
      <c r="J2">
        <v>9962</v>
      </c>
      <c r="K2">
        <v>0.505</v>
      </c>
      <c r="L2">
        <v>0.34499999999999997</v>
      </c>
      <c r="M2">
        <v>0.73399999999999999</v>
      </c>
      <c r="N2">
        <v>248.3</v>
      </c>
      <c r="O2">
        <v>0.23100000000000001</v>
      </c>
      <c r="P2">
        <v>2003</v>
      </c>
      <c r="Q2">
        <v>38.200000000000003</v>
      </c>
      <c r="R2">
        <v>27.1</v>
      </c>
      <c r="S2">
        <v>7.5</v>
      </c>
      <c r="T2">
        <v>7.4</v>
      </c>
      <c r="U2">
        <v>1</v>
      </c>
      <c r="V2">
        <v>1</v>
      </c>
      <c r="W2">
        <f>IF(nba_draft[[#This Row],[years_played]]&gt;5,1,0)</f>
        <v>1</v>
      </c>
    </row>
    <row r="3" spans="1:23" x14ac:dyDescent="0.25">
      <c r="A3">
        <v>13</v>
      </c>
      <c r="B3" t="s">
        <v>34</v>
      </c>
      <c r="C3" t="s">
        <v>465</v>
      </c>
      <c r="D3" t="s">
        <v>97</v>
      </c>
      <c r="E3">
        <v>20</v>
      </c>
      <c r="F3">
        <v>1346</v>
      </c>
      <c r="G3">
        <v>48637</v>
      </c>
      <c r="H3">
        <v>33643</v>
      </c>
      <c r="I3">
        <v>7047</v>
      </c>
      <c r="J3">
        <v>6306</v>
      </c>
      <c r="K3">
        <v>0.44700000000000001</v>
      </c>
      <c r="L3">
        <v>0.32900000000000001</v>
      </c>
      <c r="M3">
        <v>0.83699999999999997</v>
      </c>
      <c r="N3">
        <v>172.7</v>
      </c>
      <c r="O3">
        <v>0.17</v>
      </c>
      <c r="P3">
        <v>1996</v>
      </c>
      <c r="Q3">
        <v>36.1</v>
      </c>
      <c r="R3">
        <v>25</v>
      </c>
      <c r="S3">
        <v>5.2</v>
      </c>
      <c r="T3">
        <v>4.7</v>
      </c>
      <c r="U3">
        <v>1</v>
      </c>
      <c r="V3">
        <v>13</v>
      </c>
      <c r="W3">
        <f>IF(nba_draft[[#This Row],[years_played]]&gt;5,1,0)</f>
        <v>1</v>
      </c>
    </row>
    <row r="4" spans="1:23" x14ac:dyDescent="0.25">
      <c r="A4">
        <v>9</v>
      </c>
      <c r="B4" t="s">
        <v>63</v>
      </c>
      <c r="C4" t="s">
        <v>572</v>
      </c>
      <c r="D4" t="s">
        <v>97</v>
      </c>
      <c r="E4">
        <v>21</v>
      </c>
      <c r="F4">
        <v>1522</v>
      </c>
      <c r="G4">
        <v>51368</v>
      </c>
      <c r="H4">
        <v>31560</v>
      </c>
      <c r="I4">
        <v>11489</v>
      </c>
      <c r="J4">
        <v>3651</v>
      </c>
      <c r="K4">
        <v>0.47099999999999997</v>
      </c>
      <c r="L4">
        <v>0.38</v>
      </c>
      <c r="M4">
        <v>0.879</v>
      </c>
      <c r="N4">
        <v>206.3</v>
      </c>
      <c r="O4">
        <v>0.193</v>
      </c>
      <c r="P4">
        <v>1998</v>
      </c>
      <c r="Q4">
        <v>33.799999999999997</v>
      </c>
      <c r="R4">
        <v>20.7</v>
      </c>
      <c r="S4">
        <v>7.5</v>
      </c>
      <c r="T4">
        <v>2.4</v>
      </c>
      <c r="U4">
        <v>1</v>
      </c>
      <c r="V4">
        <v>9</v>
      </c>
      <c r="W4">
        <f>IF(nba_draft[[#This Row],[years_played]]&gt;5,1,0)</f>
        <v>1</v>
      </c>
    </row>
    <row r="5" spans="1:23" x14ac:dyDescent="0.25">
      <c r="A5">
        <v>1</v>
      </c>
      <c r="B5" t="s">
        <v>31</v>
      </c>
      <c r="C5" t="s">
        <v>212</v>
      </c>
      <c r="D5" t="s">
        <v>30</v>
      </c>
      <c r="E5">
        <v>19</v>
      </c>
      <c r="F5">
        <v>1207</v>
      </c>
      <c r="G5">
        <v>41918</v>
      </c>
      <c r="H5">
        <v>28596</v>
      </c>
      <c r="I5">
        <v>13099</v>
      </c>
      <c r="J5">
        <v>3026</v>
      </c>
      <c r="K5">
        <v>0.58199999999999996</v>
      </c>
      <c r="L5">
        <v>4.4999999999999998E-2</v>
      </c>
      <c r="M5">
        <v>0.52700000000000002</v>
      </c>
      <c r="N5">
        <v>181.7</v>
      </c>
      <c r="O5">
        <v>0.20799999999999999</v>
      </c>
      <c r="P5">
        <v>1992</v>
      </c>
      <c r="Q5">
        <v>34.700000000000003</v>
      </c>
      <c r="R5">
        <v>23.7</v>
      </c>
      <c r="S5">
        <v>10.9</v>
      </c>
      <c r="T5">
        <v>2.5</v>
      </c>
      <c r="U5">
        <v>1</v>
      </c>
      <c r="V5">
        <v>1</v>
      </c>
      <c r="W5">
        <f>IF(nba_draft[[#This Row],[years_played]]&gt;5,1,0)</f>
        <v>1</v>
      </c>
    </row>
    <row r="6" spans="1:23" x14ac:dyDescent="0.25">
      <c r="A6">
        <v>3</v>
      </c>
      <c r="B6" t="s">
        <v>28</v>
      </c>
      <c r="C6" t="s">
        <v>847</v>
      </c>
      <c r="D6" t="s">
        <v>24</v>
      </c>
      <c r="E6">
        <v>19</v>
      </c>
      <c r="F6">
        <v>1241</v>
      </c>
      <c r="G6">
        <v>43048</v>
      </c>
      <c r="H6">
        <v>28042</v>
      </c>
      <c r="I6">
        <v>7728</v>
      </c>
      <c r="J6">
        <v>3406</v>
      </c>
      <c r="K6">
        <v>0.44700000000000001</v>
      </c>
      <c r="L6">
        <v>0.35599999999999998</v>
      </c>
      <c r="M6">
        <v>0.81399999999999995</v>
      </c>
      <c r="N6">
        <v>107.9</v>
      </c>
      <c r="O6">
        <v>0.12</v>
      </c>
      <c r="P6">
        <v>2003</v>
      </c>
      <c r="Q6">
        <v>34.700000000000003</v>
      </c>
      <c r="R6">
        <v>22.6</v>
      </c>
      <c r="S6">
        <v>6.2</v>
      </c>
      <c r="T6">
        <v>2.7</v>
      </c>
      <c r="U6">
        <v>1</v>
      </c>
      <c r="V6">
        <v>3</v>
      </c>
      <c r="W6">
        <f>IF(nba_draft[[#This Row],[years_played]]&gt;5,1,0)</f>
        <v>1</v>
      </c>
    </row>
    <row r="7" spans="1:23" x14ac:dyDescent="0.25">
      <c r="A7">
        <v>1</v>
      </c>
      <c r="B7" t="s">
        <v>82</v>
      </c>
      <c r="C7" t="s">
        <v>506</v>
      </c>
      <c r="D7" t="s">
        <v>269</v>
      </c>
      <c r="E7">
        <v>19</v>
      </c>
      <c r="F7">
        <v>1392</v>
      </c>
      <c r="G7">
        <v>47368</v>
      </c>
      <c r="H7">
        <v>26496</v>
      </c>
      <c r="I7">
        <v>15091</v>
      </c>
      <c r="J7">
        <v>4225</v>
      </c>
      <c r="K7">
        <v>0.50600000000000001</v>
      </c>
      <c r="L7">
        <v>0.17899999999999999</v>
      </c>
      <c r="M7">
        <v>0.69599999999999995</v>
      </c>
      <c r="N7">
        <v>206.4</v>
      </c>
      <c r="O7">
        <v>0.20899999999999999</v>
      </c>
      <c r="P7">
        <v>1997</v>
      </c>
      <c r="Q7">
        <v>34</v>
      </c>
      <c r="R7">
        <v>19</v>
      </c>
      <c r="S7">
        <v>10.8</v>
      </c>
      <c r="T7">
        <v>3</v>
      </c>
      <c r="U7">
        <v>1</v>
      </c>
      <c r="V7">
        <v>1</v>
      </c>
      <c r="W7">
        <f>IF(nba_draft[[#This Row],[years_played]]&gt;5,1,0)</f>
        <v>1</v>
      </c>
    </row>
    <row r="8" spans="1:23" x14ac:dyDescent="0.25">
      <c r="A8">
        <v>10</v>
      </c>
      <c r="B8" t="s">
        <v>70</v>
      </c>
      <c r="C8" t="s">
        <v>573</v>
      </c>
      <c r="D8" t="s">
        <v>108</v>
      </c>
      <c r="E8">
        <v>19</v>
      </c>
      <c r="F8">
        <v>1343</v>
      </c>
      <c r="G8">
        <v>45880</v>
      </c>
      <c r="H8">
        <v>26397</v>
      </c>
      <c r="I8">
        <v>7527</v>
      </c>
      <c r="J8">
        <v>4708</v>
      </c>
      <c r="K8">
        <v>0.44500000000000001</v>
      </c>
      <c r="L8">
        <v>0.36799999999999999</v>
      </c>
      <c r="M8">
        <v>0.80600000000000005</v>
      </c>
      <c r="N8">
        <v>150</v>
      </c>
      <c r="O8">
        <v>0.157</v>
      </c>
      <c r="P8">
        <v>1998</v>
      </c>
      <c r="Q8">
        <v>34.200000000000003</v>
      </c>
      <c r="R8">
        <v>19.7</v>
      </c>
      <c r="S8">
        <v>5.6</v>
      </c>
      <c r="T8">
        <v>3.5</v>
      </c>
      <c r="U8">
        <v>1</v>
      </c>
      <c r="V8">
        <v>10</v>
      </c>
      <c r="W8">
        <f>IF(nba_draft[[#This Row],[years_played]]&gt;5,1,0)</f>
        <v>1</v>
      </c>
    </row>
    <row r="9" spans="1:23" x14ac:dyDescent="0.25">
      <c r="A9">
        <v>5</v>
      </c>
      <c r="B9" t="s">
        <v>37</v>
      </c>
      <c r="C9" t="s">
        <v>392</v>
      </c>
      <c r="D9" t="s">
        <v>97</v>
      </c>
      <c r="E9">
        <v>21</v>
      </c>
      <c r="F9">
        <v>1462</v>
      </c>
      <c r="G9">
        <v>50418</v>
      </c>
      <c r="H9">
        <v>26071</v>
      </c>
      <c r="I9">
        <v>14662</v>
      </c>
      <c r="J9">
        <v>5445</v>
      </c>
      <c r="K9">
        <v>0.497</v>
      </c>
      <c r="L9">
        <v>0.27500000000000002</v>
      </c>
      <c r="M9">
        <v>0.78900000000000003</v>
      </c>
      <c r="N9">
        <v>191.4</v>
      </c>
      <c r="O9">
        <v>0.182</v>
      </c>
      <c r="P9">
        <v>1995</v>
      </c>
      <c r="Q9">
        <v>34.5</v>
      </c>
      <c r="R9">
        <v>17.8</v>
      </c>
      <c r="S9">
        <v>10</v>
      </c>
      <c r="T9">
        <v>3.7</v>
      </c>
      <c r="U9">
        <v>1</v>
      </c>
      <c r="V9">
        <v>5</v>
      </c>
      <c r="W9">
        <f>IF(nba_draft[[#This Row],[years_played]]&gt;5,1,0)</f>
        <v>1</v>
      </c>
    </row>
    <row r="10" spans="1:23" x14ac:dyDescent="0.25">
      <c r="A10">
        <v>5</v>
      </c>
      <c r="B10" t="s">
        <v>52</v>
      </c>
      <c r="C10" t="s">
        <v>568</v>
      </c>
      <c r="D10" t="s">
        <v>179</v>
      </c>
      <c r="E10">
        <v>22</v>
      </c>
      <c r="F10">
        <v>1541</v>
      </c>
      <c r="G10">
        <v>46367</v>
      </c>
      <c r="H10">
        <v>25728</v>
      </c>
      <c r="I10">
        <v>6606</v>
      </c>
      <c r="J10">
        <v>4714</v>
      </c>
      <c r="K10">
        <v>0.435</v>
      </c>
      <c r="L10">
        <v>0.371</v>
      </c>
      <c r="M10">
        <v>0.79800000000000004</v>
      </c>
      <c r="N10">
        <v>125.3</v>
      </c>
      <c r="O10">
        <v>0.13</v>
      </c>
      <c r="P10">
        <v>1998</v>
      </c>
      <c r="Q10">
        <v>30.1</v>
      </c>
      <c r="R10">
        <v>16.7</v>
      </c>
      <c r="S10">
        <v>4.3</v>
      </c>
      <c r="T10">
        <v>3.1</v>
      </c>
      <c r="U10">
        <v>1</v>
      </c>
      <c r="V10">
        <v>5</v>
      </c>
      <c r="W10">
        <f>IF(nba_draft[[#This Row],[years_played]]&gt;5,1,0)</f>
        <v>1</v>
      </c>
    </row>
    <row r="11" spans="1:23" x14ac:dyDescent="0.25">
      <c r="A11">
        <v>2</v>
      </c>
      <c r="B11" t="s">
        <v>25</v>
      </c>
      <c r="C11" t="s">
        <v>1057</v>
      </c>
      <c r="D11" t="s">
        <v>60</v>
      </c>
      <c r="E11">
        <v>14</v>
      </c>
      <c r="F11">
        <v>920</v>
      </c>
      <c r="G11">
        <v>33775</v>
      </c>
      <c r="H11">
        <v>24936</v>
      </c>
      <c r="I11">
        <v>6506</v>
      </c>
      <c r="J11">
        <v>3888</v>
      </c>
      <c r="K11">
        <v>0.495</v>
      </c>
      <c r="L11">
        <v>0.38300000000000001</v>
      </c>
      <c r="M11">
        <v>0.88300000000000001</v>
      </c>
      <c r="N11">
        <v>152.30000000000001</v>
      </c>
      <c r="O11">
        <v>0.216</v>
      </c>
      <c r="P11">
        <v>2007</v>
      </c>
      <c r="Q11">
        <v>36.700000000000003</v>
      </c>
      <c r="R11">
        <v>27.1</v>
      </c>
      <c r="S11">
        <v>7.1</v>
      </c>
      <c r="T11">
        <v>4.2</v>
      </c>
      <c r="U11">
        <v>1</v>
      </c>
      <c r="V11">
        <v>2</v>
      </c>
      <c r="W11">
        <f>IF(nba_draft[[#This Row],[years_played]]&gt;5,1,0)</f>
        <v>1</v>
      </c>
    </row>
    <row r="12" spans="1:23" x14ac:dyDescent="0.25">
      <c r="A12">
        <v>5</v>
      </c>
      <c r="B12" t="s">
        <v>37</v>
      </c>
      <c r="C12" t="s">
        <v>454</v>
      </c>
      <c r="D12" t="s">
        <v>79</v>
      </c>
      <c r="E12">
        <v>18</v>
      </c>
      <c r="F12">
        <v>1300</v>
      </c>
      <c r="G12">
        <v>46344</v>
      </c>
      <c r="H12">
        <v>24505</v>
      </c>
      <c r="I12">
        <v>5272</v>
      </c>
      <c r="J12">
        <v>4361</v>
      </c>
      <c r="K12">
        <v>0.45200000000000001</v>
      </c>
      <c r="L12">
        <v>0.4</v>
      </c>
      <c r="M12">
        <v>0.89400000000000002</v>
      </c>
      <c r="N12">
        <v>145.1</v>
      </c>
      <c r="O12">
        <v>0.15</v>
      </c>
      <c r="P12">
        <v>1996</v>
      </c>
      <c r="Q12">
        <v>35.6</v>
      </c>
      <c r="R12">
        <v>18.899999999999999</v>
      </c>
      <c r="S12">
        <v>4.0999999999999996</v>
      </c>
      <c r="T12">
        <v>3.4</v>
      </c>
      <c r="U12">
        <v>1</v>
      </c>
      <c r="V12">
        <v>5</v>
      </c>
      <c r="W12">
        <f>IF(nba_draft[[#This Row],[years_played]]&gt;5,1,0)</f>
        <v>1</v>
      </c>
    </row>
    <row r="13" spans="1:23" x14ac:dyDescent="0.25">
      <c r="A13">
        <v>1</v>
      </c>
      <c r="B13" t="s">
        <v>102</v>
      </c>
      <c r="C13" t="s">
        <v>450</v>
      </c>
      <c r="D13" t="s">
        <v>146</v>
      </c>
      <c r="E13">
        <v>14</v>
      </c>
      <c r="F13">
        <v>914</v>
      </c>
      <c r="G13">
        <v>37584</v>
      </c>
      <c r="H13">
        <v>24368</v>
      </c>
      <c r="I13">
        <v>3394</v>
      </c>
      <c r="J13">
        <v>5624</v>
      </c>
      <c r="K13">
        <v>0.42499999999999999</v>
      </c>
      <c r="L13">
        <v>0.313</v>
      </c>
      <c r="M13">
        <v>0.78</v>
      </c>
      <c r="N13">
        <v>99</v>
      </c>
      <c r="O13">
        <v>0.126</v>
      </c>
      <c r="P13">
        <v>1996</v>
      </c>
      <c r="Q13">
        <v>41.1</v>
      </c>
      <c r="R13">
        <v>26.7</v>
      </c>
      <c r="S13">
        <v>3.7</v>
      </c>
      <c r="T13">
        <v>6.2</v>
      </c>
      <c r="U13">
        <v>1</v>
      </c>
      <c r="V13">
        <v>1</v>
      </c>
      <c r="W13">
        <f>IF(nba_draft[[#This Row],[years_played]]&gt;5,1,0)</f>
        <v>1</v>
      </c>
    </row>
    <row r="14" spans="1:23" x14ac:dyDescent="0.25">
      <c r="A14">
        <v>5</v>
      </c>
      <c r="B14" t="s">
        <v>46</v>
      </c>
      <c r="C14" t="s">
        <v>849</v>
      </c>
      <c r="D14" t="s">
        <v>137</v>
      </c>
      <c r="E14">
        <v>16</v>
      </c>
      <c r="F14">
        <v>1054</v>
      </c>
      <c r="G14">
        <v>35773</v>
      </c>
      <c r="H14">
        <v>23165</v>
      </c>
      <c r="I14">
        <v>4933</v>
      </c>
      <c r="J14">
        <v>5701</v>
      </c>
      <c r="K14">
        <v>0.48</v>
      </c>
      <c r="L14">
        <v>0.29299999999999998</v>
      </c>
      <c r="M14">
        <v>0.76500000000000001</v>
      </c>
      <c r="N14">
        <v>120.7</v>
      </c>
      <c r="O14">
        <v>0.16200000000000001</v>
      </c>
      <c r="P14">
        <v>2003</v>
      </c>
      <c r="Q14">
        <v>33.9</v>
      </c>
      <c r="R14">
        <v>22</v>
      </c>
      <c r="S14">
        <v>4.7</v>
      </c>
      <c r="T14">
        <v>5.4</v>
      </c>
      <c r="U14">
        <v>1</v>
      </c>
      <c r="V14">
        <v>5</v>
      </c>
      <c r="W14">
        <f>IF(nba_draft[[#This Row],[years_played]]&gt;5,1,0)</f>
        <v>1</v>
      </c>
    </row>
    <row r="15" spans="1:23" x14ac:dyDescent="0.25">
      <c r="A15">
        <v>3</v>
      </c>
      <c r="B15" t="s">
        <v>25</v>
      </c>
      <c r="C15" t="s">
        <v>1164</v>
      </c>
      <c r="D15" t="s">
        <v>208</v>
      </c>
      <c r="E15">
        <v>13</v>
      </c>
      <c r="F15">
        <v>921</v>
      </c>
      <c r="G15">
        <v>31825</v>
      </c>
      <c r="H15">
        <v>23035</v>
      </c>
      <c r="I15">
        <v>5145</v>
      </c>
      <c r="J15">
        <v>6177</v>
      </c>
      <c r="K15">
        <v>0.443</v>
      </c>
      <c r="L15">
        <v>0.36199999999999999</v>
      </c>
      <c r="M15">
        <v>0.85899999999999999</v>
      </c>
      <c r="N15">
        <v>146.6</v>
      </c>
      <c r="O15">
        <v>0.221</v>
      </c>
      <c r="P15">
        <v>2009</v>
      </c>
      <c r="Q15">
        <v>34.6</v>
      </c>
      <c r="R15">
        <v>25</v>
      </c>
      <c r="S15">
        <v>5.6</v>
      </c>
      <c r="T15">
        <v>6.7</v>
      </c>
      <c r="U15">
        <v>1</v>
      </c>
      <c r="V15">
        <v>3</v>
      </c>
      <c r="W15">
        <f>IF(nba_draft[[#This Row],[years_played]]&gt;5,1,0)</f>
        <v>1</v>
      </c>
    </row>
    <row r="16" spans="1:23" x14ac:dyDescent="0.25">
      <c r="A16">
        <v>4</v>
      </c>
      <c r="B16" t="s">
        <v>25</v>
      </c>
      <c r="C16" t="s">
        <v>1110</v>
      </c>
      <c r="D16" t="s">
        <v>113</v>
      </c>
      <c r="E16">
        <v>14</v>
      </c>
      <c r="F16">
        <v>1000</v>
      </c>
      <c r="G16">
        <v>34718</v>
      </c>
      <c r="H16">
        <v>22899</v>
      </c>
      <c r="I16">
        <v>7405</v>
      </c>
      <c r="J16">
        <v>8491</v>
      </c>
      <c r="K16">
        <v>0.437</v>
      </c>
      <c r="L16">
        <v>0.30499999999999999</v>
      </c>
      <c r="M16">
        <v>0.78500000000000003</v>
      </c>
      <c r="N16">
        <v>106.4</v>
      </c>
      <c r="O16">
        <v>0.14699999999999999</v>
      </c>
      <c r="P16">
        <v>2008</v>
      </c>
      <c r="Q16">
        <v>34.700000000000003</v>
      </c>
      <c r="R16">
        <v>22.9</v>
      </c>
      <c r="S16">
        <v>7.4</v>
      </c>
      <c r="T16">
        <v>8.5</v>
      </c>
      <c r="U16">
        <v>1</v>
      </c>
      <c r="V16">
        <v>4</v>
      </c>
      <c r="W16">
        <f>IF(nba_draft[[#This Row],[years_played]]&gt;5,1,0)</f>
        <v>1</v>
      </c>
    </row>
    <row r="17" spans="1:23" x14ac:dyDescent="0.25">
      <c r="A17">
        <v>2</v>
      </c>
      <c r="B17" t="s">
        <v>25</v>
      </c>
      <c r="C17" t="s">
        <v>26</v>
      </c>
      <c r="D17" t="s">
        <v>27</v>
      </c>
      <c r="E17">
        <v>17</v>
      </c>
      <c r="F17">
        <v>1335</v>
      </c>
      <c r="G17">
        <v>47117</v>
      </c>
      <c r="H17">
        <v>21813</v>
      </c>
      <c r="I17">
        <v>5269</v>
      </c>
      <c r="J17">
        <v>8966</v>
      </c>
      <c r="K17">
        <v>0.46600000000000003</v>
      </c>
      <c r="L17">
        <v>0.317</v>
      </c>
      <c r="M17">
        <v>0.72899999999999998</v>
      </c>
      <c r="N17">
        <v>145.5</v>
      </c>
      <c r="O17">
        <v>0.14799999999999999</v>
      </c>
      <c r="P17">
        <v>1990</v>
      </c>
      <c r="Q17">
        <v>35.299999999999997</v>
      </c>
      <c r="R17">
        <v>16.3</v>
      </c>
      <c r="S17">
        <v>3.9</v>
      </c>
      <c r="T17">
        <v>6.7</v>
      </c>
      <c r="U17">
        <v>1</v>
      </c>
      <c r="V17">
        <v>2</v>
      </c>
      <c r="W17">
        <f>IF(nba_draft[[#This Row],[years_played]]&gt;5,1,0)</f>
        <v>1</v>
      </c>
    </row>
    <row r="18" spans="1:23" x14ac:dyDescent="0.25">
      <c r="A18">
        <v>3</v>
      </c>
      <c r="B18" t="s">
        <v>49</v>
      </c>
      <c r="C18" t="s">
        <v>742</v>
      </c>
      <c r="D18" t="s">
        <v>97</v>
      </c>
      <c r="E18">
        <v>18</v>
      </c>
      <c r="F18">
        <v>1226</v>
      </c>
      <c r="G18">
        <v>41001</v>
      </c>
      <c r="H18">
        <v>20894</v>
      </c>
      <c r="I18">
        <v>11305</v>
      </c>
      <c r="J18">
        <v>3925</v>
      </c>
      <c r="K18">
        <v>0.50700000000000001</v>
      </c>
      <c r="L18">
        <v>0.36799999999999999</v>
      </c>
      <c r="M18">
        <v>0.753</v>
      </c>
      <c r="N18">
        <v>144.1</v>
      </c>
      <c r="O18">
        <v>0.16900000000000001</v>
      </c>
      <c r="P18">
        <v>2001</v>
      </c>
      <c r="Q18">
        <v>33.4</v>
      </c>
      <c r="R18">
        <v>17</v>
      </c>
      <c r="S18">
        <v>9.1999999999999993</v>
      </c>
      <c r="T18">
        <v>3.2</v>
      </c>
      <c r="U18">
        <v>1</v>
      </c>
      <c r="V18">
        <v>3</v>
      </c>
      <c r="W18">
        <f>IF(nba_draft[[#This Row],[years_played]]&gt;5,1,0)</f>
        <v>1</v>
      </c>
    </row>
    <row r="19" spans="1:23" x14ac:dyDescent="0.25">
      <c r="A19">
        <v>4</v>
      </c>
      <c r="B19" t="s">
        <v>863</v>
      </c>
      <c r="C19" t="s">
        <v>949</v>
      </c>
      <c r="D19" t="s">
        <v>269</v>
      </c>
      <c r="E19">
        <v>17</v>
      </c>
      <c r="F19">
        <v>1148</v>
      </c>
      <c r="G19">
        <v>39673</v>
      </c>
      <c r="H19">
        <v>20844</v>
      </c>
      <c r="I19">
        <v>5182</v>
      </c>
      <c r="J19">
        <v>10894</v>
      </c>
      <c r="K19">
        <v>0.47299999999999998</v>
      </c>
      <c r="L19">
        <v>0.37</v>
      </c>
      <c r="M19">
        <v>0.872</v>
      </c>
      <c r="N19">
        <v>198.2</v>
      </c>
      <c r="O19">
        <v>0.24</v>
      </c>
      <c r="P19">
        <v>2005</v>
      </c>
      <c r="Q19">
        <v>34.6</v>
      </c>
      <c r="R19">
        <v>18.2</v>
      </c>
      <c r="S19">
        <v>4.5</v>
      </c>
      <c r="T19">
        <v>9.5</v>
      </c>
      <c r="U19">
        <v>1</v>
      </c>
      <c r="V19">
        <v>4</v>
      </c>
      <c r="W19">
        <f>IF(nba_draft[[#This Row],[years_played]]&gt;5,1,0)</f>
        <v>1</v>
      </c>
    </row>
    <row r="20" spans="1:23" x14ac:dyDescent="0.25">
      <c r="A20">
        <v>2</v>
      </c>
      <c r="B20" t="s">
        <v>95</v>
      </c>
      <c r="C20" t="s">
        <v>1004</v>
      </c>
      <c r="D20" t="s">
        <v>60</v>
      </c>
      <c r="E20">
        <v>16</v>
      </c>
      <c r="F20">
        <v>1068</v>
      </c>
      <c r="G20">
        <v>36086</v>
      </c>
      <c r="H20">
        <v>20488</v>
      </c>
      <c r="I20">
        <v>8702</v>
      </c>
      <c r="J20">
        <v>2067</v>
      </c>
      <c r="K20">
        <v>0.49299999999999999</v>
      </c>
      <c r="L20">
        <v>0.32</v>
      </c>
      <c r="M20">
        <v>0.81200000000000006</v>
      </c>
      <c r="N20">
        <v>115.3</v>
      </c>
      <c r="O20">
        <v>0.153</v>
      </c>
      <c r="P20">
        <v>2006</v>
      </c>
      <c r="Q20">
        <v>33.799999999999997</v>
      </c>
      <c r="R20">
        <v>19.2</v>
      </c>
      <c r="S20">
        <v>8.1</v>
      </c>
      <c r="T20">
        <v>1.9</v>
      </c>
      <c r="U20">
        <v>1</v>
      </c>
      <c r="V20">
        <v>2</v>
      </c>
      <c r="W20">
        <f>IF(nba_draft[[#This Row],[years_played]]&gt;5,1,0)</f>
        <v>1</v>
      </c>
    </row>
    <row r="21" spans="1:23" x14ac:dyDescent="0.25">
      <c r="A21">
        <v>10</v>
      </c>
      <c r="B21" t="s">
        <v>70</v>
      </c>
      <c r="C21" t="s">
        <v>749</v>
      </c>
      <c r="D21" t="s">
        <v>222</v>
      </c>
      <c r="E21">
        <v>18</v>
      </c>
      <c r="F21">
        <v>1277</v>
      </c>
      <c r="G21">
        <v>44236</v>
      </c>
      <c r="H21">
        <v>20407</v>
      </c>
      <c r="I21">
        <v>5059</v>
      </c>
      <c r="J21">
        <v>5001</v>
      </c>
      <c r="K21">
        <v>0.441</v>
      </c>
      <c r="L21">
        <v>0.371</v>
      </c>
      <c r="M21">
        <v>0.80200000000000005</v>
      </c>
      <c r="N21">
        <v>82.9</v>
      </c>
      <c r="O21">
        <v>0.09</v>
      </c>
      <c r="P21">
        <v>2001</v>
      </c>
      <c r="Q21">
        <v>34.6</v>
      </c>
      <c r="R21">
        <v>16</v>
      </c>
      <c r="S21">
        <v>4</v>
      </c>
      <c r="T21">
        <v>3.9</v>
      </c>
      <c r="U21">
        <v>1</v>
      </c>
      <c r="V21">
        <v>10</v>
      </c>
      <c r="W21">
        <f>IF(nba_draft[[#This Row],[years_played]]&gt;5,1,0)</f>
        <v>1</v>
      </c>
    </row>
    <row r="22" spans="1:23" x14ac:dyDescent="0.25">
      <c r="A22">
        <v>4</v>
      </c>
      <c r="B22" t="s">
        <v>395</v>
      </c>
      <c r="C22" t="s">
        <v>567</v>
      </c>
      <c r="D22" t="s">
        <v>179</v>
      </c>
      <c r="E22">
        <v>16</v>
      </c>
      <c r="F22">
        <v>1083</v>
      </c>
      <c r="G22">
        <v>37638</v>
      </c>
      <c r="H22">
        <v>20042</v>
      </c>
      <c r="I22">
        <v>8157</v>
      </c>
      <c r="J22">
        <v>1761</v>
      </c>
      <c r="K22">
        <v>0.45100000000000001</v>
      </c>
      <c r="L22">
        <v>0.34599999999999997</v>
      </c>
      <c r="M22">
        <v>0.72399999999999998</v>
      </c>
      <c r="N22">
        <v>87.8</v>
      </c>
      <c r="O22">
        <v>0.112</v>
      </c>
      <c r="P22">
        <v>1998</v>
      </c>
      <c r="Q22">
        <v>34.799999999999997</v>
      </c>
      <c r="R22">
        <v>18.5</v>
      </c>
      <c r="S22">
        <v>7.5</v>
      </c>
      <c r="T22">
        <v>1.6</v>
      </c>
      <c r="U22">
        <v>1</v>
      </c>
      <c r="V22">
        <v>4</v>
      </c>
      <c r="W22">
        <f>IF(nba_draft[[#This Row],[years_played]]&gt;5,1,0)</f>
        <v>1</v>
      </c>
    </row>
    <row r="23" spans="1:23" x14ac:dyDescent="0.25">
      <c r="A23">
        <v>7</v>
      </c>
      <c r="B23" t="s">
        <v>52</v>
      </c>
      <c r="C23" t="s">
        <v>1168</v>
      </c>
      <c r="D23" t="s">
        <v>1169</v>
      </c>
      <c r="E23">
        <v>13</v>
      </c>
      <c r="F23">
        <v>816</v>
      </c>
      <c r="G23">
        <v>28031</v>
      </c>
      <c r="H23">
        <v>19827</v>
      </c>
      <c r="I23">
        <v>3789</v>
      </c>
      <c r="J23">
        <v>5326</v>
      </c>
      <c r="K23">
        <v>0.47299999999999998</v>
      </c>
      <c r="L23">
        <v>0.42799999999999999</v>
      </c>
      <c r="M23">
        <v>0.90800000000000003</v>
      </c>
      <c r="N23">
        <v>119.4</v>
      </c>
      <c r="O23">
        <v>0.20399999999999999</v>
      </c>
      <c r="P23">
        <v>2009</v>
      </c>
      <c r="Q23">
        <v>34.4</v>
      </c>
      <c r="R23">
        <v>24.3</v>
      </c>
      <c r="S23">
        <v>4.5999999999999996</v>
      </c>
      <c r="T23">
        <v>6.5</v>
      </c>
      <c r="U23">
        <v>1</v>
      </c>
      <c r="V23">
        <v>7</v>
      </c>
      <c r="W23">
        <f>IF(nba_draft[[#This Row],[years_played]]&gt;5,1,0)</f>
        <v>1</v>
      </c>
    </row>
    <row r="24" spans="1:23" x14ac:dyDescent="0.25">
      <c r="A24">
        <v>28</v>
      </c>
      <c r="B24" t="s">
        <v>82</v>
      </c>
      <c r="C24" t="s">
        <v>769</v>
      </c>
      <c r="D24" t="s">
        <v>97</v>
      </c>
      <c r="E24">
        <v>18</v>
      </c>
      <c r="F24">
        <v>1254</v>
      </c>
      <c r="G24">
        <v>38279</v>
      </c>
      <c r="H24">
        <v>19473</v>
      </c>
      <c r="I24">
        <v>3396</v>
      </c>
      <c r="J24">
        <v>7036</v>
      </c>
      <c r="K24">
        <v>0.49099999999999999</v>
      </c>
      <c r="L24">
        <v>0.32400000000000001</v>
      </c>
      <c r="M24">
        <v>0.751</v>
      </c>
      <c r="N24">
        <v>111.3</v>
      </c>
      <c r="O24">
        <v>0.14000000000000001</v>
      </c>
      <c r="P24">
        <v>2001</v>
      </c>
      <c r="Q24">
        <v>30.5</v>
      </c>
      <c r="R24">
        <v>15.5</v>
      </c>
      <c r="S24">
        <v>2.7</v>
      </c>
      <c r="T24">
        <v>5.6</v>
      </c>
      <c r="U24">
        <v>1</v>
      </c>
      <c r="V24">
        <v>28</v>
      </c>
      <c r="W24">
        <f>IF(nba_draft[[#This Row],[years_played]]&gt;5,1,0)</f>
        <v>1</v>
      </c>
    </row>
    <row r="25" spans="1:23" x14ac:dyDescent="0.25">
      <c r="A25">
        <v>8</v>
      </c>
      <c r="B25" t="s">
        <v>138</v>
      </c>
      <c r="C25" t="s">
        <v>690</v>
      </c>
      <c r="D25" t="s">
        <v>51</v>
      </c>
      <c r="E25">
        <v>20</v>
      </c>
      <c r="F25">
        <v>1327</v>
      </c>
      <c r="G25">
        <v>38994</v>
      </c>
      <c r="H25">
        <v>19419</v>
      </c>
      <c r="I25">
        <v>2948</v>
      </c>
      <c r="J25">
        <v>4541</v>
      </c>
      <c r="K25">
        <v>0.41</v>
      </c>
      <c r="L25">
        <v>0.34799999999999998</v>
      </c>
      <c r="M25">
        <v>0.86199999999999999</v>
      </c>
      <c r="N25">
        <v>60.7</v>
      </c>
      <c r="O25">
        <v>7.4999999999999997E-2</v>
      </c>
      <c r="P25">
        <v>2000</v>
      </c>
      <c r="Q25">
        <v>29.4</v>
      </c>
      <c r="R25">
        <v>14.6</v>
      </c>
      <c r="S25">
        <v>2.2000000000000002</v>
      </c>
      <c r="T25">
        <v>3.4</v>
      </c>
      <c r="U25">
        <v>1</v>
      </c>
      <c r="V25">
        <v>8</v>
      </c>
      <c r="W25">
        <f>IF(nba_draft[[#This Row],[years_played]]&gt;5,1,0)</f>
        <v>1</v>
      </c>
    </row>
    <row r="26" spans="1:23" x14ac:dyDescent="0.25">
      <c r="A26">
        <v>1</v>
      </c>
      <c r="B26" t="s">
        <v>31</v>
      </c>
      <c r="C26" t="s">
        <v>896</v>
      </c>
      <c r="D26" t="s">
        <v>97</v>
      </c>
      <c r="E26">
        <v>18</v>
      </c>
      <c r="F26">
        <v>1224</v>
      </c>
      <c r="G26">
        <v>39092</v>
      </c>
      <c r="H26">
        <v>19329</v>
      </c>
      <c r="I26">
        <v>14499</v>
      </c>
      <c r="J26">
        <v>1663</v>
      </c>
      <c r="K26">
        <v>0.58699999999999997</v>
      </c>
      <c r="L26">
        <v>0.20599999999999999</v>
      </c>
      <c r="M26">
        <v>0.56599999999999995</v>
      </c>
      <c r="N26">
        <v>140.5</v>
      </c>
      <c r="O26">
        <v>0.17299999999999999</v>
      </c>
      <c r="P26">
        <v>2004</v>
      </c>
      <c r="Q26">
        <v>31.9</v>
      </c>
      <c r="R26">
        <v>15.8</v>
      </c>
      <c r="S26">
        <v>11.8</v>
      </c>
      <c r="T26">
        <v>1.4</v>
      </c>
      <c r="U26">
        <v>1</v>
      </c>
      <c r="V26">
        <v>1</v>
      </c>
      <c r="W26">
        <f>IF(nba_draft[[#This Row],[years_played]]&gt;5,1,0)</f>
        <v>1</v>
      </c>
    </row>
    <row r="27" spans="1:23" x14ac:dyDescent="0.25">
      <c r="A27">
        <v>9</v>
      </c>
      <c r="B27" t="s">
        <v>395</v>
      </c>
      <c r="C27" t="s">
        <v>1171</v>
      </c>
      <c r="D27" t="s">
        <v>230</v>
      </c>
      <c r="E27">
        <v>13</v>
      </c>
      <c r="F27">
        <v>936</v>
      </c>
      <c r="G27">
        <v>32006</v>
      </c>
      <c r="H27">
        <v>19298</v>
      </c>
      <c r="I27">
        <v>4122</v>
      </c>
      <c r="J27">
        <v>3638</v>
      </c>
      <c r="K27">
        <v>0.46500000000000002</v>
      </c>
      <c r="L27">
        <v>0.28499999999999998</v>
      </c>
      <c r="M27">
        <v>0.83599999999999997</v>
      </c>
      <c r="N27">
        <v>82.7</v>
      </c>
      <c r="O27">
        <v>0.124</v>
      </c>
      <c r="P27">
        <v>2009</v>
      </c>
      <c r="Q27">
        <v>34.200000000000003</v>
      </c>
      <c r="R27">
        <v>20.6</v>
      </c>
      <c r="S27">
        <v>4.4000000000000004</v>
      </c>
      <c r="T27">
        <v>3.9</v>
      </c>
      <c r="U27">
        <v>1</v>
      </c>
      <c r="V27">
        <v>9</v>
      </c>
      <c r="W27">
        <f>IF(nba_draft[[#This Row],[years_played]]&gt;5,1,0)</f>
        <v>1</v>
      </c>
    </row>
    <row r="28" spans="1:23" x14ac:dyDescent="0.25">
      <c r="A28">
        <v>10</v>
      </c>
      <c r="B28" t="s">
        <v>49</v>
      </c>
      <c r="C28" t="s">
        <v>639</v>
      </c>
      <c r="D28" t="s">
        <v>117</v>
      </c>
      <c r="E28">
        <v>19</v>
      </c>
      <c r="F28">
        <v>1410</v>
      </c>
      <c r="G28">
        <v>42034</v>
      </c>
      <c r="H28">
        <v>18881</v>
      </c>
      <c r="I28">
        <v>3274</v>
      </c>
      <c r="J28">
        <v>5415</v>
      </c>
      <c r="K28">
        <v>0.44400000000000001</v>
      </c>
      <c r="L28">
        <v>0.38</v>
      </c>
      <c r="M28">
        <v>0.84499999999999997</v>
      </c>
      <c r="N28">
        <v>102</v>
      </c>
      <c r="O28">
        <v>0.11600000000000001</v>
      </c>
      <c r="P28">
        <v>1999</v>
      </c>
      <c r="Q28">
        <v>29.8</v>
      </c>
      <c r="R28">
        <v>13.4</v>
      </c>
      <c r="S28">
        <v>2.2999999999999998</v>
      </c>
      <c r="T28">
        <v>3.8</v>
      </c>
      <c r="U28">
        <v>1</v>
      </c>
      <c r="V28">
        <v>10</v>
      </c>
      <c r="W28">
        <f>IF(nba_draft[[#This Row],[years_played]]&gt;5,1,0)</f>
        <v>1</v>
      </c>
    </row>
    <row r="29" spans="1:23" x14ac:dyDescent="0.25">
      <c r="A29">
        <v>19</v>
      </c>
      <c r="B29" t="s">
        <v>85</v>
      </c>
      <c r="C29" t="s">
        <v>759</v>
      </c>
      <c r="D29" t="s">
        <v>148</v>
      </c>
      <c r="E29">
        <v>17</v>
      </c>
      <c r="F29">
        <v>1116</v>
      </c>
      <c r="G29">
        <v>34616</v>
      </c>
      <c r="H29">
        <v>18578</v>
      </c>
      <c r="I29">
        <v>10208</v>
      </c>
      <c r="J29">
        <v>2049</v>
      </c>
      <c r="K29">
        <v>0.47099999999999997</v>
      </c>
      <c r="L29">
        <v>0.27300000000000002</v>
      </c>
      <c r="M29">
        <v>0.76400000000000001</v>
      </c>
      <c r="N29">
        <v>81.099999999999994</v>
      </c>
      <c r="O29">
        <v>0.112</v>
      </c>
      <c r="P29">
        <v>2001</v>
      </c>
      <c r="Q29">
        <v>31</v>
      </c>
      <c r="R29">
        <v>16.600000000000001</v>
      </c>
      <c r="S29">
        <v>9.1</v>
      </c>
      <c r="T29">
        <v>1.8</v>
      </c>
      <c r="U29">
        <v>1</v>
      </c>
      <c r="V29">
        <v>19</v>
      </c>
      <c r="W29">
        <f>IF(nba_draft[[#This Row],[years_played]]&gt;5,1,0)</f>
        <v>1</v>
      </c>
    </row>
    <row r="30" spans="1:23" x14ac:dyDescent="0.25">
      <c r="A30">
        <v>9</v>
      </c>
      <c r="B30" t="s">
        <v>395</v>
      </c>
      <c r="C30" t="s">
        <v>516</v>
      </c>
      <c r="D30" t="s">
        <v>97</v>
      </c>
      <c r="E30">
        <v>15</v>
      </c>
      <c r="F30">
        <v>938</v>
      </c>
      <c r="G30">
        <v>30658</v>
      </c>
      <c r="H30">
        <v>18381</v>
      </c>
      <c r="I30">
        <v>5276</v>
      </c>
      <c r="J30">
        <v>4161</v>
      </c>
      <c r="K30">
        <v>0.435</v>
      </c>
      <c r="L30">
        <v>0.33800000000000002</v>
      </c>
      <c r="M30">
        <v>0.746</v>
      </c>
      <c r="N30">
        <v>97.3</v>
      </c>
      <c r="O30">
        <v>0.152</v>
      </c>
      <c r="P30">
        <v>1997</v>
      </c>
      <c r="Q30">
        <v>32.700000000000003</v>
      </c>
      <c r="R30">
        <v>19.600000000000001</v>
      </c>
      <c r="S30">
        <v>5.6</v>
      </c>
      <c r="T30">
        <v>4.4000000000000004</v>
      </c>
      <c r="U30">
        <v>1</v>
      </c>
      <c r="V30">
        <v>9</v>
      </c>
      <c r="W30">
        <f>IF(nba_draft[[#This Row],[years_played]]&gt;5,1,0)</f>
        <v>1</v>
      </c>
    </row>
    <row r="31" spans="1:23" x14ac:dyDescent="0.25">
      <c r="A31">
        <v>9</v>
      </c>
      <c r="B31" t="s">
        <v>75</v>
      </c>
      <c r="C31" t="s">
        <v>638</v>
      </c>
      <c r="D31" t="s">
        <v>142</v>
      </c>
      <c r="E31">
        <v>16</v>
      </c>
      <c r="F31">
        <v>1163</v>
      </c>
      <c r="G31">
        <v>40097</v>
      </c>
      <c r="H31">
        <v>17700</v>
      </c>
      <c r="I31">
        <v>10101</v>
      </c>
      <c r="J31">
        <v>2198</v>
      </c>
      <c r="K31">
        <v>0.48399999999999999</v>
      </c>
      <c r="L31">
        <v>0.33100000000000002</v>
      </c>
      <c r="M31">
        <v>0.81</v>
      </c>
      <c r="N31">
        <v>124.9</v>
      </c>
      <c r="O31">
        <v>0.15</v>
      </c>
      <c r="P31">
        <v>1999</v>
      </c>
      <c r="Q31">
        <v>34.5</v>
      </c>
      <c r="R31">
        <v>15.2</v>
      </c>
      <c r="S31">
        <v>8.6999999999999993</v>
      </c>
      <c r="T31">
        <v>1.9</v>
      </c>
      <c r="U31">
        <v>1</v>
      </c>
      <c r="V31">
        <v>9</v>
      </c>
      <c r="W31">
        <f>IF(nba_draft[[#This Row],[years_played]]&gt;5,1,0)</f>
        <v>1</v>
      </c>
    </row>
    <row r="32" spans="1:23" x14ac:dyDescent="0.25">
      <c r="A32">
        <v>2</v>
      </c>
      <c r="B32" t="s">
        <v>149</v>
      </c>
      <c r="C32" t="s">
        <v>335</v>
      </c>
      <c r="D32" t="s">
        <v>336</v>
      </c>
      <c r="E32">
        <v>19</v>
      </c>
      <c r="F32">
        <v>1391</v>
      </c>
      <c r="G32">
        <v>50111</v>
      </c>
      <c r="H32">
        <v>17529</v>
      </c>
      <c r="I32">
        <v>8725</v>
      </c>
      <c r="J32">
        <v>12091</v>
      </c>
      <c r="K32">
        <v>0.4</v>
      </c>
      <c r="L32">
        <v>0.34899999999999998</v>
      </c>
      <c r="M32">
        <v>0.78500000000000003</v>
      </c>
      <c r="N32">
        <v>138.6</v>
      </c>
      <c r="O32">
        <v>0.13300000000000001</v>
      </c>
      <c r="P32">
        <v>1994</v>
      </c>
      <c r="Q32">
        <v>36</v>
      </c>
      <c r="R32">
        <v>12.6</v>
      </c>
      <c r="S32">
        <v>6.3</v>
      </c>
      <c r="T32">
        <v>8.6999999999999993</v>
      </c>
      <c r="U32">
        <v>1</v>
      </c>
      <c r="V32">
        <v>2</v>
      </c>
      <c r="W32">
        <f>IF(nba_draft[[#This Row],[years_played]]&gt;5,1,0)</f>
        <v>1</v>
      </c>
    </row>
    <row r="33" spans="1:23" x14ac:dyDescent="0.25">
      <c r="A33">
        <v>6</v>
      </c>
      <c r="B33" t="s">
        <v>85</v>
      </c>
      <c r="C33" t="s">
        <v>1332</v>
      </c>
      <c r="D33" t="s">
        <v>1333</v>
      </c>
      <c r="E33">
        <v>10</v>
      </c>
      <c r="F33">
        <v>711</v>
      </c>
      <c r="G33">
        <v>25835</v>
      </c>
      <c r="H33">
        <v>17510</v>
      </c>
      <c r="I33">
        <v>2976</v>
      </c>
      <c r="J33">
        <v>4726</v>
      </c>
      <c r="K33">
        <v>0.437</v>
      </c>
      <c r="L33">
        <v>0.373</v>
      </c>
      <c r="M33">
        <v>0.89300000000000002</v>
      </c>
      <c r="N33">
        <v>94.5</v>
      </c>
      <c r="O33">
        <v>0.17599999999999999</v>
      </c>
      <c r="P33">
        <v>2012</v>
      </c>
      <c r="Q33">
        <v>36.299999999999997</v>
      </c>
      <c r="R33">
        <v>24.6</v>
      </c>
      <c r="S33">
        <v>4.2</v>
      </c>
      <c r="T33">
        <v>6.6</v>
      </c>
      <c r="U33">
        <v>1</v>
      </c>
      <c r="V33">
        <v>6</v>
      </c>
      <c r="W33">
        <f>IF(nba_draft[[#This Row],[years_played]]&gt;5,1,0)</f>
        <v>1</v>
      </c>
    </row>
    <row r="34" spans="1:23" x14ac:dyDescent="0.25">
      <c r="A34">
        <v>15</v>
      </c>
      <c r="B34" t="s">
        <v>75</v>
      </c>
      <c r="C34" t="s">
        <v>467</v>
      </c>
      <c r="D34" t="s">
        <v>468</v>
      </c>
      <c r="E34">
        <v>18</v>
      </c>
      <c r="F34">
        <v>1217</v>
      </c>
      <c r="G34">
        <v>38069</v>
      </c>
      <c r="H34">
        <v>17387</v>
      </c>
      <c r="I34">
        <v>3642</v>
      </c>
      <c r="J34">
        <v>10335</v>
      </c>
      <c r="K34">
        <v>0.49</v>
      </c>
      <c r="L34">
        <v>0.42799999999999999</v>
      </c>
      <c r="M34">
        <v>0.90400000000000003</v>
      </c>
      <c r="N34">
        <v>129.69999999999999</v>
      </c>
      <c r="O34">
        <v>0.16400000000000001</v>
      </c>
      <c r="P34">
        <v>1996</v>
      </c>
      <c r="Q34">
        <v>31.3</v>
      </c>
      <c r="R34">
        <v>14.3</v>
      </c>
      <c r="S34">
        <v>3</v>
      </c>
      <c r="T34">
        <v>8.5</v>
      </c>
      <c r="U34">
        <v>1</v>
      </c>
      <c r="V34">
        <v>15</v>
      </c>
      <c r="W34">
        <f>IF(nba_draft[[#This Row],[years_played]]&gt;5,1,0)</f>
        <v>1</v>
      </c>
    </row>
    <row r="35" spans="1:23" x14ac:dyDescent="0.25">
      <c r="A35">
        <v>21</v>
      </c>
      <c r="B35" t="s">
        <v>75</v>
      </c>
      <c r="C35" t="s">
        <v>411</v>
      </c>
      <c r="D35" t="s">
        <v>412</v>
      </c>
      <c r="E35">
        <v>15</v>
      </c>
      <c r="F35">
        <v>1103</v>
      </c>
      <c r="G35">
        <v>37996</v>
      </c>
      <c r="H35">
        <v>17306</v>
      </c>
      <c r="I35">
        <v>4804</v>
      </c>
      <c r="J35">
        <v>3245</v>
      </c>
      <c r="K35">
        <v>0.44400000000000001</v>
      </c>
      <c r="L35">
        <v>0.375</v>
      </c>
      <c r="M35">
        <v>0.81100000000000005</v>
      </c>
      <c r="N35">
        <v>85.2</v>
      </c>
      <c r="O35">
        <v>0.108</v>
      </c>
      <c r="P35">
        <v>1995</v>
      </c>
      <c r="Q35">
        <v>34.4</v>
      </c>
      <c r="R35">
        <v>15.7</v>
      </c>
      <c r="S35">
        <v>4.4000000000000004</v>
      </c>
      <c r="T35">
        <v>2.9</v>
      </c>
      <c r="U35">
        <v>1</v>
      </c>
      <c r="V35">
        <v>21</v>
      </c>
      <c r="W35">
        <f>IF(nba_draft[[#This Row],[years_played]]&gt;5,1,0)</f>
        <v>1</v>
      </c>
    </row>
    <row r="36" spans="1:23" x14ac:dyDescent="0.25">
      <c r="A36">
        <v>8</v>
      </c>
      <c r="B36" t="s">
        <v>55</v>
      </c>
      <c r="C36" t="s">
        <v>1010</v>
      </c>
      <c r="D36" t="s">
        <v>79</v>
      </c>
      <c r="E36">
        <v>16</v>
      </c>
      <c r="F36">
        <v>1044</v>
      </c>
      <c r="G36">
        <v>33406</v>
      </c>
      <c r="H36">
        <v>17215</v>
      </c>
      <c r="I36">
        <v>6040</v>
      </c>
      <c r="J36">
        <v>2206</v>
      </c>
      <c r="K36">
        <v>0.45300000000000001</v>
      </c>
      <c r="L36">
        <v>0.34899999999999998</v>
      </c>
      <c r="M36">
        <v>0.79900000000000004</v>
      </c>
      <c r="N36">
        <v>60.3</v>
      </c>
      <c r="O36">
        <v>8.6999999999999994E-2</v>
      </c>
      <c r="P36">
        <v>2006</v>
      </c>
      <c r="Q36">
        <v>32</v>
      </c>
      <c r="R36">
        <v>16.5</v>
      </c>
      <c r="S36">
        <v>5.8</v>
      </c>
      <c r="T36">
        <v>2.1</v>
      </c>
      <c r="U36">
        <v>1</v>
      </c>
      <c r="V36">
        <v>8</v>
      </c>
      <c r="W36">
        <f>IF(nba_draft[[#This Row],[years_played]]&gt;5,1,0)</f>
        <v>1</v>
      </c>
    </row>
    <row r="37" spans="1:23" x14ac:dyDescent="0.25">
      <c r="A37">
        <v>4</v>
      </c>
      <c r="B37" t="s">
        <v>395</v>
      </c>
      <c r="C37" t="s">
        <v>848</v>
      </c>
      <c r="D37" t="s">
        <v>33</v>
      </c>
      <c r="E37">
        <v>13</v>
      </c>
      <c r="F37">
        <v>893</v>
      </c>
      <c r="G37">
        <v>31936</v>
      </c>
      <c r="H37">
        <v>17189</v>
      </c>
      <c r="I37">
        <v>7592</v>
      </c>
      <c r="J37">
        <v>1795</v>
      </c>
      <c r="K37">
        <v>0.49399999999999999</v>
      </c>
      <c r="L37">
        <v>0.33500000000000002</v>
      </c>
      <c r="M37">
        <v>0.79900000000000004</v>
      </c>
      <c r="N37">
        <v>106</v>
      </c>
      <c r="O37">
        <v>0.159</v>
      </c>
      <c r="P37">
        <v>2003</v>
      </c>
      <c r="Q37">
        <v>35.799999999999997</v>
      </c>
      <c r="R37">
        <v>19.2</v>
      </c>
      <c r="S37">
        <v>8.5</v>
      </c>
      <c r="T37">
        <v>2</v>
      </c>
      <c r="U37">
        <v>1</v>
      </c>
      <c r="V37">
        <v>4</v>
      </c>
      <c r="W37">
        <f>IF(nba_draft[[#This Row],[years_played]]&gt;5,1,0)</f>
        <v>1</v>
      </c>
    </row>
    <row r="38" spans="1:23" x14ac:dyDescent="0.25">
      <c r="A38">
        <v>1</v>
      </c>
      <c r="B38" t="s">
        <v>31</v>
      </c>
      <c r="C38" t="s">
        <v>277</v>
      </c>
      <c r="D38" t="s">
        <v>51</v>
      </c>
      <c r="E38">
        <v>15</v>
      </c>
      <c r="F38">
        <v>831</v>
      </c>
      <c r="G38">
        <v>30847</v>
      </c>
      <c r="H38">
        <v>17182</v>
      </c>
      <c r="I38">
        <v>8124</v>
      </c>
      <c r="J38">
        <v>3526</v>
      </c>
      <c r="K38">
        <v>0.47899999999999998</v>
      </c>
      <c r="L38">
        <v>0.29899999999999999</v>
      </c>
      <c r="M38">
        <v>0.64900000000000002</v>
      </c>
      <c r="N38">
        <v>84.7</v>
      </c>
      <c r="O38">
        <v>0.13200000000000001</v>
      </c>
      <c r="P38">
        <v>1993</v>
      </c>
      <c r="Q38">
        <v>37.1</v>
      </c>
      <c r="R38">
        <v>20.7</v>
      </c>
      <c r="S38">
        <v>9.8000000000000007</v>
      </c>
      <c r="T38">
        <v>4.2</v>
      </c>
      <c r="U38">
        <v>1</v>
      </c>
      <c r="V38">
        <v>1</v>
      </c>
      <c r="W38">
        <f>IF(nba_draft[[#This Row],[years_played]]&gt;5,1,0)</f>
        <v>1</v>
      </c>
    </row>
    <row r="39" spans="1:23" x14ac:dyDescent="0.25">
      <c r="A39">
        <v>3</v>
      </c>
      <c r="B39" t="s">
        <v>88</v>
      </c>
      <c r="C39" t="s">
        <v>337</v>
      </c>
      <c r="D39" t="s">
        <v>87</v>
      </c>
      <c r="E39">
        <v>18</v>
      </c>
      <c r="F39">
        <v>1026</v>
      </c>
      <c r="G39">
        <v>34776</v>
      </c>
      <c r="H39">
        <v>17137</v>
      </c>
      <c r="I39">
        <v>6169</v>
      </c>
      <c r="J39">
        <v>4252</v>
      </c>
      <c r="K39">
        <v>0.48299999999999998</v>
      </c>
      <c r="L39">
        <v>0.314</v>
      </c>
      <c r="M39">
        <v>0.76900000000000002</v>
      </c>
      <c r="N39">
        <v>99.9</v>
      </c>
      <c r="O39">
        <v>0.13800000000000001</v>
      </c>
      <c r="P39">
        <v>1994</v>
      </c>
      <c r="Q39">
        <v>33.9</v>
      </c>
      <c r="R39">
        <v>16.7</v>
      </c>
      <c r="S39">
        <v>6</v>
      </c>
      <c r="T39">
        <v>4.0999999999999996</v>
      </c>
      <c r="U39">
        <v>1</v>
      </c>
      <c r="V39">
        <v>3</v>
      </c>
      <c r="W39">
        <f>IF(nba_draft[[#This Row],[years_played]]&gt;5,1,0)</f>
        <v>1</v>
      </c>
    </row>
    <row r="40" spans="1:23" x14ac:dyDescent="0.25">
      <c r="A40">
        <v>1</v>
      </c>
      <c r="B40" t="s">
        <v>95</v>
      </c>
      <c r="C40" t="s">
        <v>629</v>
      </c>
      <c r="D40" t="s">
        <v>87</v>
      </c>
      <c r="E40">
        <v>17</v>
      </c>
      <c r="F40">
        <v>1058</v>
      </c>
      <c r="G40">
        <v>34910</v>
      </c>
      <c r="H40">
        <v>16827</v>
      </c>
      <c r="I40">
        <v>9040</v>
      </c>
      <c r="J40">
        <v>2184</v>
      </c>
      <c r="K40">
        <v>0.5</v>
      </c>
      <c r="L40">
        <v>9.5000000000000001E-2</v>
      </c>
      <c r="M40">
        <v>0.73599999999999999</v>
      </c>
      <c r="N40">
        <v>109.6</v>
      </c>
      <c r="O40">
        <v>0.151</v>
      </c>
      <c r="P40">
        <v>1999</v>
      </c>
      <c r="Q40">
        <v>33</v>
      </c>
      <c r="R40">
        <v>15.9</v>
      </c>
      <c r="S40">
        <v>8.5</v>
      </c>
      <c r="T40">
        <v>2.1</v>
      </c>
      <c r="U40">
        <v>1</v>
      </c>
      <c r="V40">
        <v>1</v>
      </c>
      <c r="W40">
        <f>IF(nba_draft[[#This Row],[years_played]]&gt;5,1,0)</f>
        <v>1</v>
      </c>
    </row>
    <row r="41" spans="1:23" x14ac:dyDescent="0.25">
      <c r="A41">
        <v>24</v>
      </c>
      <c r="B41" t="s">
        <v>52</v>
      </c>
      <c r="C41" t="s">
        <v>244</v>
      </c>
      <c r="D41" t="s">
        <v>228</v>
      </c>
      <c r="E41">
        <v>13</v>
      </c>
      <c r="F41">
        <v>913</v>
      </c>
      <c r="G41">
        <v>35270</v>
      </c>
      <c r="H41">
        <v>16712</v>
      </c>
      <c r="I41">
        <v>3724</v>
      </c>
      <c r="J41">
        <v>3664</v>
      </c>
      <c r="K41">
        <v>0.42499999999999999</v>
      </c>
      <c r="L41">
        <v>0.33700000000000002</v>
      </c>
      <c r="M41">
        <v>0.80400000000000005</v>
      </c>
      <c r="N41">
        <v>56.3</v>
      </c>
      <c r="O41">
        <v>7.6999999999999999E-2</v>
      </c>
      <c r="P41">
        <v>1992</v>
      </c>
      <c r="Q41">
        <v>38.6</v>
      </c>
      <c r="R41">
        <v>18.3</v>
      </c>
      <c r="S41">
        <v>4.0999999999999996</v>
      </c>
      <c r="T41">
        <v>4</v>
      </c>
      <c r="U41">
        <v>1</v>
      </c>
      <c r="V41">
        <v>24</v>
      </c>
      <c r="W41">
        <f>IF(nba_draft[[#This Row],[years_played]]&gt;5,1,0)</f>
        <v>1</v>
      </c>
    </row>
    <row r="42" spans="1:23" x14ac:dyDescent="0.25">
      <c r="A42">
        <v>3</v>
      </c>
      <c r="B42" t="s">
        <v>102</v>
      </c>
      <c r="C42" t="s">
        <v>390</v>
      </c>
      <c r="D42" t="s">
        <v>179</v>
      </c>
      <c r="E42">
        <v>18</v>
      </c>
      <c r="F42">
        <v>970</v>
      </c>
      <c r="G42">
        <v>30222</v>
      </c>
      <c r="H42">
        <v>16409</v>
      </c>
      <c r="I42">
        <v>3067</v>
      </c>
      <c r="J42">
        <v>3240</v>
      </c>
      <c r="K42">
        <v>0.40899999999999997</v>
      </c>
      <c r="L42">
        <v>0.309</v>
      </c>
      <c r="M42">
        <v>0.82199999999999995</v>
      </c>
      <c r="N42">
        <v>52.4</v>
      </c>
      <c r="O42">
        <v>8.3000000000000004E-2</v>
      </c>
      <c r="P42">
        <v>1995</v>
      </c>
      <c r="Q42">
        <v>31.2</v>
      </c>
      <c r="R42">
        <v>16.899999999999999</v>
      </c>
      <c r="S42">
        <v>3.2</v>
      </c>
      <c r="T42">
        <v>3.3</v>
      </c>
      <c r="U42">
        <v>1</v>
      </c>
      <c r="V42">
        <v>3</v>
      </c>
      <c r="W42">
        <f>IF(nba_draft[[#This Row],[years_played]]&gt;5,1,0)</f>
        <v>1</v>
      </c>
    </row>
    <row r="43" spans="1:23" x14ac:dyDescent="0.25">
      <c r="A43">
        <v>4</v>
      </c>
      <c r="B43" t="s">
        <v>63</v>
      </c>
      <c r="C43" t="s">
        <v>453</v>
      </c>
      <c r="D43" t="s">
        <v>33</v>
      </c>
      <c r="E43">
        <v>13</v>
      </c>
      <c r="F43">
        <v>846</v>
      </c>
      <c r="G43">
        <v>31891</v>
      </c>
      <c r="H43">
        <v>16297</v>
      </c>
      <c r="I43">
        <v>2516</v>
      </c>
      <c r="J43">
        <v>6471</v>
      </c>
      <c r="K43">
        <v>0.433</v>
      </c>
      <c r="L43">
        <v>0.32500000000000001</v>
      </c>
      <c r="M43">
        <v>0.78400000000000003</v>
      </c>
      <c r="N43">
        <v>77.5</v>
      </c>
      <c r="O43">
        <v>0.11700000000000001</v>
      </c>
      <c r="P43">
        <v>1996</v>
      </c>
      <c r="Q43">
        <v>37.700000000000003</v>
      </c>
      <c r="R43">
        <v>19.3</v>
      </c>
      <c r="S43">
        <v>3</v>
      </c>
      <c r="T43">
        <v>7.6</v>
      </c>
      <c r="U43">
        <v>1</v>
      </c>
      <c r="V43">
        <v>4</v>
      </c>
      <c r="W43">
        <f>IF(nba_draft[[#This Row],[years_played]]&gt;5,1,0)</f>
        <v>1</v>
      </c>
    </row>
    <row r="44" spans="1:23" x14ac:dyDescent="0.25">
      <c r="A44">
        <v>8</v>
      </c>
      <c r="B44" t="s">
        <v>138</v>
      </c>
      <c r="C44" t="s">
        <v>637</v>
      </c>
      <c r="D44" t="s">
        <v>328</v>
      </c>
      <c r="E44">
        <v>17</v>
      </c>
      <c r="F44">
        <v>1304</v>
      </c>
      <c r="G44">
        <v>40268</v>
      </c>
      <c r="H44">
        <v>16278</v>
      </c>
      <c r="I44">
        <v>4795</v>
      </c>
      <c r="J44">
        <v>8524</v>
      </c>
      <c r="K44">
        <v>0.46100000000000002</v>
      </c>
      <c r="L44">
        <v>0.217</v>
      </c>
      <c r="M44">
        <v>0.80700000000000005</v>
      </c>
      <c r="N44">
        <v>100.8</v>
      </c>
      <c r="O44">
        <v>0.12</v>
      </c>
      <c r="P44">
        <v>1999</v>
      </c>
      <c r="Q44">
        <v>30.9</v>
      </c>
      <c r="R44">
        <v>12.5</v>
      </c>
      <c r="S44">
        <v>3.7</v>
      </c>
      <c r="T44">
        <v>6.5</v>
      </c>
      <c r="U44">
        <v>1</v>
      </c>
      <c r="V44">
        <v>8</v>
      </c>
      <c r="W44">
        <f>IF(nba_draft[[#This Row],[years_played]]&gt;5,1,0)</f>
        <v>1</v>
      </c>
    </row>
    <row r="45" spans="1:23" x14ac:dyDescent="0.25">
      <c r="A45">
        <v>5</v>
      </c>
      <c r="B45" t="s">
        <v>109</v>
      </c>
      <c r="C45" t="s">
        <v>339</v>
      </c>
      <c r="D45" t="s">
        <v>51</v>
      </c>
      <c r="E45">
        <v>19</v>
      </c>
      <c r="F45">
        <v>1208</v>
      </c>
      <c r="G45">
        <v>36654</v>
      </c>
      <c r="H45">
        <v>16159</v>
      </c>
      <c r="I45">
        <v>7428</v>
      </c>
      <c r="J45">
        <v>2663</v>
      </c>
      <c r="K45">
        <v>0.46899999999999997</v>
      </c>
      <c r="L45">
        <v>0.12</v>
      </c>
      <c r="M45">
        <v>0.76400000000000001</v>
      </c>
      <c r="N45">
        <v>59.4</v>
      </c>
      <c r="O45">
        <v>7.8E-2</v>
      </c>
      <c r="P45">
        <v>1994</v>
      </c>
      <c r="Q45">
        <v>30.3</v>
      </c>
      <c r="R45">
        <v>13.4</v>
      </c>
      <c r="S45">
        <v>6.1</v>
      </c>
      <c r="T45">
        <v>2.2000000000000002</v>
      </c>
      <c r="U45">
        <v>1</v>
      </c>
      <c r="V45">
        <v>5</v>
      </c>
      <c r="W45">
        <f>IF(nba_draft[[#This Row],[years_played]]&gt;5,1,0)</f>
        <v>1</v>
      </c>
    </row>
    <row r="46" spans="1:23" x14ac:dyDescent="0.25">
      <c r="A46">
        <v>4</v>
      </c>
      <c r="B46" t="s">
        <v>109</v>
      </c>
      <c r="C46" t="s">
        <v>391</v>
      </c>
      <c r="D46" t="s">
        <v>179</v>
      </c>
      <c r="E46">
        <v>16</v>
      </c>
      <c r="F46">
        <v>1109</v>
      </c>
      <c r="G46">
        <v>36243</v>
      </c>
      <c r="H46">
        <v>16006</v>
      </c>
      <c r="I46">
        <v>7404</v>
      </c>
      <c r="J46">
        <v>1994</v>
      </c>
      <c r="K46">
        <v>0.46700000000000003</v>
      </c>
      <c r="L46">
        <v>0.33600000000000002</v>
      </c>
      <c r="M46">
        <v>0.72099999999999997</v>
      </c>
      <c r="N46">
        <v>105.1</v>
      </c>
      <c r="O46">
        <v>0.13900000000000001</v>
      </c>
      <c r="P46">
        <v>1995</v>
      </c>
      <c r="Q46">
        <v>32.700000000000003</v>
      </c>
      <c r="R46">
        <v>14.4</v>
      </c>
      <c r="S46">
        <v>6.7</v>
      </c>
      <c r="T46">
        <v>1.8</v>
      </c>
      <c r="U46">
        <v>1</v>
      </c>
      <c r="V46">
        <v>4</v>
      </c>
      <c r="W46">
        <f>IF(nba_draft[[#This Row],[years_played]]&gt;5,1,0)</f>
        <v>1</v>
      </c>
    </row>
    <row r="47" spans="1:23" x14ac:dyDescent="0.25">
      <c r="A47">
        <v>9</v>
      </c>
      <c r="B47" t="s">
        <v>75</v>
      </c>
      <c r="C47" t="s">
        <v>799</v>
      </c>
      <c r="D47" t="s">
        <v>97</v>
      </c>
      <c r="E47">
        <v>14</v>
      </c>
      <c r="F47">
        <v>846</v>
      </c>
      <c r="G47">
        <v>26254</v>
      </c>
      <c r="H47">
        <v>15994</v>
      </c>
      <c r="I47">
        <v>6632</v>
      </c>
      <c r="J47">
        <v>1050</v>
      </c>
      <c r="K47">
        <v>0.53700000000000003</v>
      </c>
      <c r="L47">
        <v>0.23599999999999999</v>
      </c>
      <c r="M47">
        <v>0.76100000000000001</v>
      </c>
      <c r="N47">
        <v>92.5</v>
      </c>
      <c r="O47">
        <v>0.16900000000000001</v>
      </c>
      <c r="P47">
        <v>2002</v>
      </c>
      <c r="Q47">
        <v>31</v>
      </c>
      <c r="R47">
        <v>18.899999999999999</v>
      </c>
      <c r="S47">
        <v>7.8</v>
      </c>
      <c r="T47">
        <v>1.2</v>
      </c>
      <c r="U47">
        <v>1</v>
      </c>
      <c r="V47">
        <v>9</v>
      </c>
      <c r="W47">
        <f>IF(nba_draft[[#This Row],[years_played]]&gt;5,1,0)</f>
        <v>1</v>
      </c>
    </row>
    <row r="48" spans="1:23" x14ac:dyDescent="0.25">
      <c r="A48">
        <v>3</v>
      </c>
      <c r="B48" t="s">
        <v>70</v>
      </c>
      <c r="C48" t="s">
        <v>508</v>
      </c>
      <c r="D48" t="s">
        <v>435</v>
      </c>
      <c r="E48">
        <v>17</v>
      </c>
      <c r="F48">
        <v>1043</v>
      </c>
      <c r="G48">
        <v>33008</v>
      </c>
      <c r="H48">
        <v>15802</v>
      </c>
      <c r="I48">
        <v>2992</v>
      </c>
      <c r="J48">
        <v>5636</v>
      </c>
      <c r="K48">
        <v>0.41499999999999998</v>
      </c>
      <c r="L48">
        <v>0.38700000000000001</v>
      </c>
      <c r="M48">
        <v>0.89400000000000002</v>
      </c>
      <c r="N48">
        <v>120.8</v>
      </c>
      <c r="O48">
        <v>0.17599999999999999</v>
      </c>
      <c r="P48">
        <v>1997</v>
      </c>
      <c r="Q48">
        <v>31.6</v>
      </c>
      <c r="R48">
        <v>15.2</v>
      </c>
      <c r="S48">
        <v>2.9</v>
      </c>
      <c r="T48">
        <v>5.4</v>
      </c>
      <c r="U48">
        <v>1</v>
      </c>
      <c r="V48">
        <v>3</v>
      </c>
      <c r="W48">
        <f>IF(nba_draft[[#This Row],[years_played]]&gt;5,1,0)</f>
        <v>1</v>
      </c>
    </row>
    <row r="49" spans="1:23" x14ac:dyDescent="0.25">
      <c r="A49">
        <v>7</v>
      </c>
      <c r="B49" t="s">
        <v>109</v>
      </c>
      <c r="C49" t="s">
        <v>636</v>
      </c>
      <c r="D49" t="s">
        <v>79</v>
      </c>
      <c r="E49">
        <v>14</v>
      </c>
      <c r="F49">
        <v>921</v>
      </c>
      <c r="G49">
        <v>29559</v>
      </c>
      <c r="H49">
        <v>15708</v>
      </c>
      <c r="I49">
        <v>2852</v>
      </c>
      <c r="J49">
        <v>3125</v>
      </c>
      <c r="K49">
        <v>0.44900000000000001</v>
      </c>
      <c r="L49">
        <v>0.34599999999999997</v>
      </c>
      <c r="M49">
        <v>0.85199999999999998</v>
      </c>
      <c r="N49">
        <v>62.8</v>
      </c>
      <c r="O49">
        <v>0.10199999999999999</v>
      </c>
      <c r="P49">
        <v>1999</v>
      </c>
      <c r="Q49">
        <v>32.1</v>
      </c>
      <c r="R49">
        <v>17.100000000000001</v>
      </c>
      <c r="S49">
        <v>3.1</v>
      </c>
      <c r="T49">
        <v>3.4</v>
      </c>
      <c r="U49">
        <v>1</v>
      </c>
      <c r="V49">
        <v>7</v>
      </c>
      <c r="W49">
        <f>IF(nba_draft[[#This Row],[years_played]]&gt;5,1,0)</f>
        <v>1</v>
      </c>
    </row>
    <row r="50" spans="1:23" x14ac:dyDescent="0.25">
      <c r="A50">
        <v>6</v>
      </c>
      <c r="B50" t="s">
        <v>70</v>
      </c>
      <c r="C50" t="s">
        <v>455</v>
      </c>
      <c r="D50" t="s">
        <v>282</v>
      </c>
      <c r="E50">
        <v>12</v>
      </c>
      <c r="F50">
        <v>893</v>
      </c>
      <c r="G50">
        <v>31531</v>
      </c>
      <c r="H50">
        <v>15647</v>
      </c>
      <c r="I50">
        <v>6891</v>
      </c>
      <c r="J50">
        <v>3170</v>
      </c>
      <c r="K50">
        <v>0.41399999999999998</v>
      </c>
      <c r="L50">
        <v>0.32500000000000001</v>
      </c>
      <c r="M50">
        <v>0.63300000000000001</v>
      </c>
      <c r="N50">
        <v>38.1</v>
      </c>
      <c r="O50">
        <v>5.8000000000000003E-2</v>
      </c>
      <c r="P50">
        <v>1996</v>
      </c>
      <c r="Q50">
        <v>35.299999999999997</v>
      </c>
      <c r="R50">
        <v>17.5</v>
      </c>
      <c r="S50">
        <v>7.7</v>
      </c>
      <c r="T50">
        <v>3.5</v>
      </c>
      <c r="U50">
        <v>1</v>
      </c>
      <c r="V50">
        <v>6</v>
      </c>
      <c r="W50">
        <f>IF(nba_draft[[#This Row],[years_played]]&gt;5,1,0)</f>
        <v>1</v>
      </c>
    </row>
    <row r="51" spans="1:23" x14ac:dyDescent="0.25">
      <c r="A51">
        <v>24</v>
      </c>
      <c r="B51" t="s">
        <v>55</v>
      </c>
      <c r="C51" t="s">
        <v>308</v>
      </c>
      <c r="D51" t="s">
        <v>298</v>
      </c>
      <c r="E51">
        <v>15</v>
      </c>
      <c r="F51">
        <v>993</v>
      </c>
      <c r="G51">
        <v>29812</v>
      </c>
      <c r="H51">
        <v>15635</v>
      </c>
      <c r="I51">
        <v>3221</v>
      </c>
      <c r="J51">
        <v>5939</v>
      </c>
      <c r="K51">
        <v>0.45400000000000001</v>
      </c>
      <c r="L51">
        <v>0.33100000000000002</v>
      </c>
      <c r="M51">
        <v>0.86099999999999999</v>
      </c>
      <c r="N51">
        <v>87.5</v>
      </c>
      <c r="O51">
        <v>0.14099999999999999</v>
      </c>
      <c r="P51">
        <v>1993</v>
      </c>
      <c r="Q51">
        <v>30</v>
      </c>
      <c r="R51">
        <v>15.7</v>
      </c>
      <c r="S51">
        <v>3.2</v>
      </c>
      <c r="T51">
        <v>6</v>
      </c>
      <c r="U51">
        <v>1</v>
      </c>
      <c r="V51">
        <v>24</v>
      </c>
      <c r="W51">
        <f>IF(nba_draft[[#This Row],[years_played]]&gt;5,1,0)</f>
        <v>1</v>
      </c>
    </row>
    <row r="52" spans="1:23" x14ac:dyDescent="0.25">
      <c r="A52">
        <v>32</v>
      </c>
      <c r="B52" t="s">
        <v>25</v>
      </c>
      <c r="C52" t="s">
        <v>598</v>
      </c>
      <c r="D52" t="s">
        <v>97</v>
      </c>
      <c r="E52">
        <v>16</v>
      </c>
      <c r="F52">
        <v>1049</v>
      </c>
      <c r="G52">
        <v>33541</v>
      </c>
      <c r="H52">
        <v>15579</v>
      </c>
      <c r="I52">
        <v>5433</v>
      </c>
      <c r="J52">
        <v>1765</v>
      </c>
      <c r="K52">
        <v>0.45200000000000001</v>
      </c>
      <c r="L52">
        <v>0.38600000000000001</v>
      </c>
      <c r="M52">
        <v>0.80500000000000005</v>
      </c>
      <c r="N52">
        <v>90.9</v>
      </c>
      <c r="O52">
        <v>0.13</v>
      </c>
      <c r="P52">
        <v>1998</v>
      </c>
      <c r="Q52">
        <v>32</v>
      </c>
      <c r="R52">
        <v>14.9</v>
      </c>
      <c r="S52">
        <v>5.2</v>
      </c>
      <c r="T52">
        <v>1.7</v>
      </c>
      <c r="U52">
        <v>2</v>
      </c>
      <c r="V52">
        <v>3</v>
      </c>
      <c r="W52">
        <f>IF(nba_draft[[#This Row],[years_played]]&gt;5,1,0)</f>
        <v>1</v>
      </c>
    </row>
    <row r="53" spans="1:23" x14ac:dyDescent="0.25">
      <c r="A53">
        <v>45</v>
      </c>
      <c r="B53" t="s">
        <v>102</v>
      </c>
      <c r="C53" t="s">
        <v>989</v>
      </c>
      <c r="D53" t="s">
        <v>97</v>
      </c>
      <c r="E53">
        <v>17</v>
      </c>
      <c r="F53">
        <v>1107</v>
      </c>
      <c r="G53">
        <v>26891</v>
      </c>
      <c r="H53">
        <v>15511</v>
      </c>
      <c r="I53">
        <v>2460</v>
      </c>
      <c r="J53">
        <v>3765</v>
      </c>
      <c r="K53">
        <v>0.41899999999999998</v>
      </c>
      <c r="L53">
        <v>0.35099999999999998</v>
      </c>
      <c r="M53">
        <v>0.84199999999999997</v>
      </c>
      <c r="N53">
        <v>65.7</v>
      </c>
      <c r="O53">
        <v>0.11700000000000001</v>
      </c>
      <c r="P53">
        <v>2005</v>
      </c>
      <c r="Q53">
        <v>24.3</v>
      </c>
      <c r="R53">
        <v>14</v>
      </c>
      <c r="S53">
        <v>2.2000000000000002</v>
      </c>
      <c r="T53">
        <v>3.4</v>
      </c>
      <c r="U53">
        <v>2</v>
      </c>
      <c r="V53">
        <v>15</v>
      </c>
      <c r="W53">
        <f>IF(nba_draft[[#This Row],[years_played]]&gt;5,1,0)</f>
        <v>1</v>
      </c>
    </row>
    <row r="54" spans="1:23" x14ac:dyDescent="0.25">
      <c r="A54">
        <v>3</v>
      </c>
      <c r="B54" t="s">
        <v>393</v>
      </c>
      <c r="C54" t="s">
        <v>452</v>
      </c>
      <c r="D54" t="s">
        <v>336</v>
      </c>
      <c r="E54">
        <v>12</v>
      </c>
      <c r="F54">
        <v>830</v>
      </c>
      <c r="G54">
        <v>28882</v>
      </c>
      <c r="H54">
        <v>15028</v>
      </c>
      <c r="I54">
        <v>6239</v>
      </c>
      <c r="J54">
        <v>2109</v>
      </c>
      <c r="K54">
        <v>0.47199999999999998</v>
      </c>
      <c r="L54">
        <v>0.29699999999999999</v>
      </c>
      <c r="M54">
        <v>0.81</v>
      </c>
      <c r="N54">
        <v>71.2</v>
      </c>
      <c r="O54">
        <v>0.11799999999999999</v>
      </c>
      <c r="P54">
        <v>1996</v>
      </c>
      <c r="Q54">
        <v>34.799999999999997</v>
      </c>
      <c r="R54">
        <v>18.100000000000001</v>
      </c>
      <c r="S54">
        <v>7.5</v>
      </c>
      <c r="T54">
        <v>2.5</v>
      </c>
      <c r="U54">
        <v>1</v>
      </c>
      <c r="V54">
        <v>3</v>
      </c>
      <c r="W54">
        <f>IF(nba_draft[[#This Row],[years_played]]&gt;5,1,0)</f>
        <v>1</v>
      </c>
    </row>
    <row r="55" spans="1:23" x14ac:dyDescent="0.25">
      <c r="A55">
        <v>10</v>
      </c>
      <c r="B55" t="s">
        <v>127</v>
      </c>
      <c r="C55" t="s">
        <v>1227</v>
      </c>
      <c r="D55" t="s">
        <v>609</v>
      </c>
      <c r="E55">
        <v>12</v>
      </c>
      <c r="F55">
        <v>732</v>
      </c>
      <c r="G55">
        <v>24588</v>
      </c>
      <c r="H55">
        <v>14916</v>
      </c>
      <c r="I55">
        <v>4707</v>
      </c>
      <c r="J55">
        <v>2607</v>
      </c>
      <c r="K55">
        <v>0.436</v>
      </c>
      <c r="L55">
        <v>0.38100000000000001</v>
      </c>
      <c r="M55">
        <v>0.84899999999999998</v>
      </c>
      <c r="N55">
        <v>76.099999999999994</v>
      </c>
      <c r="O55">
        <v>0.14899999999999999</v>
      </c>
      <c r="P55">
        <v>2010</v>
      </c>
      <c r="Q55">
        <v>33.6</v>
      </c>
      <c r="R55">
        <v>20.399999999999999</v>
      </c>
      <c r="S55">
        <v>6.4</v>
      </c>
      <c r="T55">
        <v>3.6</v>
      </c>
      <c r="U55">
        <v>1</v>
      </c>
      <c r="V55">
        <v>10</v>
      </c>
      <c r="W55">
        <f>IF(nba_draft[[#This Row],[years_played]]&gt;5,1,0)</f>
        <v>1</v>
      </c>
    </row>
    <row r="56" spans="1:23" x14ac:dyDescent="0.25">
      <c r="A56">
        <v>13</v>
      </c>
      <c r="B56" t="s">
        <v>55</v>
      </c>
      <c r="C56" t="s">
        <v>753</v>
      </c>
      <c r="D56" t="s">
        <v>117</v>
      </c>
      <c r="E56">
        <v>17</v>
      </c>
      <c r="F56">
        <v>1181</v>
      </c>
      <c r="G56">
        <v>34293</v>
      </c>
      <c r="H56">
        <v>14904</v>
      </c>
      <c r="I56">
        <v>4720</v>
      </c>
      <c r="J56">
        <v>2412</v>
      </c>
      <c r="K56">
        <v>0.46400000000000002</v>
      </c>
      <c r="L56">
        <v>0.376</v>
      </c>
      <c r="M56">
        <v>0.76800000000000002</v>
      </c>
      <c r="N56">
        <v>83</v>
      </c>
      <c r="O56">
        <v>0.11600000000000001</v>
      </c>
      <c r="P56">
        <v>2001</v>
      </c>
      <c r="Q56">
        <v>29</v>
      </c>
      <c r="R56">
        <v>12.6</v>
      </c>
      <c r="S56">
        <v>4</v>
      </c>
      <c r="T56">
        <v>2</v>
      </c>
      <c r="U56">
        <v>1</v>
      </c>
      <c r="V56">
        <v>13</v>
      </c>
      <c r="W56">
        <f>IF(nba_draft[[#This Row],[years_played]]&gt;5,1,0)</f>
        <v>1</v>
      </c>
    </row>
    <row r="57" spans="1:23" x14ac:dyDescent="0.25">
      <c r="A57">
        <v>24</v>
      </c>
      <c r="B57" t="s">
        <v>393</v>
      </c>
      <c r="C57" t="s">
        <v>1027</v>
      </c>
      <c r="D57" t="s">
        <v>458</v>
      </c>
      <c r="E57">
        <v>16</v>
      </c>
      <c r="F57">
        <v>1006</v>
      </c>
      <c r="G57">
        <v>32057</v>
      </c>
      <c r="H57">
        <v>14882</v>
      </c>
      <c r="I57">
        <v>4403</v>
      </c>
      <c r="J57">
        <v>6359</v>
      </c>
      <c r="K57">
        <v>0.42399999999999999</v>
      </c>
      <c r="L57">
        <v>0.36699999999999999</v>
      </c>
      <c r="M57">
        <v>0.81299999999999994</v>
      </c>
      <c r="N57">
        <v>102.5</v>
      </c>
      <c r="O57">
        <v>0.154</v>
      </c>
      <c r="P57">
        <v>2006</v>
      </c>
      <c r="Q57">
        <v>31.9</v>
      </c>
      <c r="R57">
        <v>14.8</v>
      </c>
      <c r="S57">
        <v>4.4000000000000004</v>
      </c>
      <c r="T57">
        <v>6.3</v>
      </c>
      <c r="U57">
        <v>1</v>
      </c>
      <c r="V57">
        <v>24</v>
      </c>
      <c r="W57">
        <f>IF(nba_draft[[#This Row],[years_played]]&gt;5,1,0)</f>
        <v>1</v>
      </c>
    </row>
    <row r="58" spans="1:23" x14ac:dyDescent="0.25">
      <c r="A58">
        <v>40</v>
      </c>
      <c r="B58" t="s">
        <v>52</v>
      </c>
      <c r="C58" t="s">
        <v>984</v>
      </c>
      <c r="D58" t="s">
        <v>97</v>
      </c>
      <c r="E58">
        <v>12</v>
      </c>
      <c r="F58">
        <v>833</v>
      </c>
      <c r="G58">
        <v>29011</v>
      </c>
      <c r="H58">
        <v>14858</v>
      </c>
      <c r="I58">
        <v>2874</v>
      </c>
      <c r="J58">
        <v>3856</v>
      </c>
      <c r="K58">
        <v>0.45100000000000001</v>
      </c>
      <c r="L58">
        <v>0.314</v>
      </c>
      <c r="M58">
        <v>0.77200000000000002</v>
      </c>
      <c r="N58">
        <v>41.9</v>
      </c>
      <c r="O58">
        <v>6.9000000000000006E-2</v>
      </c>
      <c r="P58">
        <v>2005</v>
      </c>
      <c r="Q58">
        <v>34.799999999999997</v>
      </c>
      <c r="R58">
        <v>17.8</v>
      </c>
      <c r="S58">
        <v>3.5</v>
      </c>
      <c r="T58">
        <v>4.5999999999999996</v>
      </c>
      <c r="U58">
        <v>2</v>
      </c>
      <c r="V58">
        <v>10</v>
      </c>
      <c r="W58">
        <f>IF(nba_draft[[#This Row],[years_played]]&gt;5,1,0)</f>
        <v>1</v>
      </c>
    </row>
    <row r="59" spans="1:23" x14ac:dyDescent="0.25">
      <c r="A59">
        <v>2</v>
      </c>
      <c r="B59" t="s">
        <v>393</v>
      </c>
      <c r="C59" t="s">
        <v>565</v>
      </c>
      <c r="D59" t="s">
        <v>117</v>
      </c>
      <c r="E59">
        <v>14</v>
      </c>
      <c r="F59">
        <v>1001</v>
      </c>
      <c r="G59">
        <v>33962</v>
      </c>
      <c r="H59">
        <v>14698</v>
      </c>
      <c r="I59">
        <v>3103</v>
      </c>
      <c r="J59">
        <v>5517</v>
      </c>
      <c r="K59">
        <v>0.436</v>
      </c>
      <c r="L59">
        <v>0.379</v>
      </c>
      <c r="M59">
        <v>0.80200000000000005</v>
      </c>
      <c r="N59">
        <v>73.2</v>
      </c>
      <c r="O59">
        <v>0.104</v>
      </c>
      <c r="P59">
        <v>1998</v>
      </c>
      <c r="Q59">
        <v>33.9</v>
      </c>
      <c r="R59">
        <v>14.7</v>
      </c>
      <c r="S59">
        <v>3.1</v>
      </c>
      <c r="T59">
        <v>5.5</v>
      </c>
      <c r="U59">
        <v>1</v>
      </c>
      <c r="V59">
        <v>2</v>
      </c>
      <c r="W59">
        <f>IF(nba_draft[[#This Row],[years_played]]&gt;5,1,0)</f>
        <v>1</v>
      </c>
    </row>
    <row r="60" spans="1:23" x14ac:dyDescent="0.25">
      <c r="A60">
        <v>5</v>
      </c>
      <c r="B60" t="s">
        <v>52</v>
      </c>
      <c r="C60" t="s">
        <v>744</v>
      </c>
      <c r="D60" t="s">
        <v>148</v>
      </c>
      <c r="E60">
        <v>13</v>
      </c>
      <c r="F60">
        <v>857</v>
      </c>
      <c r="G60">
        <v>29241</v>
      </c>
      <c r="H60">
        <v>14644</v>
      </c>
      <c r="I60">
        <v>4245</v>
      </c>
      <c r="J60">
        <v>2284</v>
      </c>
      <c r="K60">
        <v>0.438</v>
      </c>
      <c r="L60">
        <v>0.37</v>
      </c>
      <c r="M60">
        <v>0.70699999999999996</v>
      </c>
      <c r="N60">
        <v>59.1</v>
      </c>
      <c r="O60">
        <v>9.7000000000000003E-2</v>
      </c>
      <c r="P60">
        <v>2001</v>
      </c>
      <c r="Q60">
        <v>34.1</v>
      </c>
      <c r="R60">
        <v>17.100000000000001</v>
      </c>
      <c r="S60">
        <v>5</v>
      </c>
      <c r="T60">
        <v>2.7</v>
      </c>
      <c r="U60">
        <v>1</v>
      </c>
      <c r="V60">
        <v>5</v>
      </c>
      <c r="W60">
        <f>IF(nba_draft[[#This Row],[years_played]]&gt;5,1,0)</f>
        <v>1</v>
      </c>
    </row>
    <row r="61" spans="1:23" x14ac:dyDescent="0.25">
      <c r="A61">
        <v>11</v>
      </c>
      <c r="B61" t="s">
        <v>88</v>
      </c>
      <c r="C61" t="s">
        <v>292</v>
      </c>
      <c r="D61" t="s">
        <v>293</v>
      </c>
      <c r="E61">
        <v>12</v>
      </c>
      <c r="F61">
        <v>839</v>
      </c>
      <c r="G61">
        <v>28311</v>
      </c>
      <c r="H61">
        <v>14551</v>
      </c>
      <c r="I61">
        <v>2434</v>
      </c>
      <c r="J61">
        <v>1990</v>
      </c>
      <c r="K61">
        <v>0.44400000000000001</v>
      </c>
      <c r="L61">
        <v>0.40200000000000002</v>
      </c>
      <c r="M61">
        <v>0.86299999999999999</v>
      </c>
      <c r="N61">
        <v>55.3</v>
      </c>
      <c r="O61">
        <v>9.4E-2</v>
      </c>
      <c r="P61">
        <v>1993</v>
      </c>
      <c r="Q61">
        <v>33.700000000000003</v>
      </c>
      <c r="R61">
        <v>17.3</v>
      </c>
      <c r="S61">
        <v>2.9</v>
      </c>
      <c r="T61">
        <v>2.4</v>
      </c>
      <c r="U61">
        <v>1</v>
      </c>
      <c r="V61">
        <v>11</v>
      </c>
      <c r="W61">
        <f>IF(nba_draft[[#This Row],[years_played]]&gt;5,1,0)</f>
        <v>1</v>
      </c>
    </row>
    <row r="62" spans="1:23" x14ac:dyDescent="0.25">
      <c r="A62">
        <v>47</v>
      </c>
      <c r="B62" t="s">
        <v>104</v>
      </c>
      <c r="C62" t="s">
        <v>1048</v>
      </c>
      <c r="D62" t="s">
        <v>250</v>
      </c>
      <c r="E62">
        <v>16</v>
      </c>
      <c r="F62">
        <v>1078</v>
      </c>
      <c r="G62">
        <v>30413</v>
      </c>
      <c r="H62">
        <v>14516</v>
      </c>
      <c r="I62">
        <v>7655</v>
      </c>
      <c r="J62">
        <v>2375</v>
      </c>
      <c r="K62">
        <v>0.48899999999999999</v>
      </c>
      <c r="L62">
        <v>0.34200000000000003</v>
      </c>
      <c r="M62">
        <v>0.73599999999999999</v>
      </c>
      <c r="N62">
        <v>95.4</v>
      </c>
      <c r="O62">
        <v>0.151</v>
      </c>
      <c r="P62">
        <v>2006</v>
      </c>
      <c r="Q62">
        <v>28.2</v>
      </c>
      <c r="R62">
        <v>13.5</v>
      </c>
      <c r="S62">
        <v>7.1</v>
      </c>
      <c r="T62">
        <v>2.2000000000000002</v>
      </c>
      <c r="U62">
        <v>2</v>
      </c>
      <c r="V62">
        <v>17</v>
      </c>
      <c r="W62">
        <f>IF(nba_draft[[#This Row],[years_played]]&gt;5,1,0)</f>
        <v>1</v>
      </c>
    </row>
    <row r="63" spans="1:23" x14ac:dyDescent="0.25">
      <c r="A63">
        <v>9</v>
      </c>
      <c r="B63" t="s">
        <v>34</v>
      </c>
      <c r="C63" t="s">
        <v>1277</v>
      </c>
      <c r="D63" t="s">
        <v>79</v>
      </c>
      <c r="E63">
        <v>11</v>
      </c>
      <c r="F63">
        <v>741</v>
      </c>
      <c r="G63">
        <v>24666</v>
      </c>
      <c r="H63">
        <v>14414</v>
      </c>
      <c r="I63">
        <v>2815</v>
      </c>
      <c r="J63">
        <v>3919</v>
      </c>
      <c r="K63">
        <v>0.41799999999999998</v>
      </c>
      <c r="L63">
        <v>0.36</v>
      </c>
      <c r="M63">
        <v>0.84</v>
      </c>
      <c r="N63">
        <v>59.5</v>
      </c>
      <c r="O63">
        <v>0.11600000000000001</v>
      </c>
      <c r="P63">
        <v>2011</v>
      </c>
      <c r="Q63">
        <v>33.299999999999997</v>
      </c>
      <c r="R63">
        <v>19.5</v>
      </c>
      <c r="S63">
        <v>3.8</v>
      </c>
      <c r="T63">
        <v>5.3</v>
      </c>
      <c r="U63">
        <v>1</v>
      </c>
      <c r="V63">
        <v>9</v>
      </c>
      <c r="W63">
        <f>IF(nba_draft[[#This Row],[years_played]]&gt;5,1,0)</f>
        <v>1</v>
      </c>
    </row>
    <row r="64" spans="1:23" x14ac:dyDescent="0.25">
      <c r="A64">
        <v>15</v>
      </c>
      <c r="B64" t="s">
        <v>70</v>
      </c>
      <c r="C64" t="s">
        <v>910</v>
      </c>
      <c r="D64" t="s">
        <v>97</v>
      </c>
      <c r="E64">
        <v>14</v>
      </c>
      <c r="F64">
        <v>915</v>
      </c>
      <c r="G64">
        <v>26299</v>
      </c>
      <c r="H64">
        <v>14343</v>
      </c>
      <c r="I64">
        <v>7690</v>
      </c>
      <c r="J64">
        <v>1347</v>
      </c>
      <c r="K64">
        <v>0.499</v>
      </c>
      <c r="L64">
        <v>0.121</v>
      </c>
      <c r="M64">
        <v>0.71099999999999997</v>
      </c>
      <c r="N64">
        <v>71</v>
      </c>
      <c r="O64">
        <v>0.13</v>
      </c>
      <c r="P64">
        <v>2004</v>
      </c>
      <c r="Q64">
        <v>28.7</v>
      </c>
      <c r="R64">
        <v>15.7</v>
      </c>
      <c r="S64">
        <v>8.4</v>
      </c>
      <c r="T64">
        <v>1.5</v>
      </c>
      <c r="U64">
        <v>1</v>
      </c>
      <c r="V64">
        <v>15</v>
      </c>
      <c r="W64">
        <f>IF(nba_draft[[#This Row],[years_played]]&gt;5,1,0)</f>
        <v>1</v>
      </c>
    </row>
    <row r="65" spans="1:23" x14ac:dyDescent="0.25">
      <c r="A65">
        <v>1</v>
      </c>
      <c r="B65" t="s">
        <v>863</v>
      </c>
      <c r="C65" t="s">
        <v>1327</v>
      </c>
      <c r="D65" t="s">
        <v>282</v>
      </c>
      <c r="E65">
        <v>10</v>
      </c>
      <c r="F65">
        <v>601</v>
      </c>
      <c r="G65">
        <v>20698</v>
      </c>
      <c r="H65">
        <v>14318</v>
      </c>
      <c r="I65">
        <v>6129</v>
      </c>
      <c r="J65">
        <v>1399</v>
      </c>
      <c r="K65">
        <v>0.51500000000000001</v>
      </c>
      <c r="L65">
        <v>0.30299999999999999</v>
      </c>
      <c r="M65">
        <v>0.79400000000000004</v>
      </c>
      <c r="N65">
        <v>91.5</v>
      </c>
      <c r="O65">
        <v>0.21199999999999999</v>
      </c>
      <c r="P65">
        <v>2012</v>
      </c>
      <c r="Q65">
        <v>34.4</v>
      </c>
      <c r="R65">
        <v>23.8</v>
      </c>
      <c r="S65">
        <v>10.199999999999999</v>
      </c>
      <c r="T65">
        <v>2.2999999999999998</v>
      </c>
      <c r="U65">
        <v>1</v>
      </c>
      <c r="V65">
        <v>1</v>
      </c>
      <c r="W65">
        <f>IF(nba_draft[[#This Row],[years_played]]&gt;5,1,0)</f>
        <v>1</v>
      </c>
    </row>
    <row r="66" spans="1:23" x14ac:dyDescent="0.25">
      <c r="A66">
        <v>2</v>
      </c>
      <c r="B66" t="s">
        <v>34</v>
      </c>
      <c r="C66" t="s">
        <v>213</v>
      </c>
      <c r="D66" t="s">
        <v>146</v>
      </c>
      <c r="E66">
        <v>15</v>
      </c>
      <c r="F66">
        <v>838</v>
      </c>
      <c r="G66">
        <v>25975</v>
      </c>
      <c r="H66">
        <v>14311</v>
      </c>
      <c r="I66">
        <v>7137</v>
      </c>
      <c r="J66">
        <v>946</v>
      </c>
      <c r="K66">
        <v>0.52700000000000002</v>
      </c>
      <c r="L66">
        <v>0.247</v>
      </c>
      <c r="M66">
        <v>0.69199999999999995</v>
      </c>
      <c r="N66">
        <v>89.7</v>
      </c>
      <c r="O66">
        <v>0.16600000000000001</v>
      </c>
      <c r="P66">
        <v>1992</v>
      </c>
      <c r="Q66">
        <v>31</v>
      </c>
      <c r="R66">
        <v>17.100000000000001</v>
      </c>
      <c r="S66">
        <v>8.5</v>
      </c>
      <c r="T66">
        <v>1.1000000000000001</v>
      </c>
      <c r="U66">
        <v>1</v>
      </c>
      <c r="V66">
        <v>2</v>
      </c>
      <c r="W66">
        <f>IF(nba_draft[[#This Row],[years_played]]&gt;5,1,0)</f>
        <v>1</v>
      </c>
    </row>
    <row r="67" spans="1:23" x14ac:dyDescent="0.25">
      <c r="A67">
        <v>1</v>
      </c>
      <c r="B67" t="s">
        <v>43</v>
      </c>
      <c r="C67" t="s">
        <v>1162</v>
      </c>
      <c r="D67" t="s">
        <v>255</v>
      </c>
      <c r="E67">
        <v>12</v>
      </c>
      <c r="F67">
        <v>716</v>
      </c>
      <c r="G67">
        <v>23730</v>
      </c>
      <c r="H67">
        <v>14306</v>
      </c>
      <c r="I67">
        <v>5935</v>
      </c>
      <c r="J67">
        <v>2985</v>
      </c>
      <c r="K67">
        <v>0.49299999999999999</v>
      </c>
      <c r="L67">
        <v>0.32600000000000001</v>
      </c>
      <c r="M67">
        <v>0.69599999999999995</v>
      </c>
      <c r="N67">
        <v>79.2</v>
      </c>
      <c r="O67">
        <v>0.16</v>
      </c>
      <c r="P67">
        <v>2009</v>
      </c>
      <c r="Q67">
        <v>33.1</v>
      </c>
      <c r="R67">
        <v>20</v>
      </c>
      <c r="S67">
        <v>8.3000000000000007</v>
      </c>
      <c r="T67">
        <v>4.2</v>
      </c>
      <c r="U67">
        <v>1</v>
      </c>
      <c r="V67">
        <v>1</v>
      </c>
      <c r="W67">
        <f>IF(nba_draft[[#This Row],[years_played]]&gt;5,1,0)</f>
        <v>1</v>
      </c>
    </row>
    <row r="68" spans="1:23" x14ac:dyDescent="0.25">
      <c r="A68">
        <v>1</v>
      </c>
      <c r="B68" t="s">
        <v>63</v>
      </c>
      <c r="C68" t="s">
        <v>334</v>
      </c>
      <c r="D68" t="s">
        <v>119</v>
      </c>
      <c r="E68">
        <v>11</v>
      </c>
      <c r="F68">
        <v>688</v>
      </c>
      <c r="G68">
        <v>25346</v>
      </c>
      <c r="H68">
        <v>14234</v>
      </c>
      <c r="I68">
        <v>4189</v>
      </c>
      <c r="J68">
        <v>1879</v>
      </c>
      <c r="K68">
        <v>0.45900000000000002</v>
      </c>
      <c r="L68">
        <v>0.34</v>
      </c>
      <c r="M68">
        <v>0.82</v>
      </c>
      <c r="N68">
        <v>39.799999999999997</v>
      </c>
      <c r="O68">
        <v>7.4999999999999997E-2</v>
      </c>
      <c r="P68">
        <v>1994</v>
      </c>
      <c r="Q68">
        <v>36.799999999999997</v>
      </c>
      <c r="R68">
        <v>20.7</v>
      </c>
      <c r="S68">
        <v>6.1</v>
      </c>
      <c r="T68">
        <v>2.7</v>
      </c>
      <c r="U68">
        <v>1</v>
      </c>
      <c r="V68">
        <v>1</v>
      </c>
      <c r="W68">
        <f>IF(nba_draft[[#This Row],[years_played]]&gt;5,1,0)</f>
        <v>1</v>
      </c>
    </row>
    <row r="69" spans="1:23" x14ac:dyDescent="0.25">
      <c r="A69">
        <v>3</v>
      </c>
      <c r="B69" t="s">
        <v>109</v>
      </c>
      <c r="C69" t="s">
        <v>1329</v>
      </c>
      <c r="D69" t="s">
        <v>84</v>
      </c>
      <c r="E69">
        <v>10</v>
      </c>
      <c r="F69">
        <v>645</v>
      </c>
      <c r="G69">
        <v>22418</v>
      </c>
      <c r="H69">
        <v>14231</v>
      </c>
      <c r="I69">
        <v>2641</v>
      </c>
      <c r="J69">
        <v>2701</v>
      </c>
      <c r="K69">
        <v>0.45600000000000002</v>
      </c>
      <c r="L69">
        <v>0.372</v>
      </c>
      <c r="M69">
        <v>0.82099999999999995</v>
      </c>
      <c r="N69">
        <v>49.2</v>
      </c>
      <c r="O69">
        <v>0.105</v>
      </c>
      <c r="P69">
        <v>2012</v>
      </c>
      <c r="Q69">
        <v>34.799999999999997</v>
      </c>
      <c r="R69">
        <v>22.1</v>
      </c>
      <c r="S69">
        <v>4.0999999999999996</v>
      </c>
      <c r="T69">
        <v>4.2</v>
      </c>
      <c r="U69">
        <v>1</v>
      </c>
      <c r="V69">
        <v>3</v>
      </c>
      <c r="W69">
        <f>IF(nba_draft[[#This Row],[years_played]]&gt;5,1,0)</f>
        <v>1</v>
      </c>
    </row>
    <row r="70" spans="1:23" x14ac:dyDescent="0.25">
      <c r="A70">
        <v>10</v>
      </c>
      <c r="B70" t="s">
        <v>90</v>
      </c>
      <c r="C70" t="s">
        <v>344</v>
      </c>
      <c r="D70" t="s">
        <v>69</v>
      </c>
      <c r="E70">
        <v>14</v>
      </c>
      <c r="F70">
        <v>954</v>
      </c>
      <c r="G70">
        <v>32778</v>
      </c>
      <c r="H70">
        <v>14155</v>
      </c>
      <c r="I70">
        <v>3857</v>
      </c>
      <c r="J70">
        <v>2812</v>
      </c>
      <c r="K70">
        <v>0.437</v>
      </c>
      <c r="L70">
        <v>0.373</v>
      </c>
      <c r="M70">
        <v>0.80900000000000005</v>
      </c>
      <c r="N70">
        <v>100.6</v>
      </c>
      <c r="O70">
        <v>0.14699999999999999</v>
      </c>
      <c r="P70">
        <v>1994</v>
      </c>
      <c r="Q70">
        <v>34.4</v>
      </c>
      <c r="R70">
        <v>14.8</v>
      </c>
      <c r="S70">
        <v>4</v>
      </c>
      <c r="T70">
        <v>2.9</v>
      </c>
      <c r="U70">
        <v>1</v>
      </c>
      <c r="V70">
        <v>10</v>
      </c>
      <c r="W70">
        <f>IF(nba_draft[[#This Row],[years_played]]&gt;5,1,0)</f>
        <v>1</v>
      </c>
    </row>
    <row r="71" spans="1:23" x14ac:dyDescent="0.25">
      <c r="A71">
        <v>10</v>
      </c>
      <c r="B71" t="s">
        <v>22</v>
      </c>
      <c r="C71" t="s">
        <v>1117</v>
      </c>
      <c r="D71" t="s">
        <v>226</v>
      </c>
      <c r="E71">
        <v>14</v>
      </c>
      <c r="F71">
        <v>856</v>
      </c>
      <c r="G71">
        <v>25922</v>
      </c>
      <c r="H71">
        <v>14094</v>
      </c>
      <c r="I71">
        <v>5359</v>
      </c>
      <c r="J71">
        <v>1240</v>
      </c>
      <c r="K71">
        <v>0.49399999999999999</v>
      </c>
      <c r="L71">
        <v>0.34</v>
      </c>
      <c r="M71">
        <v>0.79600000000000004</v>
      </c>
      <c r="N71">
        <v>70.900000000000006</v>
      </c>
      <c r="O71">
        <v>0.13100000000000001</v>
      </c>
      <c r="P71">
        <v>2008</v>
      </c>
      <c r="Q71">
        <v>30.3</v>
      </c>
      <c r="R71">
        <v>16.5</v>
      </c>
      <c r="S71">
        <v>6.3</v>
      </c>
      <c r="T71">
        <v>1.4</v>
      </c>
      <c r="U71">
        <v>1</v>
      </c>
      <c r="V71">
        <v>10</v>
      </c>
      <c r="W71">
        <f>IF(nba_draft[[#This Row],[years_played]]&gt;5,1,0)</f>
        <v>1</v>
      </c>
    </row>
    <row r="72" spans="1:23" x14ac:dyDescent="0.25">
      <c r="A72">
        <v>57</v>
      </c>
      <c r="B72" t="s">
        <v>82</v>
      </c>
      <c r="C72" t="s">
        <v>682</v>
      </c>
      <c r="D72" t="s">
        <v>97</v>
      </c>
      <c r="E72">
        <v>16</v>
      </c>
      <c r="F72">
        <v>1057</v>
      </c>
      <c r="G72">
        <v>26859</v>
      </c>
      <c r="H72">
        <v>14043</v>
      </c>
      <c r="I72">
        <v>3697</v>
      </c>
      <c r="J72">
        <v>4001</v>
      </c>
      <c r="K72">
        <v>0.44700000000000001</v>
      </c>
      <c r="L72">
        <v>0.36899999999999999</v>
      </c>
      <c r="M72">
        <v>0.82699999999999996</v>
      </c>
      <c r="N72">
        <v>106.4</v>
      </c>
      <c r="O72">
        <v>0.19</v>
      </c>
      <c r="P72">
        <v>1999</v>
      </c>
      <c r="Q72">
        <v>25.4</v>
      </c>
      <c r="R72">
        <v>13.3</v>
      </c>
      <c r="S72">
        <v>3.5</v>
      </c>
      <c r="T72">
        <v>3.8</v>
      </c>
      <c r="U72">
        <v>2</v>
      </c>
      <c r="V72">
        <v>28</v>
      </c>
      <c r="W72">
        <f>IF(nba_draft[[#This Row],[years_played]]&gt;5,1,0)</f>
        <v>1</v>
      </c>
    </row>
    <row r="73" spans="1:23" x14ac:dyDescent="0.25">
      <c r="A73">
        <v>18</v>
      </c>
      <c r="B73" t="s">
        <v>863</v>
      </c>
      <c r="C73" t="s">
        <v>864</v>
      </c>
      <c r="D73" t="s">
        <v>54</v>
      </c>
      <c r="E73">
        <v>15</v>
      </c>
      <c r="F73">
        <v>1034</v>
      </c>
      <c r="G73">
        <v>29144</v>
      </c>
      <c r="H73">
        <v>14034</v>
      </c>
      <c r="I73">
        <v>6590</v>
      </c>
      <c r="J73">
        <v>2273</v>
      </c>
      <c r="K73">
        <v>0.495</v>
      </c>
      <c r="L73">
        <v>0.26500000000000001</v>
      </c>
      <c r="M73">
        <v>0.81699999999999995</v>
      </c>
      <c r="N73">
        <v>85.9</v>
      </c>
      <c r="O73">
        <v>0.14099999999999999</v>
      </c>
      <c r="P73">
        <v>2003</v>
      </c>
      <c r="Q73">
        <v>28.2</v>
      </c>
      <c r="R73">
        <v>13.6</v>
      </c>
      <c r="S73">
        <v>6.4</v>
      </c>
      <c r="T73">
        <v>2.2000000000000002</v>
      </c>
      <c r="U73">
        <v>1</v>
      </c>
      <c r="V73">
        <v>18</v>
      </c>
      <c r="W73">
        <f>IF(nba_draft[[#This Row],[years_played]]&gt;5,1,0)</f>
        <v>1</v>
      </c>
    </row>
    <row r="74" spans="1:23" x14ac:dyDescent="0.25">
      <c r="A74">
        <v>5</v>
      </c>
      <c r="B74" t="s">
        <v>393</v>
      </c>
      <c r="C74" t="s">
        <v>1111</v>
      </c>
      <c r="D74" t="s">
        <v>113</v>
      </c>
      <c r="E74">
        <v>14</v>
      </c>
      <c r="F74">
        <v>788</v>
      </c>
      <c r="G74">
        <v>24542</v>
      </c>
      <c r="H74">
        <v>14013</v>
      </c>
      <c r="I74">
        <v>8497</v>
      </c>
      <c r="J74">
        <v>1867</v>
      </c>
      <c r="K74">
        <v>0.441</v>
      </c>
      <c r="L74">
        <v>0.372</v>
      </c>
      <c r="M74">
        <v>0.82899999999999996</v>
      </c>
      <c r="N74">
        <v>87.5</v>
      </c>
      <c r="O74">
        <v>0.17100000000000001</v>
      </c>
      <c r="P74">
        <v>2008</v>
      </c>
      <c r="Q74">
        <v>31.1</v>
      </c>
      <c r="R74">
        <v>17.8</v>
      </c>
      <c r="S74">
        <v>10.8</v>
      </c>
      <c r="T74">
        <v>2.4</v>
      </c>
      <c r="U74">
        <v>1</v>
      </c>
      <c r="V74">
        <v>5</v>
      </c>
      <c r="W74">
        <f>IF(nba_draft[[#This Row],[years_played]]&gt;5,1,0)</f>
        <v>1</v>
      </c>
    </row>
    <row r="75" spans="1:23" x14ac:dyDescent="0.25">
      <c r="A75">
        <v>35</v>
      </c>
      <c r="B75" t="s">
        <v>138</v>
      </c>
      <c r="C75" t="s">
        <v>825</v>
      </c>
      <c r="D75" t="s">
        <v>87</v>
      </c>
      <c r="E75">
        <v>13</v>
      </c>
      <c r="F75">
        <v>861</v>
      </c>
      <c r="G75">
        <v>26901</v>
      </c>
      <c r="H75">
        <v>13976</v>
      </c>
      <c r="I75">
        <v>8192</v>
      </c>
      <c r="J75">
        <v>1928</v>
      </c>
      <c r="K75">
        <v>0.52100000000000002</v>
      </c>
      <c r="L75">
        <v>7.0999999999999994E-2</v>
      </c>
      <c r="M75">
        <v>0.72199999999999998</v>
      </c>
      <c r="N75">
        <v>80.3</v>
      </c>
      <c r="O75">
        <v>0.14299999999999999</v>
      </c>
      <c r="P75">
        <v>2002</v>
      </c>
      <c r="Q75">
        <v>31.2</v>
      </c>
      <c r="R75">
        <v>16.2</v>
      </c>
      <c r="S75">
        <v>9.5</v>
      </c>
      <c r="T75">
        <v>2.2000000000000002</v>
      </c>
      <c r="U75">
        <v>2</v>
      </c>
      <c r="V75">
        <v>6</v>
      </c>
      <c r="W75">
        <f>IF(nba_draft[[#This Row],[years_played]]&gt;5,1,0)</f>
        <v>1</v>
      </c>
    </row>
    <row r="76" spans="1:23" x14ac:dyDescent="0.25">
      <c r="A76">
        <v>4</v>
      </c>
      <c r="B76" t="s">
        <v>393</v>
      </c>
      <c r="C76" t="s">
        <v>1059</v>
      </c>
      <c r="D76" t="s">
        <v>216</v>
      </c>
      <c r="E76">
        <v>15</v>
      </c>
      <c r="F76">
        <v>938</v>
      </c>
      <c r="G76">
        <v>30031</v>
      </c>
      <c r="H76">
        <v>13954</v>
      </c>
      <c r="I76">
        <v>2815</v>
      </c>
      <c r="J76">
        <v>5298</v>
      </c>
      <c r="K76">
        <v>0.439</v>
      </c>
      <c r="L76">
        <v>0.38100000000000001</v>
      </c>
      <c r="M76">
        <v>0.82099999999999995</v>
      </c>
      <c r="N76">
        <v>85.3</v>
      </c>
      <c r="O76">
        <v>0.13600000000000001</v>
      </c>
      <c r="P76">
        <v>2007</v>
      </c>
      <c r="Q76">
        <v>32</v>
      </c>
      <c r="R76">
        <v>14.9</v>
      </c>
      <c r="S76">
        <v>3</v>
      </c>
      <c r="T76">
        <v>5.6</v>
      </c>
      <c r="U76">
        <v>1</v>
      </c>
      <c r="V76">
        <v>4</v>
      </c>
      <c r="W76">
        <f>IF(nba_draft[[#This Row],[years_played]]&gt;5,1,0)</f>
        <v>1</v>
      </c>
    </row>
    <row r="77" spans="1:23" x14ac:dyDescent="0.25">
      <c r="A77">
        <v>9</v>
      </c>
      <c r="B77" t="s">
        <v>102</v>
      </c>
      <c r="C77" t="s">
        <v>904</v>
      </c>
      <c r="D77" t="s">
        <v>117</v>
      </c>
      <c r="E77">
        <v>18</v>
      </c>
      <c r="F77">
        <v>1218</v>
      </c>
      <c r="G77">
        <v>39309</v>
      </c>
      <c r="H77">
        <v>13934</v>
      </c>
      <c r="I77">
        <v>6016</v>
      </c>
      <c r="J77">
        <v>5113</v>
      </c>
      <c r="K77">
        <v>0.46300000000000002</v>
      </c>
      <c r="L77">
        <v>0.33100000000000002</v>
      </c>
      <c r="M77">
        <v>0.70899999999999996</v>
      </c>
      <c r="N77">
        <v>100.2</v>
      </c>
      <c r="O77">
        <v>0.122</v>
      </c>
      <c r="P77">
        <v>2004</v>
      </c>
      <c r="Q77">
        <v>32.299999999999997</v>
      </c>
      <c r="R77">
        <v>11.4</v>
      </c>
      <c r="S77">
        <v>4.9000000000000004</v>
      </c>
      <c r="T77">
        <v>4.2</v>
      </c>
      <c r="U77">
        <v>1</v>
      </c>
      <c r="V77">
        <v>9</v>
      </c>
      <c r="W77">
        <f>IF(nba_draft[[#This Row],[years_played]]&gt;5,1,0)</f>
        <v>1</v>
      </c>
    </row>
    <row r="78" spans="1:23" x14ac:dyDescent="0.25">
      <c r="A78">
        <v>3</v>
      </c>
      <c r="B78" t="s">
        <v>104</v>
      </c>
      <c r="C78" t="s">
        <v>948</v>
      </c>
      <c r="D78" t="s">
        <v>36</v>
      </c>
      <c r="E78">
        <v>12</v>
      </c>
      <c r="F78">
        <v>845</v>
      </c>
      <c r="G78">
        <v>28865</v>
      </c>
      <c r="H78">
        <v>13804</v>
      </c>
      <c r="I78">
        <v>2619</v>
      </c>
      <c r="J78">
        <v>6819</v>
      </c>
      <c r="K78">
        <v>0.44500000000000001</v>
      </c>
      <c r="L78">
        <v>0.35699999999999998</v>
      </c>
      <c r="M78">
        <v>0.82199999999999995</v>
      </c>
      <c r="N78">
        <v>77.3</v>
      </c>
      <c r="O78">
        <v>0.129</v>
      </c>
      <c r="P78">
        <v>2005</v>
      </c>
      <c r="Q78">
        <v>34.200000000000003</v>
      </c>
      <c r="R78">
        <v>16.3</v>
      </c>
      <c r="S78">
        <v>3.1</v>
      </c>
      <c r="T78">
        <v>8.1</v>
      </c>
      <c r="U78">
        <v>1</v>
      </c>
      <c r="V78">
        <v>3</v>
      </c>
      <c r="W78">
        <f>IF(nba_draft[[#This Row],[years_played]]&gt;5,1,0)</f>
        <v>1</v>
      </c>
    </row>
    <row r="79" spans="1:23" x14ac:dyDescent="0.25">
      <c r="A79">
        <v>15</v>
      </c>
      <c r="B79" t="s">
        <v>63</v>
      </c>
      <c r="C79" t="s">
        <v>1402</v>
      </c>
      <c r="D79" t="s">
        <v>97</v>
      </c>
      <c r="E79">
        <v>9</v>
      </c>
      <c r="F79">
        <v>638</v>
      </c>
      <c r="G79">
        <v>20754</v>
      </c>
      <c r="H79">
        <v>13762</v>
      </c>
      <c r="I79">
        <v>5922</v>
      </c>
      <c r="J79">
        <v>2928</v>
      </c>
      <c r="K79">
        <v>0.53300000000000003</v>
      </c>
      <c r="L79">
        <v>0.28999999999999998</v>
      </c>
      <c r="M79">
        <v>0.71799999999999997</v>
      </c>
      <c r="N79">
        <v>84.4</v>
      </c>
      <c r="O79">
        <v>0.19500000000000001</v>
      </c>
      <c r="P79">
        <v>2013</v>
      </c>
      <c r="Q79">
        <v>32.5</v>
      </c>
      <c r="R79">
        <v>21.6</v>
      </c>
      <c r="S79">
        <v>9.3000000000000007</v>
      </c>
      <c r="T79">
        <v>4.5999999999999996</v>
      </c>
      <c r="U79">
        <v>1</v>
      </c>
      <c r="V79">
        <v>15</v>
      </c>
      <c r="W79">
        <f>IF(nba_draft[[#This Row],[years_played]]&gt;5,1,0)</f>
        <v>1</v>
      </c>
    </row>
    <row r="80" spans="1:23" x14ac:dyDescent="0.25">
      <c r="A80">
        <v>12</v>
      </c>
      <c r="B80" t="s">
        <v>102</v>
      </c>
      <c r="C80" t="s">
        <v>1067</v>
      </c>
      <c r="D80" t="s">
        <v>33</v>
      </c>
      <c r="E80">
        <v>15</v>
      </c>
      <c r="F80">
        <v>1061</v>
      </c>
      <c r="G80">
        <v>31336</v>
      </c>
      <c r="H80">
        <v>13698</v>
      </c>
      <c r="I80">
        <v>6239</v>
      </c>
      <c r="J80">
        <v>1960</v>
      </c>
      <c r="K80">
        <v>0.502</v>
      </c>
      <c r="L80">
        <v>0.33</v>
      </c>
      <c r="M80">
        <v>0.66500000000000004</v>
      </c>
      <c r="N80">
        <v>67.7</v>
      </c>
      <c r="O80">
        <v>0.104</v>
      </c>
      <c r="P80">
        <v>2007</v>
      </c>
      <c r="Q80">
        <v>29.5</v>
      </c>
      <c r="R80">
        <v>12.9</v>
      </c>
      <c r="S80">
        <v>5.9</v>
      </c>
      <c r="T80">
        <v>1.8</v>
      </c>
      <c r="U80">
        <v>1</v>
      </c>
      <c r="V80">
        <v>12</v>
      </c>
      <c r="W80">
        <f>IF(nba_draft[[#This Row],[years_played]]&gt;5,1,0)</f>
        <v>1</v>
      </c>
    </row>
    <row r="81" spans="1:23" x14ac:dyDescent="0.25">
      <c r="A81">
        <v>14</v>
      </c>
      <c r="B81" t="s">
        <v>40</v>
      </c>
      <c r="C81" t="s">
        <v>466</v>
      </c>
      <c r="D81" t="s">
        <v>97</v>
      </c>
      <c r="E81">
        <v>13</v>
      </c>
      <c r="F81">
        <v>804</v>
      </c>
      <c r="G81">
        <v>26966</v>
      </c>
      <c r="H81">
        <v>13647</v>
      </c>
      <c r="I81">
        <v>3782</v>
      </c>
      <c r="J81">
        <v>1408</v>
      </c>
      <c r="K81">
        <v>0.45</v>
      </c>
      <c r="L81">
        <v>0.40100000000000002</v>
      </c>
      <c r="M81">
        <v>0.89500000000000002</v>
      </c>
      <c r="N81">
        <v>82.6</v>
      </c>
      <c r="O81">
        <v>0.14699999999999999</v>
      </c>
      <c r="P81">
        <v>1996</v>
      </c>
      <c r="Q81">
        <v>33.5</v>
      </c>
      <c r="R81">
        <v>17</v>
      </c>
      <c r="S81">
        <v>4.7</v>
      </c>
      <c r="T81">
        <v>1.8</v>
      </c>
      <c r="U81">
        <v>1</v>
      </c>
      <c r="V81">
        <v>14</v>
      </c>
      <c r="W81">
        <f>IF(nba_draft[[#This Row],[years_played]]&gt;5,1,0)</f>
        <v>1</v>
      </c>
    </row>
    <row r="82" spans="1:23" x14ac:dyDescent="0.25">
      <c r="A82">
        <v>1</v>
      </c>
      <c r="B82" t="s">
        <v>138</v>
      </c>
      <c r="C82" t="s">
        <v>1269</v>
      </c>
      <c r="D82" t="s">
        <v>87</v>
      </c>
      <c r="E82">
        <v>11</v>
      </c>
      <c r="F82">
        <v>596</v>
      </c>
      <c r="G82">
        <v>20220</v>
      </c>
      <c r="H82">
        <v>13631</v>
      </c>
      <c r="I82">
        <v>2279</v>
      </c>
      <c r="J82">
        <v>3411</v>
      </c>
      <c r="K82">
        <v>0.46899999999999997</v>
      </c>
      <c r="L82">
        <v>0.39100000000000001</v>
      </c>
      <c r="M82">
        <v>0.88200000000000001</v>
      </c>
      <c r="N82">
        <v>69.8</v>
      </c>
      <c r="O82">
        <v>0.16600000000000001</v>
      </c>
      <c r="P82">
        <v>2011</v>
      </c>
      <c r="Q82">
        <v>33.9</v>
      </c>
      <c r="R82">
        <v>22.9</v>
      </c>
      <c r="S82">
        <v>3.8</v>
      </c>
      <c r="T82">
        <v>5.7</v>
      </c>
      <c r="U82">
        <v>1</v>
      </c>
      <c r="V82">
        <v>1</v>
      </c>
      <c r="W82">
        <f>IF(nba_draft[[#This Row],[years_played]]&gt;5,1,0)</f>
        <v>1</v>
      </c>
    </row>
    <row r="83" spans="1:23" x14ac:dyDescent="0.25">
      <c r="A83">
        <v>3</v>
      </c>
      <c r="B83" t="s">
        <v>34</v>
      </c>
      <c r="C83" t="s">
        <v>631</v>
      </c>
      <c r="D83" t="s">
        <v>113</v>
      </c>
      <c r="E83">
        <v>13</v>
      </c>
      <c r="F83">
        <v>835</v>
      </c>
      <c r="G83">
        <v>28592</v>
      </c>
      <c r="H83">
        <v>13447</v>
      </c>
      <c r="I83">
        <v>3183</v>
      </c>
      <c r="J83">
        <v>6025</v>
      </c>
      <c r="K83">
        <v>0.40899999999999997</v>
      </c>
      <c r="L83">
        <v>0.32</v>
      </c>
      <c r="M83">
        <v>0.71099999999999997</v>
      </c>
      <c r="N83">
        <v>63.1</v>
      </c>
      <c r="O83">
        <v>0.106</v>
      </c>
      <c r="P83">
        <v>1999</v>
      </c>
      <c r="Q83">
        <v>34.200000000000003</v>
      </c>
      <c r="R83">
        <v>16.100000000000001</v>
      </c>
      <c r="S83">
        <v>3.8</v>
      </c>
      <c r="T83">
        <v>7.2</v>
      </c>
      <c r="U83">
        <v>1</v>
      </c>
      <c r="V83">
        <v>3</v>
      </c>
      <c r="W83">
        <f>IF(nba_draft[[#This Row],[years_played]]&gt;5,1,0)</f>
        <v>1</v>
      </c>
    </row>
    <row r="84" spans="1:23" x14ac:dyDescent="0.25">
      <c r="A84">
        <v>5</v>
      </c>
      <c r="B84" t="s">
        <v>46</v>
      </c>
      <c r="C84" t="s">
        <v>147</v>
      </c>
      <c r="D84" t="s">
        <v>148</v>
      </c>
      <c r="E84">
        <v>14</v>
      </c>
      <c r="F84">
        <v>942</v>
      </c>
      <c r="G84">
        <v>28855</v>
      </c>
      <c r="H84">
        <v>13430</v>
      </c>
      <c r="I84">
        <v>3060</v>
      </c>
      <c r="J84">
        <v>2922</v>
      </c>
      <c r="K84">
        <v>0.44</v>
      </c>
      <c r="L84">
        <v>0.35799999999999998</v>
      </c>
      <c r="M84">
        <v>0.84499999999999997</v>
      </c>
      <c r="N84">
        <v>83.7</v>
      </c>
      <c r="O84">
        <v>0.13900000000000001</v>
      </c>
      <c r="P84">
        <v>1991</v>
      </c>
      <c r="Q84">
        <v>30.6</v>
      </c>
      <c r="R84">
        <v>14.3</v>
      </c>
      <c r="S84">
        <v>3.2</v>
      </c>
      <c r="T84">
        <v>3.1</v>
      </c>
      <c r="U84">
        <v>1</v>
      </c>
      <c r="V84">
        <v>5</v>
      </c>
      <c r="W84">
        <f>IF(nba_draft[[#This Row],[years_played]]&gt;5,1,0)</f>
        <v>1</v>
      </c>
    </row>
    <row r="85" spans="1:23" x14ac:dyDescent="0.25">
      <c r="A85">
        <v>7</v>
      </c>
      <c r="B85" t="s">
        <v>75</v>
      </c>
      <c r="C85" t="s">
        <v>902</v>
      </c>
      <c r="D85" t="s">
        <v>87</v>
      </c>
      <c r="E85">
        <v>15</v>
      </c>
      <c r="F85">
        <v>902</v>
      </c>
      <c r="G85">
        <v>30941</v>
      </c>
      <c r="H85">
        <v>13361</v>
      </c>
      <c r="I85">
        <v>5468</v>
      </c>
      <c r="J85">
        <v>2042</v>
      </c>
      <c r="K85">
        <v>0.45600000000000002</v>
      </c>
      <c r="L85">
        <v>0.33200000000000002</v>
      </c>
      <c r="M85">
        <v>0.76900000000000002</v>
      </c>
      <c r="N85">
        <v>74</v>
      </c>
      <c r="O85">
        <v>0.115</v>
      </c>
      <c r="P85">
        <v>2004</v>
      </c>
      <c r="Q85">
        <v>34.299999999999997</v>
      </c>
      <c r="R85">
        <v>14.8</v>
      </c>
      <c r="S85">
        <v>6.1</v>
      </c>
      <c r="T85">
        <v>2.2999999999999998</v>
      </c>
      <c r="U85">
        <v>1</v>
      </c>
      <c r="V85">
        <v>7</v>
      </c>
      <c r="W85">
        <f>IF(nba_draft[[#This Row],[years_played]]&gt;5,1,0)</f>
        <v>1</v>
      </c>
    </row>
    <row r="86" spans="1:23" x14ac:dyDescent="0.25">
      <c r="A86">
        <v>17</v>
      </c>
      <c r="B86" t="s">
        <v>85</v>
      </c>
      <c r="C86" t="s">
        <v>470</v>
      </c>
      <c r="D86" t="s">
        <v>97</v>
      </c>
      <c r="E86">
        <v>18</v>
      </c>
      <c r="F86">
        <v>1011</v>
      </c>
      <c r="G86">
        <v>27364</v>
      </c>
      <c r="H86">
        <v>13309</v>
      </c>
      <c r="I86">
        <v>7261</v>
      </c>
      <c r="J86">
        <v>1369</v>
      </c>
      <c r="K86">
        <v>0.46700000000000003</v>
      </c>
      <c r="L86">
        <v>0.14699999999999999</v>
      </c>
      <c r="M86">
        <v>0.71499999999999997</v>
      </c>
      <c r="N86">
        <v>66</v>
      </c>
      <c r="O86">
        <v>0.11600000000000001</v>
      </c>
      <c r="P86">
        <v>1996</v>
      </c>
      <c r="Q86">
        <v>27.1</v>
      </c>
      <c r="R86">
        <v>13.2</v>
      </c>
      <c r="S86">
        <v>7.2</v>
      </c>
      <c r="T86">
        <v>1.4</v>
      </c>
      <c r="U86">
        <v>1</v>
      </c>
      <c r="V86">
        <v>17</v>
      </c>
      <c r="W86">
        <f>IF(nba_draft[[#This Row],[years_played]]&gt;5,1,0)</f>
        <v>1</v>
      </c>
    </row>
    <row r="87" spans="1:23" x14ac:dyDescent="0.25">
      <c r="A87">
        <v>25</v>
      </c>
      <c r="B87" t="s">
        <v>127</v>
      </c>
      <c r="C87" t="s">
        <v>591</v>
      </c>
      <c r="D87" t="s">
        <v>97</v>
      </c>
      <c r="E87">
        <v>16</v>
      </c>
      <c r="F87">
        <v>981</v>
      </c>
      <c r="G87">
        <v>28009</v>
      </c>
      <c r="H87">
        <v>13237</v>
      </c>
      <c r="I87">
        <v>5482</v>
      </c>
      <c r="J87">
        <v>1649</v>
      </c>
      <c r="K87">
        <v>0.44400000000000001</v>
      </c>
      <c r="L87">
        <v>0.35199999999999998</v>
      </c>
      <c r="M87">
        <v>0.72699999999999998</v>
      </c>
      <c r="N87">
        <v>42.5</v>
      </c>
      <c r="O87">
        <v>7.2999999999999995E-2</v>
      </c>
      <c r="P87">
        <v>1998</v>
      </c>
      <c r="Q87">
        <v>28.6</v>
      </c>
      <c r="R87">
        <v>13.5</v>
      </c>
      <c r="S87">
        <v>5.6</v>
      </c>
      <c r="T87">
        <v>1.7</v>
      </c>
      <c r="U87">
        <v>1</v>
      </c>
      <c r="V87">
        <v>25</v>
      </c>
      <c r="W87">
        <f>IF(nba_draft[[#This Row],[years_played]]&gt;5,1,0)</f>
        <v>1</v>
      </c>
    </row>
    <row r="88" spans="1:23" x14ac:dyDescent="0.25">
      <c r="A88">
        <v>13</v>
      </c>
      <c r="B88" t="s">
        <v>28</v>
      </c>
      <c r="C88" t="s">
        <v>348</v>
      </c>
      <c r="D88" t="s">
        <v>51</v>
      </c>
      <c r="E88">
        <v>13</v>
      </c>
      <c r="F88">
        <v>923</v>
      </c>
      <c r="G88">
        <v>27925</v>
      </c>
      <c r="H88">
        <v>13220</v>
      </c>
      <c r="I88">
        <v>3193</v>
      </c>
      <c r="J88">
        <v>3527</v>
      </c>
      <c r="K88">
        <v>0.443</v>
      </c>
      <c r="L88">
        <v>0.35499999999999998</v>
      </c>
      <c r="M88">
        <v>0.80100000000000005</v>
      </c>
      <c r="N88">
        <v>47.2</v>
      </c>
      <c r="O88">
        <v>8.1000000000000003E-2</v>
      </c>
      <c r="P88">
        <v>1994</v>
      </c>
      <c r="Q88">
        <v>30.3</v>
      </c>
      <c r="R88">
        <v>14.3</v>
      </c>
      <c r="S88">
        <v>3.5</v>
      </c>
      <c r="T88">
        <v>3.8</v>
      </c>
      <c r="U88">
        <v>1</v>
      </c>
      <c r="V88">
        <v>13</v>
      </c>
      <c r="W88">
        <f>IF(nba_draft[[#This Row],[years_played]]&gt;5,1,0)</f>
        <v>1</v>
      </c>
    </row>
    <row r="89" spans="1:23" x14ac:dyDescent="0.25">
      <c r="A89">
        <v>17</v>
      </c>
      <c r="B89" t="s">
        <v>102</v>
      </c>
      <c r="C89" t="s">
        <v>1179</v>
      </c>
      <c r="D89" t="s">
        <v>113</v>
      </c>
      <c r="E89">
        <v>13</v>
      </c>
      <c r="F89">
        <v>819</v>
      </c>
      <c r="G89">
        <v>27163</v>
      </c>
      <c r="H89">
        <v>13212</v>
      </c>
      <c r="I89">
        <v>3276</v>
      </c>
      <c r="J89">
        <v>5225</v>
      </c>
      <c r="K89">
        <v>0.46</v>
      </c>
      <c r="L89">
        <v>0.36099999999999999</v>
      </c>
      <c r="M89">
        <v>0.77700000000000002</v>
      </c>
      <c r="N89">
        <v>54.5</v>
      </c>
      <c r="O89">
        <v>9.6000000000000002E-2</v>
      </c>
      <c r="P89">
        <v>2009</v>
      </c>
      <c r="Q89">
        <v>33.200000000000003</v>
      </c>
      <c r="R89">
        <v>16.100000000000001</v>
      </c>
      <c r="S89">
        <v>4</v>
      </c>
      <c r="T89">
        <v>6.4</v>
      </c>
      <c r="U89">
        <v>1</v>
      </c>
      <c r="V89">
        <v>17</v>
      </c>
      <c r="W89">
        <f>IF(nba_draft[[#This Row],[years_played]]&gt;5,1,0)</f>
        <v>1</v>
      </c>
    </row>
    <row r="90" spans="1:23" x14ac:dyDescent="0.25">
      <c r="A90">
        <v>13</v>
      </c>
      <c r="B90" t="s">
        <v>25</v>
      </c>
      <c r="C90" t="s">
        <v>643</v>
      </c>
      <c r="D90" t="s">
        <v>87</v>
      </c>
      <c r="E90">
        <v>14</v>
      </c>
      <c r="F90">
        <v>827</v>
      </c>
      <c r="G90">
        <v>23358</v>
      </c>
      <c r="H90">
        <v>13198</v>
      </c>
      <c r="I90">
        <v>4022</v>
      </c>
      <c r="J90">
        <v>1696</v>
      </c>
      <c r="K90">
        <v>0.45300000000000001</v>
      </c>
      <c r="L90">
        <v>0.32400000000000001</v>
      </c>
      <c r="M90">
        <v>0.82199999999999995</v>
      </c>
      <c r="N90">
        <v>62.2</v>
      </c>
      <c r="O90">
        <v>0.128</v>
      </c>
      <c r="P90">
        <v>1999</v>
      </c>
      <c r="Q90">
        <v>28.2</v>
      </c>
      <c r="R90">
        <v>16</v>
      </c>
      <c r="S90">
        <v>4.9000000000000004</v>
      </c>
      <c r="T90">
        <v>2.1</v>
      </c>
      <c r="U90">
        <v>1</v>
      </c>
      <c r="V90">
        <v>13</v>
      </c>
      <c r="W90">
        <f>IF(nba_draft[[#This Row],[years_played]]&gt;5,1,0)</f>
        <v>1</v>
      </c>
    </row>
    <row r="91" spans="1:23" x14ac:dyDescent="0.25">
      <c r="A91">
        <v>5</v>
      </c>
      <c r="B91" t="s">
        <v>70</v>
      </c>
      <c r="C91" t="s">
        <v>1060</v>
      </c>
      <c r="D91" t="s">
        <v>146</v>
      </c>
      <c r="E91">
        <v>14</v>
      </c>
      <c r="F91">
        <v>1030</v>
      </c>
      <c r="G91">
        <v>29939</v>
      </c>
      <c r="H91">
        <v>13084</v>
      </c>
      <c r="I91">
        <v>4441</v>
      </c>
      <c r="J91">
        <v>1596</v>
      </c>
      <c r="K91">
        <v>0.44700000000000001</v>
      </c>
      <c r="L91">
        <v>0.34</v>
      </c>
      <c r="M91">
        <v>0.80500000000000005</v>
      </c>
      <c r="N91">
        <v>49.2</v>
      </c>
      <c r="O91">
        <v>7.9000000000000001E-2</v>
      </c>
      <c r="P91">
        <v>2007</v>
      </c>
      <c r="Q91">
        <v>29.1</v>
      </c>
      <c r="R91">
        <v>12.7</v>
      </c>
      <c r="S91">
        <v>4.3</v>
      </c>
      <c r="T91">
        <v>1.5</v>
      </c>
      <c r="U91">
        <v>1</v>
      </c>
      <c r="V91">
        <v>5</v>
      </c>
      <c r="W91">
        <f>IF(nba_draft[[#This Row],[years_played]]&gt;5,1,0)</f>
        <v>1</v>
      </c>
    </row>
    <row r="92" spans="1:23" x14ac:dyDescent="0.25">
      <c r="A92">
        <v>16</v>
      </c>
      <c r="B92" t="s">
        <v>95</v>
      </c>
      <c r="C92" t="s">
        <v>645</v>
      </c>
      <c r="D92" t="s">
        <v>77</v>
      </c>
      <c r="E92">
        <v>17</v>
      </c>
      <c r="F92">
        <v>991</v>
      </c>
      <c r="G92">
        <v>31440</v>
      </c>
      <c r="H92">
        <v>13058</v>
      </c>
      <c r="I92">
        <v>4448</v>
      </c>
      <c r="J92">
        <v>2631</v>
      </c>
      <c r="K92">
        <v>0.41399999999999998</v>
      </c>
      <c r="L92">
        <v>0.33900000000000002</v>
      </c>
      <c r="M92">
        <v>0.71499999999999997</v>
      </c>
      <c r="N92">
        <v>61.1</v>
      </c>
      <c r="O92">
        <v>9.2999999999999999E-2</v>
      </c>
      <c r="P92">
        <v>1999</v>
      </c>
      <c r="Q92">
        <v>31.7</v>
      </c>
      <c r="R92">
        <v>13.2</v>
      </c>
      <c r="S92">
        <v>4.5</v>
      </c>
      <c r="T92">
        <v>2.7</v>
      </c>
      <c r="U92">
        <v>1</v>
      </c>
      <c r="V92">
        <v>16</v>
      </c>
      <c r="W92">
        <f>IF(nba_draft[[#This Row],[years_played]]&gt;5,1,0)</f>
        <v>1</v>
      </c>
    </row>
    <row r="93" spans="1:23" x14ac:dyDescent="0.25">
      <c r="A93">
        <v>17</v>
      </c>
      <c r="B93" t="s">
        <v>49</v>
      </c>
      <c r="C93" t="s">
        <v>913</v>
      </c>
      <c r="D93" t="s">
        <v>97</v>
      </c>
      <c r="E93">
        <v>13</v>
      </c>
      <c r="F93">
        <v>894</v>
      </c>
      <c r="G93">
        <v>29000</v>
      </c>
      <c r="H93">
        <v>12996</v>
      </c>
      <c r="I93">
        <v>6653</v>
      </c>
      <c r="J93">
        <v>2789</v>
      </c>
      <c r="K93">
        <v>0.45200000000000001</v>
      </c>
      <c r="L93">
        <v>0.28499999999999998</v>
      </c>
      <c r="M93">
        <v>0.63200000000000001</v>
      </c>
      <c r="N93">
        <v>51</v>
      </c>
      <c r="O93">
        <v>8.4000000000000005E-2</v>
      </c>
      <c r="P93">
        <v>2004</v>
      </c>
      <c r="Q93">
        <v>32.4</v>
      </c>
      <c r="R93">
        <v>14.5</v>
      </c>
      <c r="S93">
        <v>7.4</v>
      </c>
      <c r="T93">
        <v>3.1</v>
      </c>
      <c r="U93">
        <v>1</v>
      </c>
      <c r="V93">
        <v>17</v>
      </c>
      <c r="W93">
        <f>IF(nba_draft[[#This Row],[years_played]]&gt;5,1,0)</f>
        <v>1</v>
      </c>
    </row>
    <row r="94" spans="1:23" x14ac:dyDescent="0.25">
      <c r="A94">
        <v>42</v>
      </c>
      <c r="B94" t="s">
        <v>75</v>
      </c>
      <c r="C94" t="s">
        <v>553</v>
      </c>
      <c r="D94" t="s">
        <v>554</v>
      </c>
      <c r="E94">
        <v>14</v>
      </c>
      <c r="F94">
        <v>858</v>
      </c>
      <c r="G94">
        <v>27398</v>
      </c>
      <c r="H94">
        <v>12976</v>
      </c>
      <c r="I94">
        <v>3328</v>
      </c>
      <c r="J94">
        <v>2634</v>
      </c>
      <c r="K94">
        <v>0.41399999999999998</v>
      </c>
      <c r="L94">
        <v>0.33300000000000002</v>
      </c>
      <c r="M94">
        <v>0.79800000000000004</v>
      </c>
      <c r="N94">
        <v>36.1</v>
      </c>
      <c r="O94">
        <v>6.3E-2</v>
      </c>
      <c r="P94">
        <v>1997</v>
      </c>
      <c r="Q94">
        <v>31.9</v>
      </c>
      <c r="R94">
        <v>15.1</v>
      </c>
      <c r="S94">
        <v>3.9</v>
      </c>
      <c r="T94">
        <v>3.1</v>
      </c>
      <c r="U94">
        <v>2</v>
      </c>
      <c r="V94">
        <v>14</v>
      </c>
      <c r="W94">
        <f>IF(nba_draft[[#This Row],[years_played]]&gt;5,1,0)</f>
        <v>1</v>
      </c>
    </row>
    <row r="95" spans="1:23" x14ac:dyDescent="0.25">
      <c r="A95">
        <v>5</v>
      </c>
      <c r="B95" t="s">
        <v>34</v>
      </c>
      <c r="C95" t="s">
        <v>35</v>
      </c>
      <c r="D95" t="s">
        <v>36</v>
      </c>
      <c r="E95">
        <v>15</v>
      </c>
      <c r="F95">
        <v>966</v>
      </c>
      <c r="G95">
        <v>29481</v>
      </c>
      <c r="H95">
        <v>12914</v>
      </c>
      <c r="I95">
        <v>4002</v>
      </c>
      <c r="J95">
        <v>2945</v>
      </c>
      <c r="K95">
        <v>0.434</v>
      </c>
      <c r="L95">
        <v>0.3</v>
      </c>
      <c r="M95">
        <v>0.754</v>
      </c>
      <c r="N95">
        <v>47.8</v>
      </c>
      <c r="O95">
        <v>7.8E-2</v>
      </c>
      <c r="P95">
        <v>1990</v>
      </c>
      <c r="Q95">
        <v>30.5</v>
      </c>
      <c r="R95">
        <v>13.4</v>
      </c>
      <c r="S95">
        <v>4.0999999999999996</v>
      </c>
      <c r="T95">
        <v>3</v>
      </c>
      <c r="U95">
        <v>1</v>
      </c>
      <c r="V95">
        <v>5</v>
      </c>
      <c r="W95">
        <f>IF(nba_draft[[#This Row],[years_played]]&gt;5,1,0)</f>
        <v>1</v>
      </c>
    </row>
    <row r="96" spans="1:23" x14ac:dyDescent="0.25">
      <c r="A96">
        <v>1</v>
      </c>
      <c r="B96" t="s">
        <v>22</v>
      </c>
      <c r="C96" t="s">
        <v>23</v>
      </c>
      <c r="D96" t="s">
        <v>24</v>
      </c>
      <c r="E96">
        <v>15</v>
      </c>
      <c r="F96">
        <v>781</v>
      </c>
      <c r="G96">
        <v>25903</v>
      </c>
      <c r="H96">
        <v>12884</v>
      </c>
      <c r="I96">
        <v>7232</v>
      </c>
      <c r="J96">
        <v>1985</v>
      </c>
      <c r="K96">
        <v>0.44700000000000001</v>
      </c>
      <c r="L96">
        <v>0.29499999999999998</v>
      </c>
      <c r="M96">
        <v>0.76900000000000002</v>
      </c>
      <c r="N96">
        <v>64.3</v>
      </c>
      <c r="O96">
        <v>0.11899999999999999</v>
      </c>
      <c r="P96">
        <v>1990</v>
      </c>
      <c r="Q96">
        <v>33.200000000000003</v>
      </c>
      <c r="R96">
        <v>16.5</v>
      </c>
      <c r="S96">
        <v>9.3000000000000007</v>
      </c>
      <c r="T96">
        <v>2.5</v>
      </c>
      <c r="U96">
        <v>1</v>
      </c>
      <c r="V96">
        <v>1</v>
      </c>
      <c r="W96">
        <f>IF(nba_draft[[#This Row],[years_played]]&gt;5,1,0)</f>
        <v>1</v>
      </c>
    </row>
    <row r="97" spans="1:23" x14ac:dyDescent="0.25">
      <c r="A97">
        <v>3</v>
      </c>
      <c r="B97" t="s">
        <v>49</v>
      </c>
      <c r="C97" t="s">
        <v>1058</v>
      </c>
      <c r="D97" t="s">
        <v>84</v>
      </c>
      <c r="E97">
        <v>15</v>
      </c>
      <c r="F97">
        <v>932</v>
      </c>
      <c r="G97">
        <v>30034</v>
      </c>
      <c r="H97">
        <v>12802</v>
      </c>
      <c r="I97">
        <v>7625</v>
      </c>
      <c r="J97">
        <v>3085</v>
      </c>
      <c r="K97">
        <v>0.51400000000000001</v>
      </c>
      <c r="L97">
        <v>0.35699999999999998</v>
      </c>
      <c r="M97">
        <v>0.75800000000000001</v>
      </c>
      <c r="N97">
        <v>97.9</v>
      </c>
      <c r="O97">
        <v>0.156</v>
      </c>
      <c r="P97">
        <v>2007</v>
      </c>
      <c r="Q97">
        <v>32.200000000000003</v>
      </c>
      <c r="R97">
        <v>13.7</v>
      </c>
      <c r="S97">
        <v>8.1999999999999993</v>
      </c>
      <c r="T97">
        <v>3.3</v>
      </c>
      <c r="U97">
        <v>1</v>
      </c>
      <c r="V97">
        <v>3</v>
      </c>
      <c r="W97">
        <f>IF(nba_draft[[#This Row],[years_played]]&gt;5,1,0)</f>
        <v>1</v>
      </c>
    </row>
    <row r="98" spans="1:23" x14ac:dyDescent="0.25">
      <c r="A98">
        <v>4</v>
      </c>
      <c r="B98" t="s">
        <v>43</v>
      </c>
      <c r="C98" t="s">
        <v>632</v>
      </c>
      <c r="D98" t="s">
        <v>612</v>
      </c>
      <c r="E98">
        <v>14</v>
      </c>
      <c r="F98">
        <v>961</v>
      </c>
      <c r="G98">
        <v>32131</v>
      </c>
      <c r="H98">
        <v>12781</v>
      </c>
      <c r="I98">
        <v>8059</v>
      </c>
      <c r="J98">
        <v>3554</v>
      </c>
      <c r="K98">
        <v>0.46300000000000002</v>
      </c>
      <c r="L98">
        <v>0.312</v>
      </c>
      <c r="M98">
        <v>0.69299999999999995</v>
      </c>
      <c r="N98">
        <v>77</v>
      </c>
      <c r="O98">
        <v>0.115</v>
      </c>
      <c r="P98">
        <v>1999</v>
      </c>
      <c r="Q98">
        <v>33.4</v>
      </c>
      <c r="R98">
        <v>13.3</v>
      </c>
      <c r="S98">
        <v>8.4</v>
      </c>
      <c r="T98">
        <v>3.7</v>
      </c>
      <c r="U98">
        <v>1</v>
      </c>
      <c r="V98">
        <v>4</v>
      </c>
      <c r="W98">
        <f>IF(nba_draft[[#This Row],[years_played]]&gt;5,1,0)</f>
        <v>1</v>
      </c>
    </row>
    <row r="99" spans="1:23" x14ac:dyDescent="0.25">
      <c r="A99">
        <v>4</v>
      </c>
      <c r="B99" t="s">
        <v>149</v>
      </c>
      <c r="C99" t="s">
        <v>215</v>
      </c>
      <c r="D99" t="s">
        <v>216</v>
      </c>
      <c r="E99">
        <v>14</v>
      </c>
      <c r="F99">
        <v>885</v>
      </c>
      <c r="G99">
        <v>29067</v>
      </c>
      <c r="H99">
        <v>12690</v>
      </c>
      <c r="I99">
        <v>4152</v>
      </c>
      <c r="J99">
        <v>2851</v>
      </c>
      <c r="K99">
        <v>0.42799999999999999</v>
      </c>
      <c r="L99">
        <v>0.36499999999999999</v>
      </c>
      <c r="M99">
        <v>0.82499999999999996</v>
      </c>
      <c r="N99">
        <v>35.799999999999997</v>
      </c>
      <c r="O99">
        <v>5.8999999999999997E-2</v>
      </c>
      <c r="P99">
        <v>1992</v>
      </c>
      <c r="Q99">
        <v>32.799999999999997</v>
      </c>
      <c r="R99">
        <v>14.3</v>
      </c>
      <c r="S99">
        <v>4.7</v>
      </c>
      <c r="T99">
        <v>3.2</v>
      </c>
      <c r="U99">
        <v>1</v>
      </c>
      <c r="V99">
        <v>4</v>
      </c>
      <c r="W99">
        <f>IF(nba_draft[[#This Row],[years_played]]&gt;5,1,0)</f>
        <v>1</v>
      </c>
    </row>
    <row r="100" spans="1:23" x14ac:dyDescent="0.25">
      <c r="A100">
        <v>37</v>
      </c>
      <c r="B100" t="s">
        <v>90</v>
      </c>
      <c r="C100" t="s">
        <v>323</v>
      </c>
      <c r="D100" t="s">
        <v>310</v>
      </c>
      <c r="E100">
        <v>13</v>
      </c>
      <c r="F100">
        <v>880</v>
      </c>
      <c r="G100">
        <v>28969</v>
      </c>
      <c r="H100">
        <v>12658</v>
      </c>
      <c r="I100">
        <v>2545</v>
      </c>
      <c r="J100">
        <v>5777</v>
      </c>
      <c r="K100">
        <v>0.40500000000000003</v>
      </c>
      <c r="L100">
        <v>0.35699999999999998</v>
      </c>
      <c r="M100">
        <v>0.79400000000000004</v>
      </c>
      <c r="N100">
        <v>55.9</v>
      </c>
      <c r="O100">
        <v>9.2999999999999999E-2</v>
      </c>
      <c r="P100">
        <v>1993</v>
      </c>
      <c r="Q100">
        <v>32.9</v>
      </c>
      <c r="R100">
        <v>14.4</v>
      </c>
      <c r="S100">
        <v>2.9</v>
      </c>
      <c r="T100">
        <v>6.6</v>
      </c>
      <c r="U100">
        <v>2</v>
      </c>
      <c r="V100">
        <v>10</v>
      </c>
      <c r="W100">
        <f>IF(nba_draft[[#This Row],[years_played]]&gt;5,1,0)</f>
        <v>1</v>
      </c>
    </row>
    <row r="101" spans="1:23" x14ac:dyDescent="0.25">
      <c r="A101">
        <v>5</v>
      </c>
      <c r="B101" t="s">
        <v>40</v>
      </c>
      <c r="C101" t="s">
        <v>1221</v>
      </c>
      <c r="D101" t="s">
        <v>282</v>
      </c>
      <c r="E101">
        <v>11</v>
      </c>
      <c r="F101">
        <v>631</v>
      </c>
      <c r="G101">
        <v>19183</v>
      </c>
      <c r="H101">
        <v>12575</v>
      </c>
      <c r="I101">
        <v>6542</v>
      </c>
      <c r="J101">
        <v>1935</v>
      </c>
      <c r="K101">
        <v>0.45900000000000002</v>
      </c>
      <c r="L101">
        <v>0.33</v>
      </c>
      <c r="M101">
        <v>0.73699999999999999</v>
      </c>
      <c r="N101">
        <v>46</v>
      </c>
      <c r="O101">
        <v>0.115</v>
      </c>
      <c r="P101">
        <v>2010</v>
      </c>
      <c r="Q101">
        <v>30.4</v>
      </c>
      <c r="R101">
        <v>19.899999999999999</v>
      </c>
      <c r="S101">
        <v>10.4</v>
      </c>
      <c r="T101">
        <v>3.1</v>
      </c>
      <c r="U101">
        <v>1</v>
      </c>
      <c r="V101">
        <v>5</v>
      </c>
      <c r="W101">
        <f>IF(nba_draft[[#This Row],[years_played]]&gt;5,1,0)</f>
        <v>1</v>
      </c>
    </row>
    <row r="102" spans="1:23" x14ac:dyDescent="0.25">
      <c r="A102">
        <v>48</v>
      </c>
      <c r="B102" t="s">
        <v>90</v>
      </c>
      <c r="C102" t="s">
        <v>1100</v>
      </c>
      <c r="D102" t="s">
        <v>97</v>
      </c>
      <c r="E102">
        <v>13</v>
      </c>
      <c r="F102">
        <v>891</v>
      </c>
      <c r="G102">
        <v>28719</v>
      </c>
      <c r="H102">
        <v>12514</v>
      </c>
      <c r="I102">
        <v>6604</v>
      </c>
      <c r="J102">
        <v>2996</v>
      </c>
      <c r="K102">
        <v>0.48099999999999998</v>
      </c>
      <c r="L102">
        <v>0.36</v>
      </c>
      <c r="M102">
        <v>0.77600000000000002</v>
      </c>
      <c r="N102">
        <v>85.3</v>
      </c>
      <c r="O102">
        <v>0.14299999999999999</v>
      </c>
      <c r="P102">
        <v>2007</v>
      </c>
      <c r="Q102">
        <v>32.200000000000003</v>
      </c>
      <c r="R102">
        <v>14</v>
      </c>
      <c r="S102">
        <v>7.4</v>
      </c>
      <c r="T102">
        <v>3.4</v>
      </c>
      <c r="U102">
        <v>2</v>
      </c>
      <c r="V102">
        <v>18</v>
      </c>
      <c r="W102">
        <f>IF(nba_draft[[#This Row],[years_played]]&gt;5,1,0)</f>
        <v>1</v>
      </c>
    </row>
    <row r="103" spans="1:23" x14ac:dyDescent="0.25">
      <c r="A103">
        <v>10</v>
      </c>
      <c r="B103" t="s">
        <v>46</v>
      </c>
      <c r="C103" t="s">
        <v>800</v>
      </c>
      <c r="D103" t="s">
        <v>79</v>
      </c>
      <c r="E103">
        <v>14</v>
      </c>
      <c r="F103">
        <v>881</v>
      </c>
      <c r="G103">
        <v>28333</v>
      </c>
      <c r="H103">
        <v>12430</v>
      </c>
      <c r="I103">
        <v>4387</v>
      </c>
      <c r="J103">
        <v>2007</v>
      </c>
      <c r="K103">
        <v>0.434</v>
      </c>
      <c r="L103">
        <v>0.34799999999999998</v>
      </c>
      <c r="M103">
        <v>0.84699999999999998</v>
      </c>
      <c r="N103">
        <v>50.9</v>
      </c>
      <c r="O103">
        <v>8.5999999999999993E-2</v>
      </c>
      <c r="P103">
        <v>2002</v>
      </c>
      <c r="Q103">
        <v>32.200000000000003</v>
      </c>
      <c r="R103">
        <v>14.1</v>
      </c>
      <c r="S103">
        <v>5</v>
      </c>
      <c r="T103">
        <v>2.2999999999999998</v>
      </c>
      <c r="U103">
        <v>1</v>
      </c>
      <c r="V103">
        <v>10</v>
      </c>
      <c r="W103">
        <f>IF(nba_draft[[#This Row],[years_played]]&gt;5,1,0)</f>
        <v>1</v>
      </c>
    </row>
    <row r="104" spans="1:23" x14ac:dyDescent="0.25">
      <c r="A104">
        <v>26</v>
      </c>
      <c r="B104" t="s">
        <v>40</v>
      </c>
      <c r="C104" t="s">
        <v>923</v>
      </c>
      <c r="D104" t="s">
        <v>431</v>
      </c>
      <c r="E104">
        <v>12</v>
      </c>
      <c r="F104">
        <v>714</v>
      </c>
      <c r="G104">
        <v>21559</v>
      </c>
      <c r="H104">
        <v>12396</v>
      </c>
      <c r="I104">
        <v>2278</v>
      </c>
      <c r="J104">
        <v>1352</v>
      </c>
      <c r="K104">
        <v>0.437</v>
      </c>
      <c r="L104">
        <v>0.38400000000000001</v>
      </c>
      <c r="M104">
        <v>0.87</v>
      </c>
      <c r="N104">
        <v>61.3</v>
      </c>
      <c r="O104">
        <v>0.13700000000000001</v>
      </c>
      <c r="P104">
        <v>2004</v>
      </c>
      <c r="Q104">
        <v>30.2</v>
      </c>
      <c r="R104">
        <v>17.399999999999999</v>
      </c>
      <c r="S104">
        <v>3.2</v>
      </c>
      <c r="T104">
        <v>1.9</v>
      </c>
      <c r="U104">
        <v>1</v>
      </c>
      <c r="V104">
        <v>26</v>
      </c>
      <c r="W104">
        <f>IF(nba_draft[[#This Row],[years_played]]&gt;5,1,0)</f>
        <v>1</v>
      </c>
    </row>
    <row r="105" spans="1:23" x14ac:dyDescent="0.25">
      <c r="A105">
        <v>11</v>
      </c>
      <c r="B105" t="s">
        <v>52</v>
      </c>
      <c r="C105" t="s">
        <v>1279</v>
      </c>
      <c r="D105" t="s">
        <v>487</v>
      </c>
      <c r="E105">
        <v>9</v>
      </c>
      <c r="F105">
        <v>631</v>
      </c>
      <c r="G105">
        <v>20744</v>
      </c>
      <c r="H105">
        <v>12268</v>
      </c>
      <c r="I105">
        <v>2190</v>
      </c>
      <c r="J105">
        <v>1465</v>
      </c>
      <c r="K105">
        <v>0.45800000000000002</v>
      </c>
      <c r="L105">
        <v>0.41799999999999998</v>
      </c>
      <c r="M105">
        <v>0.84899999999999998</v>
      </c>
      <c r="N105">
        <v>47.8</v>
      </c>
      <c r="O105">
        <v>0.11</v>
      </c>
      <c r="P105">
        <v>2011</v>
      </c>
      <c r="Q105">
        <v>32.9</v>
      </c>
      <c r="R105">
        <v>19.399999999999999</v>
      </c>
      <c r="S105">
        <v>3.5</v>
      </c>
      <c r="T105">
        <v>2.2999999999999998</v>
      </c>
      <c r="U105">
        <v>1</v>
      </c>
      <c r="V105">
        <v>11</v>
      </c>
      <c r="W105">
        <f>IF(nba_draft[[#This Row],[years_played]]&gt;5,1,0)</f>
        <v>1</v>
      </c>
    </row>
    <row r="106" spans="1:23" x14ac:dyDescent="0.25">
      <c r="A106">
        <v>1</v>
      </c>
      <c r="B106" t="s">
        <v>95</v>
      </c>
      <c r="C106" t="s">
        <v>1107</v>
      </c>
      <c r="D106" t="s">
        <v>196</v>
      </c>
      <c r="E106">
        <v>13</v>
      </c>
      <c r="F106">
        <v>672</v>
      </c>
      <c r="G106">
        <v>21317</v>
      </c>
      <c r="H106">
        <v>12230</v>
      </c>
      <c r="I106">
        <v>2239</v>
      </c>
      <c r="J106">
        <v>3646</v>
      </c>
      <c r="K106">
        <v>0.45700000000000002</v>
      </c>
      <c r="L106">
        <v>0.316</v>
      </c>
      <c r="M106">
        <v>0.83</v>
      </c>
      <c r="N106">
        <v>44.2</v>
      </c>
      <c r="O106">
        <v>0.1</v>
      </c>
      <c r="P106">
        <v>2008</v>
      </c>
      <c r="Q106">
        <v>31.7</v>
      </c>
      <c r="R106">
        <v>18.2</v>
      </c>
      <c r="S106">
        <v>3.3</v>
      </c>
      <c r="T106">
        <v>5.4</v>
      </c>
      <c r="U106">
        <v>1</v>
      </c>
      <c r="V106">
        <v>1</v>
      </c>
      <c r="W106">
        <f>IF(nba_draft[[#This Row],[years_played]]&gt;5,1,0)</f>
        <v>1</v>
      </c>
    </row>
    <row r="107" spans="1:23" x14ac:dyDescent="0.25">
      <c r="A107">
        <v>2</v>
      </c>
      <c r="B107" t="s">
        <v>43</v>
      </c>
      <c r="C107" t="s">
        <v>389</v>
      </c>
      <c r="D107" t="s">
        <v>228</v>
      </c>
      <c r="E107">
        <v>15</v>
      </c>
      <c r="F107">
        <v>1015</v>
      </c>
      <c r="G107">
        <v>28053</v>
      </c>
      <c r="H107">
        <v>12227</v>
      </c>
      <c r="I107">
        <v>7638</v>
      </c>
      <c r="J107">
        <v>1300</v>
      </c>
      <c r="K107">
        <v>0.497</v>
      </c>
      <c r="L107">
        <v>0.11700000000000001</v>
      </c>
      <c r="M107">
        <v>0.67</v>
      </c>
      <c r="N107">
        <v>69.8</v>
      </c>
      <c r="O107">
        <v>0.11899999999999999</v>
      </c>
      <c r="P107">
        <v>1995</v>
      </c>
      <c r="Q107">
        <v>27.6</v>
      </c>
      <c r="R107">
        <v>12</v>
      </c>
      <c r="S107">
        <v>7.5</v>
      </c>
      <c r="T107">
        <v>1.3</v>
      </c>
      <c r="U107">
        <v>1</v>
      </c>
      <c r="V107">
        <v>2</v>
      </c>
      <c r="W107">
        <f>IF(nba_draft[[#This Row],[years_played]]&gt;5,1,0)</f>
        <v>1</v>
      </c>
    </row>
    <row r="108" spans="1:23" x14ac:dyDescent="0.25">
      <c r="A108">
        <v>16</v>
      </c>
      <c r="B108" t="s">
        <v>102</v>
      </c>
      <c r="C108" t="s">
        <v>1284</v>
      </c>
      <c r="D108" t="s">
        <v>230</v>
      </c>
      <c r="E108">
        <v>11</v>
      </c>
      <c r="F108">
        <v>720</v>
      </c>
      <c r="G108">
        <v>22214</v>
      </c>
      <c r="H108">
        <v>12210</v>
      </c>
      <c r="I108">
        <v>7536</v>
      </c>
      <c r="J108">
        <v>1990</v>
      </c>
      <c r="K108">
        <v>0.49399999999999999</v>
      </c>
      <c r="L108">
        <v>0.35099999999999998</v>
      </c>
      <c r="M108">
        <v>0.75600000000000001</v>
      </c>
      <c r="N108">
        <v>58.5</v>
      </c>
      <c r="O108">
        <v>0.126</v>
      </c>
      <c r="P108">
        <v>2011</v>
      </c>
      <c r="Q108">
        <v>30.9</v>
      </c>
      <c r="R108">
        <v>17</v>
      </c>
      <c r="S108">
        <v>10.5</v>
      </c>
      <c r="T108">
        <v>2.8</v>
      </c>
      <c r="U108">
        <v>1</v>
      </c>
      <c r="V108">
        <v>16</v>
      </c>
      <c r="W108">
        <f>IF(nba_draft[[#This Row],[years_played]]&gt;5,1,0)</f>
        <v>1</v>
      </c>
    </row>
    <row r="109" spans="1:23" x14ac:dyDescent="0.25">
      <c r="A109">
        <v>7</v>
      </c>
      <c r="B109" t="s">
        <v>43</v>
      </c>
      <c r="C109" t="s">
        <v>1113</v>
      </c>
      <c r="D109" t="s">
        <v>285</v>
      </c>
      <c r="E109">
        <v>14</v>
      </c>
      <c r="F109">
        <v>739</v>
      </c>
      <c r="G109">
        <v>23982</v>
      </c>
      <c r="H109">
        <v>12169</v>
      </c>
      <c r="I109">
        <v>1793</v>
      </c>
      <c r="J109">
        <v>2107</v>
      </c>
      <c r="K109">
        <v>0.42799999999999999</v>
      </c>
      <c r="L109">
        <v>0.37</v>
      </c>
      <c r="M109">
        <v>0.81</v>
      </c>
      <c r="N109">
        <v>36.299999999999997</v>
      </c>
      <c r="O109">
        <v>7.2999999999999995E-2</v>
      </c>
      <c r="P109">
        <v>2008</v>
      </c>
      <c r="Q109">
        <v>32.5</v>
      </c>
      <c r="R109">
        <v>16.5</v>
      </c>
      <c r="S109">
        <v>2.4</v>
      </c>
      <c r="T109">
        <v>2.9</v>
      </c>
      <c r="U109">
        <v>1</v>
      </c>
      <c r="V109">
        <v>7</v>
      </c>
      <c r="W109">
        <f>IF(nba_draft[[#This Row],[years_played]]&gt;5,1,0)</f>
        <v>1</v>
      </c>
    </row>
    <row r="110" spans="1:23" x14ac:dyDescent="0.25">
      <c r="A110">
        <v>18</v>
      </c>
      <c r="B110" t="s">
        <v>863</v>
      </c>
      <c r="C110" t="s">
        <v>914</v>
      </c>
      <c r="D110" t="s">
        <v>97</v>
      </c>
      <c r="E110">
        <v>16</v>
      </c>
      <c r="F110">
        <v>977</v>
      </c>
      <c r="G110">
        <v>26275</v>
      </c>
      <c r="H110">
        <v>12148</v>
      </c>
      <c r="I110">
        <v>3073</v>
      </c>
      <c r="J110">
        <v>2077</v>
      </c>
      <c r="K110">
        <v>0.41899999999999998</v>
      </c>
      <c r="L110">
        <v>0.373</v>
      </c>
      <c r="M110">
        <v>0.73299999999999998</v>
      </c>
      <c r="N110">
        <v>46.3</v>
      </c>
      <c r="O110">
        <v>8.4000000000000005E-2</v>
      </c>
      <c r="P110">
        <v>2004</v>
      </c>
      <c r="Q110">
        <v>26.9</v>
      </c>
      <c r="R110">
        <v>12.4</v>
      </c>
      <c r="S110">
        <v>3.1</v>
      </c>
      <c r="T110">
        <v>2.1</v>
      </c>
      <c r="U110">
        <v>1</v>
      </c>
      <c r="V110">
        <v>18</v>
      </c>
      <c r="W110">
        <f>IF(nba_draft[[#This Row],[years_played]]&gt;5,1,0)</f>
        <v>1</v>
      </c>
    </row>
    <row r="111" spans="1:23" x14ac:dyDescent="0.25">
      <c r="A111">
        <v>45</v>
      </c>
      <c r="B111" t="s">
        <v>82</v>
      </c>
      <c r="C111" t="s">
        <v>1154</v>
      </c>
      <c r="D111" t="s">
        <v>97</v>
      </c>
      <c r="E111">
        <v>14</v>
      </c>
      <c r="F111">
        <v>872</v>
      </c>
      <c r="G111">
        <v>24326</v>
      </c>
      <c r="H111">
        <v>12086</v>
      </c>
      <c r="I111">
        <v>2684</v>
      </c>
      <c r="J111">
        <v>4177</v>
      </c>
      <c r="K111">
        <v>0.46200000000000002</v>
      </c>
      <c r="L111">
        <v>0.36399999999999999</v>
      </c>
      <c r="M111">
        <v>0.76700000000000002</v>
      </c>
      <c r="N111">
        <v>56.2</v>
      </c>
      <c r="O111">
        <v>0.111</v>
      </c>
      <c r="P111">
        <v>2008</v>
      </c>
      <c r="Q111">
        <v>27.9</v>
      </c>
      <c r="R111">
        <v>13.9</v>
      </c>
      <c r="S111">
        <v>3.1</v>
      </c>
      <c r="T111">
        <v>4.8</v>
      </c>
      <c r="U111">
        <v>2</v>
      </c>
      <c r="V111">
        <v>15</v>
      </c>
      <c r="W111">
        <f>IF(nba_draft[[#This Row],[years_played]]&gt;5,1,0)</f>
        <v>1</v>
      </c>
    </row>
    <row r="112" spans="1:23" x14ac:dyDescent="0.25">
      <c r="A112">
        <v>11</v>
      </c>
      <c r="B112" t="s">
        <v>31</v>
      </c>
      <c r="C112" t="s">
        <v>1013</v>
      </c>
      <c r="D112" t="s">
        <v>87</v>
      </c>
      <c r="E112">
        <v>15</v>
      </c>
      <c r="F112">
        <v>940</v>
      </c>
      <c r="G112">
        <v>23964</v>
      </c>
      <c r="H112">
        <v>12028</v>
      </c>
      <c r="I112">
        <v>1903</v>
      </c>
      <c r="J112">
        <v>1862</v>
      </c>
      <c r="K112">
        <v>0.44700000000000001</v>
      </c>
      <c r="L112">
        <v>0.41499999999999998</v>
      </c>
      <c r="M112">
        <v>0.89200000000000002</v>
      </c>
      <c r="N112">
        <v>63.7</v>
      </c>
      <c r="O112">
        <v>0.128</v>
      </c>
      <c r="P112">
        <v>2006</v>
      </c>
      <c r="Q112">
        <v>25.5</v>
      </c>
      <c r="R112">
        <v>12.8</v>
      </c>
      <c r="S112">
        <v>2</v>
      </c>
      <c r="T112">
        <v>2</v>
      </c>
      <c r="U112">
        <v>1</v>
      </c>
      <c r="V112">
        <v>11</v>
      </c>
      <c r="W112">
        <f>IF(nba_draft[[#This Row],[years_played]]&gt;5,1,0)</f>
        <v>1</v>
      </c>
    </row>
    <row r="113" spans="1:23" x14ac:dyDescent="0.25">
      <c r="A113">
        <v>43</v>
      </c>
      <c r="B113" t="s">
        <v>63</v>
      </c>
      <c r="C113" t="s">
        <v>728</v>
      </c>
      <c r="D113" t="s">
        <v>216</v>
      </c>
      <c r="E113">
        <v>12</v>
      </c>
      <c r="F113">
        <v>629</v>
      </c>
      <c r="G113">
        <v>20104</v>
      </c>
      <c r="H113">
        <v>11972</v>
      </c>
      <c r="I113">
        <v>2411</v>
      </c>
      <c r="J113">
        <v>1338</v>
      </c>
      <c r="K113">
        <v>0.44700000000000001</v>
      </c>
      <c r="L113">
        <v>0.38</v>
      </c>
      <c r="M113">
        <v>0.83799999999999997</v>
      </c>
      <c r="N113">
        <v>55.9</v>
      </c>
      <c r="O113">
        <v>0.13400000000000001</v>
      </c>
      <c r="P113">
        <v>2000</v>
      </c>
      <c r="Q113">
        <v>32</v>
      </c>
      <c r="R113">
        <v>19</v>
      </c>
      <c r="S113">
        <v>3.8</v>
      </c>
      <c r="T113">
        <v>2.1</v>
      </c>
      <c r="U113">
        <v>2</v>
      </c>
      <c r="V113">
        <v>14</v>
      </c>
      <c r="W113">
        <f>IF(nba_draft[[#This Row],[years_played]]&gt;5,1,0)</f>
        <v>1</v>
      </c>
    </row>
    <row r="114" spans="1:23" x14ac:dyDescent="0.25">
      <c r="A114">
        <v>19</v>
      </c>
      <c r="B114" t="s">
        <v>34</v>
      </c>
      <c r="C114" t="s">
        <v>1287</v>
      </c>
      <c r="D114" t="s">
        <v>293</v>
      </c>
      <c r="E114">
        <v>11</v>
      </c>
      <c r="F114">
        <v>729</v>
      </c>
      <c r="G114">
        <v>22807</v>
      </c>
      <c r="H114">
        <v>11970</v>
      </c>
      <c r="I114">
        <v>4523</v>
      </c>
      <c r="J114">
        <v>1655</v>
      </c>
      <c r="K114">
        <v>0.47599999999999998</v>
      </c>
      <c r="L114">
        <v>0.36599999999999999</v>
      </c>
      <c r="M114">
        <v>0.82899999999999996</v>
      </c>
      <c r="N114">
        <v>56.9</v>
      </c>
      <c r="O114">
        <v>0.12</v>
      </c>
      <c r="P114">
        <v>2011</v>
      </c>
      <c r="Q114">
        <v>31.3</v>
      </c>
      <c r="R114">
        <v>16.399999999999999</v>
      </c>
      <c r="S114">
        <v>6.2</v>
      </c>
      <c r="T114">
        <v>2.2999999999999998</v>
      </c>
      <c r="U114">
        <v>1</v>
      </c>
      <c r="V114">
        <v>19</v>
      </c>
      <c r="W114">
        <f>IF(nba_draft[[#This Row],[years_played]]&gt;5,1,0)</f>
        <v>1</v>
      </c>
    </row>
    <row r="115" spans="1:23" x14ac:dyDescent="0.25">
      <c r="A115">
        <v>41</v>
      </c>
      <c r="B115" t="s">
        <v>55</v>
      </c>
      <c r="C115" t="s">
        <v>611</v>
      </c>
      <c r="D115" t="s">
        <v>612</v>
      </c>
      <c r="E115">
        <v>11</v>
      </c>
      <c r="F115">
        <v>747</v>
      </c>
      <c r="G115">
        <v>27618</v>
      </c>
      <c r="H115">
        <v>11964</v>
      </c>
      <c r="I115">
        <v>2902</v>
      </c>
      <c r="J115">
        <v>2015</v>
      </c>
      <c r="K115">
        <v>0.433</v>
      </c>
      <c r="L115">
        <v>0.378</v>
      </c>
      <c r="M115">
        <v>0.83499999999999996</v>
      </c>
      <c r="N115">
        <v>52.2</v>
      </c>
      <c r="O115">
        <v>9.0999999999999998E-2</v>
      </c>
      <c r="P115">
        <v>1998</v>
      </c>
      <c r="Q115">
        <v>37</v>
      </c>
      <c r="R115">
        <v>16</v>
      </c>
      <c r="S115">
        <v>3.9</v>
      </c>
      <c r="T115">
        <v>2.7</v>
      </c>
      <c r="U115">
        <v>2</v>
      </c>
      <c r="V115">
        <v>12</v>
      </c>
      <c r="W115">
        <f>IF(nba_draft[[#This Row],[years_played]]&gt;5,1,0)</f>
        <v>1</v>
      </c>
    </row>
    <row r="116" spans="1:23" x14ac:dyDescent="0.25">
      <c r="A116">
        <v>51</v>
      </c>
      <c r="B116" t="s">
        <v>22</v>
      </c>
      <c r="C116" t="s">
        <v>893</v>
      </c>
      <c r="D116" t="s">
        <v>188</v>
      </c>
      <c r="E116">
        <v>17</v>
      </c>
      <c r="F116">
        <v>1232</v>
      </c>
      <c r="G116">
        <v>31183</v>
      </c>
      <c r="H116">
        <v>11953</v>
      </c>
      <c r="I116">
        <v>3643</v>
      </c>
      <c r="J116">
        <v>2114</v>
      </c>
      <c r="K116">
        <v>0.442</v>
      </c>
      <c r="L116">
        <v>0.42899999999999999</v>
      </c>
      <c r="M116">
        <v>0.877</v>
      </c>
      <c r="N116">
        <v>73.400000000000006</v>
      </c>
      <c r="O116">
        <v>0.113</v>
      </c>
      <c r="P116">
        <v>2003</v>
      </c>
      <c r="Q116">
        <v>25.3</v>
      </c>
      <c r="R116">
        <v>9.6999999999999993</v>
      </c>
      <c r="S116">
        <v>3</v>
      </c>
      <c r="T116">
        <v>1.7</v>
      </c>
      <c r="U116">
        <v>2</v>
      </c>
      <c r="V116">
        <v>22</v>
      </c>
      <c r="W116">
        <f>IF(nba_draft[[#This Row],[years_played]]&gt;5,1,0)</f>
        <v>1</v>
      </c>
    </row>
    <row r="117" spans="1:23" x14ac:dyDescent="0.25">
      <c r="A117">
        <v>30</v>
      </c>
      <c r="B117" t="s">
        <v>95</v>
      </c>
      <c r="C117" t="s">
        <v>1300</v>
      </c>
      <c r="D117" t="s">
        <v>137</v>
      </c>
      <c r="E117">
        <v>11</v>
      </c>
      <c r="F117">
        <v>673</v>
      </c>
      <c r="G117">
        <v>22306</v>
      </c>
      <c r="H117">
        <v>11873</v>
      </c>
      <c r="I117">
        <v>3579</v>
      </c>
      <c r="J117">
        <v>2764</v>
      </c>
      <c r="K117">
        <v>0.45900000000000002</v>
      </c>
      <c r="L117">
        <v>0.32100000000000001</v>
      </c>
      <c r="M117">
        <v>0.84199999999999997</v>
      </c>
      <c r="N117">
        <v>91.5</v>
      </c>
      <c r="O117">
        <v>0.19700000000000001</v>
      </c>
      <c r="P117">
        <v>2011</v>
      </c>
      <c r="Q117">
        <v>33.1</v>
      </c>
      <c r="R117">
        <v>17.600000000000001</v>
      </c>
      <c r="S117">
        <v>5.3</v>
      </c>
      <c r="T117">
        <v>4.0999999999999996</v>
      </c>
      <c r="U117">
        <v>1</v>
      </c>
      <c r="V117">
        <v>30</v>
      </c>
      <c r="W117">
        <f>IF(nba_draft[[#This Row],[years_played]]&gt;5,1,0)</f>
        <v>1</v>
      </c>
    </row>
    <row r="118" spans="1:23" x14ac:dyDescent="0.25">
      <c r="A118">
        <v>8</v>
      </c>
      <c r="B118" t="s">
        <v>63</v>
      </c>
      <c r="C118" t="s">
        <v>287</v>
      </c>
      <c r="D118" t="s">
        <v>288</v>
      </c>
      <c r="E118">
        <v>13</v>
      </c>
      <c r="F118">
        <v>791</v>
      </c>
      <c r="G118">
        <v>25737</v>
      </c>
      <c r="H118">
        <v>11839</v>
      </c>
      <c r="I118">
        <v>5867</v>
      </c>
      <c r="J118">
        <v>1509</v>
      </c>
      <c r="K118">
        <v>0.48499999999999999</v>
      </c>
      <c r="L118">
        <v>0.215</v>
      </c>
      <c r="M118">
        <v>0.63800000000000001</v>
      </c>
      <c r="N118">
        <v>47</v>
      </c>
      <c r="O118">
        <v>8.7999999999999995E-2</v>
      </c>
      <c r="P118">
        <v>1993</v>
      </c>
      <c r="Q118">
        <v>32.5</v>
      </c>
      <c r="R118">
        <v>15</v>
      </c>
      <c r="S118">
        <v>7.4</v>
      </c>
      <c r="T118">
        <v>1.9</v>
      </c>
      <c r="U118">
        <v>1</v>
      </c>
      <c r="V118">
        <v>8</v>
      </c>
      <c r="W118">
        <f>IF(nba_draft[[#This Row],[years_played]]&gt;5,1,0)</f>
        <v>1</v>
      </c>
    </row>
    <row r="119" spans="1:23" x14ac:dyDescent="0.25">
      <c r="A119">
        <v>7</v>
      </c>
      <c r="B119" t="s">
        <v>395</v>
      </c>
      <c r="C119" t="s">
        <v>396</v>
      </c>
      <c r="D119" t="s">
        <v>117</v>
      </c>
      <c r="E119">
        <v>13</v>
      </c>
      <c r="F119">
        <v>878</v>
      </c>
      <c r="G119">
        <v>29106</v>
      </c>
      <c r="H119">
        <v>11763</v>
      </c>
      <c r="I119">
        <v>3039</v>
      </c>
      <c r="J119">
        <v>5371</v>
      </c>
      <c r="K119">
        <v>0.40600000000000003</v>
      </c>
      <c r="L119">
        <v>0.35699999999999998</v>
      </c>
      <c r="M119">
        <v>0.83299999999999996</v>
      </c>
      <c r="N119">
        <v>55.4</v>
      </c>
      <c r="O119">
        <v>9.0999999999999998E-2</v>
      </c>
      <c r="P119">
        <v>1995</v>
      </c>
      <c r="Q119">
        <v>33.200000000000003</v>
      </c>
      <c r="R119">
        <v>13.4</v>
      </c>
      <c r="S119">
        <v>3.5</v>
      </c>
      <c r="T119">
        <v>6.1</v>
      </c>
      <c r="U119">
        <v>1</v>
      </c>
      <c r="V119">
        <v>7</v>
      </c>
      <c r="W119">
        <f>IF(nba_draft[[#This Row],[years_played]]&gt;5,1,0)</f>
        <v>1</v>
      </c>
    </row>
    <row r="120" spans="1:23" x14ac:dyDescent="0.25">
      <c r="A120">
        <v>4</v>
      </c>
      <c r="B120" t="s">
        <v>28</v>
      </c>
      <c r="C120" t="s">
        <v>145</v>
      </c>
      <c r="D120" t="s">
        <v>146</v>
      </c>
      <c r="E120">
        <v>18</v>
      </c>
      <c r="F120">
        <v>1196</v>
      </c>
      <c r="G120">
        <v>36791</v>
      </c>
      <c r="H120">
        <v>11729</v>
      </c>
      <c r="I120">
        <v>12359</v>
      </c>
      <c r="J120">
        <v>1240</v>
      </c>
      <c r="K120">
        <v>0.51800000000000002</v>
      </c>
      <c r="L120">
        <v>0</v>
      </c>
      <c r="M120">
        <v>0.68400000000000005</v>
      </c>
      <c r="N120">
        <v>117</v>
      </c>
      <c r="O120">
        <v>0.153</v>
      </c>
      <c r="P120">
        <v>1991</v>
      </c>
      <c r="Q120">
        <v>30.8</v>
      </c>
      <c r="R120">
        <v>9.8000000000000007</v>
      </c>
      <c r="S120">
        <v>10.3</v>
      </c>
      <c r="T120">
        <v>1</v>
      </c>
      <c r="U120">
        <v>1</v>
      </c>
      <c r="V120">
        <v>4</v>
      </c>
      <c r="W120">
        <f>IF(nba_draft[[#This Row],[years_played]]&gt;5,1,0)</f>
        <v>1</v>
      </c>
    </row>
    <row r="121" spans="1:23" x14ac:dyDescent="0.25">
      <c r="A121">
        <v>1</v>
      </c>
      <c r="B121" t="s">
        <v>109</v>
      </c>
      <c r="C121" t="s">
        <v>1217</v>
      </c>
      <c r="D121" t="s">
        <v>282</v>
      </c>
      <c r="E121">
        <v>10</v>
      </c>
      <c r="F121">
        <v>613</v>
      </c>
      <c r="G121">
        <v>21833</v>
      </c>
      <c r="H121">
        <v>11702</v>
      </c>
      <c r="I121">
        <v>2612</v>
      </c>
      <c r="J121">
        <v>5557</v>
      </c>
      <c r="K121">
        <v>0.43099999999999999</v>
      </c>
      <c r="L121">
        <v>0.32300000000000001</v>
      </c>
      <c r="M121">
        <v>0.77900000000000003</v>
      </c>
      <c r="N121">
        <v>44.1</v>
      </c>
      <c r="O121">
        <v>9.7000000000000003E-2</v>
      </c>
      <c r="P121">
        <v>2010</v>
      </c>
      <c r="Q121">
        <v>35.6</v>
      </c>
      <c r="R121">
        <v>19.100000000000001</v>
      </c>
      <c r="S121">
        <v>4.3</v>
      </c>
      <c r="T121">
        <v>9.1</v>
      </c>
      <c r="U121">
        <v>1</v>
      </c>
      <c r="V121">
        <v>1</v>
      </c>
      <c r="W121">
        <f>IF(nba_draft[[#This Row],[years_played]]&gt;5,1,0)</f>
        <v>1</v>
      </c>
    </row>
    <row r="122" spans="1:23" x14ac:dyDescent="0.25">
      <c r="A122">
        <v>4</v>
      </c>
      <c r="B122" t="s">
        <v>149</v>
      </c>
      <c r="C122" t="s">
        <v>281</v>
      </c>
      <c r="D122" t="s">
        <v>282</v>
      </c>
      <c r="E122">
        <v>11</v>
      </c>
      <c r="F122">
        <v>611</v>
      </c>
      <c r="G122">
        <v>22762</v>
      </c>
      <c r="H122">
        <v>11644</v>
      </c>
      <c r="I122">
        <v>3271</v>
      </c>
      <c r="J122">
        <v>2414</v>
      </c>
      <c r="K122">
        <v>0.41799999999999998</v>
      </c>
      <c r="L122">
        <v>0.34499999999999997</v>
      </c>
      <c r="M122">
        <v>0.76600000000000001</v>
      </c>
      <c r="N122">
        <v>43.7</v>
      </c>
      <c r="O122">
        <v>9.1999999999999998E-2</v>
      </c>
      <c r="P122">
        <v>1993</v>
      </c>
      <c r="Q122">
        <v>37.299999999999997</v>
      </c>
      <c r="R122">
        <v>19.100000000000001</v>
      </c>
      <c r="S122">
        <v>5.4</v>
      </c>
      <c r="T122">
        <v>4</v>
      </c>
      <c r="U122">
        <v>1</v>
      </c>
      <c r="V122">
        <v>4</v>
      </c>
      <c r="W122">
        <f>IF(nba_draft[[#This Row],[years_played]]&gt;5,1,0)</f>
        <v>1</v>
      </c>
    </row>
    <row r="123" spans="1:23" x14ac:dyDescent="0.25">
      <c r="A123">
        <v>43</v>
      </c>
      <c r="B123" t="s">
        <v>65</v>
      </c>
      <c r="C123" t="s">
        <v>938</v>
      </c>
      <c r="D123" t="s">
        <v>113</v>
      </c>
      <c r="E123">
        <v>18</v>
      </c>
      <c r="F123">
        <v>1114</v>
      </c>
      <c r="G123">
        <v>32876</v>
      </c>
      <c r="H123">
        <v>11576</v>
      </c>
      <c r="I123">
        <v>5341</v>
      </c>
      <c r="J123">
        <v>2375</v>
      </c>
      <c r="K123">
        <v>0.42199999999999999</v>
      </c>
      <c r="L123">
        <v>0.35199999999999998</v>
      </c>
      <c r="M123">
        <v>0.73099999999999998</v>
      </c>
      <c r="N123">
        <v>64.400000000000006</v>
      </c>
      <c r="O123">
        <v>9.4E-2</v>
      </c>
      <c r="P123">
        <v>2004</v>
      </c>
      <c r="Q123">
        <v>29.5</v>
      </c>
      <c r="R123">
        <v>10.4</v>
      </c>
      <c r="S123">
        <v>4.8</v>
      </c>
      <c r="T123">
        <v>2.1</v>
      </c>
      <c r="U123">
        <v>2</v>
      </c>
      <c r="V123">
        <v>14</v>
      </c>
      <c r="W123">
        <f>IF(nba_draft[[#This Row],[years_played]]&gt;5,1,0)</f>
        <v>1</v>
      </c>
    </row>
    <row r="124" spans="1:23" x14ac:dyDescent="0.25">
      <c r="A124">
        <v>1</v>
      </c>
      <c r="B124" t="s">
        <v>34</v>
      </c>
      <c r="C124" t="s">
        <v>141</v>
      </c>
      <c r="D124" t="s">
        <v>142</v>
      </c>
      <c r="E124">
        <v>10</v>
      </c>
      <c r="F124">
        <v>707</v>
      </c>
      <c r="G124">
        <v>25685</v>
      </c>
      <c r="H124">
        <v>11450</v>
      </c>
      <c r="I124">
        <v>5300</v>
      </c>
      <c r="J124">
        <v>2298</v>
      </c>
      <c r="K124">
        <v>0.48399999999999999</v>
      </c>
      <c r="L124">
        <v>0.33200000000000002</v>
      </c>
      <c r="M124">
        <v>0.76600000000000001</v>
      </c>
      <c r="N124">
        <v>69.7</v>
      </c>
      <c r="O124">
        <v>0.13</v>
      </c>
      <c r="P124">
        <v>1991</v>
      </c>
      <c r="Q124">
        <v>36.299999999999997</v>
      </c>
      <c r="R124">
        <v>16.2</v>
      </c>
      <c r="S124">
        <v>7.5</v>
      </c>
      <c r="T124">
        <v>3.3</v>
      </c>
      <c r="U124">
        <v>1</v>
      </c>
      <c r="V124">
        <v>1</v>
      </c>
      <c r="W124">
        <f>IF(nba_draft[[#This Row],[years_played]]&gt;5,1,0)</f>
        <v>1</v>
      </c>
    </row>
    <row r="125" spans="1:23" x14ac:dyDescent="0.25">
      <c r="A125">
        <v>9</v>
      </c>
      <c r="B125" t="s">
        <v>104</v>
      </c>
      <c r="C125" t="s">
        <v>1225</v>
      </c>
      <c r="D125" t="s">
        <v>1226</v>
      </c>
      <c r="E125">
        <v>12</v>
      </c>
      <c r="F125">
        <v>733</v>
      </c>
      <c r="G125">
        <v>22815</v>
      </c>
      <c r="H125">
        <v>11449</v>
      </c>
      <c r="I125">
        <v>3299</v>
      </c>
      <c r="J125">
        <v>2572</v>
      </c>
      <c r="K125">
        <v>0.45300000000000001</v>
      </c>
      <c r="L125">
        <v>0.371</v>
      </c>
      <c r="M125">
        <v>0.82599999999999996</v>
      </c>
      <c r="N125">
        <v>60.2</v>
      </c>
      <c r="O125">
        <v>0.127</v>
      </c>
      <c r="P125">
        <v>2010</v>
      </c>
      <c r="Q125">
        <v>31.1</v>
      </c>
      <c r="R125">
        <v>15.6</v>
      </c>
      <c r="S125">
        <v>4.5</v>
      </c>
      <c r="T125">
        <v>3.5</v>
      </c>
      <c r="U125">
        <v>1</v>
      </c>
      <c r="V125">
        <v>9</v>
      </c>
      <c r="W125">
        <f>IF(nba_draft[[#This Row],[years_played]]&gt;5,1,0)</f>
        <v>1</v>
      </c>
    </row>
    <row r="126" spans="1:23" x14ac:dyDescent="0.25">
      <c r="A126">
        <v>31</v>
      </c>
      <c r="B126" t="s">
        <v>52</v>
      </c>
      <c r="C126" t="s">
        <v>771</v>
      </c>
      <c r="D126" t="s">
        <v>117</v>
      </c>
      <c r="E126">
        <v>11</v>
      </c>
      <c r="F126">
        <v>552</v>
      </c>
      <c r="G126">
        <v>19351</v>
      </c>
      <c r="H126">
        <v>11402</v>
      </c>
      <c r="I126">
        <v>2168</v>
      </c>
      <c r="J126">
        <v>2909</v>
      </c>
      <c r="K126">
        <v>0.42099999999999999</v>
      </c>
      <c r="L126">
        <v>0.35099999999999998</v>
      </c>
      <c r="M126">
        <v>0.80300000000000005</v>
      </c>
      <c r="N126">
        <v>51.3</v>
      </c>
      <c r="O126">
        <v>0.127</v>
      </c>
      <c r="P126">
        <v>2001</v>
      </c>
      <c r="Q126">
        <v>35.1</v>
      </c>
      <c r="R126">
        <v>20.7</v>
      </c>
      <c r="S126">
        <v>3.9</v>
      </c>
      <c r="T126">
        <v>5.3</v>
      </c>
      <c r="U126">
        <v>2</v>
      </c>
      <c r="V126">
        <v>2</v>
      </c>
      <c r="W126">
        <f>IF(nba_draft[[#This Row],[years_played]]&gt;5,1,0)</f>
        <v>1</v>
      </c>
    </row>
    <row r="127" spans="1:23" x14ac:dyDescent="0.25">
      <c r="A127">
        <v>23</v>
      </c>
      <c r="B127" t="s">
        <v>88</v>
      </c>
      <c r="C127" t="s">
        <v>814</v>
      </c>
      <c r="D127" t="s">
        <v>282</v>
      </c>
      <c r="E127">
        <v>14</v>
      </c>
      <c r="F127">
        <v>1017</v>
      </c>
      <c r="G127">
        <v>31576</v>
      </c>
      <c r="H127">
        <v>11272</v>
      </c>
      <c r="I127">
        <v>4332</v>
      </c>
      <c r="J127">
        <v>2406</v>
      </c>
      <c r="K127">
        <v>0.45500000000000002</v>
      </c>
      <c r="L127">
        <v>0.36699999999999999</v>
      </c>
      <c r="M127">
        <v>0.75600000000000001</v>
      </c>
      <c r="N127">
        <v>63.1</v>
      </c>
      <c r="O127">
        <v>9.6000000000000002E-2</v>
      </c>
      <c r="P127">
        <v>2002</v>
      </c>
      <c r="Q127">
        <v>31</v>
      </c>
      <c r="R127">
        <v>11.1</v>
      </c>
      <c r="S127">
        <v>4.3</v>
      </c>
      <c r="T127">
        <v>2.4</v>
      </c>
      <c r="U127">
        <v>1</v>
      </c>
      <c r="V127">
        <v>23</v>
      </c>
      <c r="W127">
        <f>IF(nba_draft[[#This Row],[years_played]]&gt;5,1,0)</f>
        <v>1</v>
      </c>
    </row>
    <row r="128" spans="1:23" x14ac:dyDescent="0.25">
      <c r="A128">
        <v>30</v>
      </c>
      <c r="B128" t="s">
        <v>65</v>
      </c>
      <c r="C128" t="s">
        <v>975</v>
      </c>
      <c r="D128" t="s">
        <v>84</v>
      </c>
      <c r="E128">
        <v>12</v>
      </c>
      <c r="F128">
        <v>829</v>
      </c>
      <c r="G128">
        <v>24293</v>
      </c>
      <c r="H128">
        <v>11232</v>
      </c>
      <c r="I128">
        <v>7320</v>
      </c>
      <c r="J128">
        <v>1825</v>
      </c>
      <c r="K128">
        <v>0.53500000000000003</v>
      </c>
      <c r="L128">
        <v>3.4000000000000002E-2</v>
      </c>
      <c r="M128">
        <v>0.77200000000000002</v>
      </c>
      <c r="N128">
        <v>76</v>
      </c>
      <c r="O128">
        <v>0.15</v>
      </c>
      <c r="P128">
        <v>2005</v>
      </c>
      <c r="Q128">
        <v>29.3</v>
      </c>
      <c r="R128">
        <v>13.5</v>
      </c>
      <c r="S128">
        <v>8.8000000000000007</v>
      </c>
      <c r="T128">
        <v>2.2000000000000002</v>
      </c>
      <c r="U128">
        <v>1</v>
      </c>
      <c r="V128">
        <v>30</v>
      </c>
      <c r="W128">
        <f>IF(nba_draft[[#This Row],[years_played]]&gt;5,1,0)</f>
        <v>1</v>
      </c>
    </row>
    <row r="129" spans="1:23" x14ac:dyDescent="0.25">
      <c r="A129">
        <v>1</v>
      </c>
      <c r="B129" t="s">
        <v>138</v>
      </c>
      <c r="C129" t="s">
        <v>1442</v>
      </c>
      <c r="D129" t="s">
        <v>108</v>
      </c>
      <c r="E129">
        <v>8</v>
      </c>
      <c r="F129">
        <v>579</v>
      </c>
      <c r="G129">
        <v>20319</v>
      </c>
      <c r="H129">
        <v>11220</v>
      </c>
      <c r="I129">
        <v>2553</v>
      </c>
      <c r="J129">
        <v>1348</v>
      </c>
      <c r="K129">
        <v>0.44900000000000001</v>
      </c>
      <c r="L129">
        <v>0.35099999999999998</v>
      </c>
      <c r="M129">
        <v>0.72699999999999998</v>
      </c>
      <c r="N129">
        <v>23.5</v>
      </c>
      <c r="O129">
        <v>5.6000000000000001E-2</v>
      </c>
      <c r="P129">
        <v>2014</v>
      </c>
      <c r="Q129">
        <v>35.1</v>
      </c>
      <c r="R129">
        <v>19.399999999999999</v>
      </c>
      <c r="S129">
        <v>4.4000000000000004</v>
      </c>
      <c r="T129">
        <v>2.2999999999999998</v>
      </c>
      <c r="U129">
        <v>1</v>
      </c>
      <c r="V129">
        <v>1</v>
      </c>
      <c r="W129">
        <f>IF(nba_draft[[#This Row],[years_played]]&gt;5,1,0)</f>
        <v>1</v>
      </c>
    </row>
    <row r="130" spans="1:23" x14ac:dyDescent="0.25">
      <c r="A130">
        <v>1</v>
      </c>
      <c r="B130" t="s">
        <v>52</v>
      </c>
      <c r="C130" t="s">
        <v>388</v>
      </c>
      <c r="D130" t="s">
        <v>67</v>
      </c>
      <c r="E130">
        <v>16</v>
      </c>
      <c r="F130">
        <v>1030</v>
      </c>
      <c r="G130">
        <v>27022</v>
      </c>
      <c r="H130">
        <v>11208</v>
      </c>
      <c r="I130">
        <v>6575</v>
      </c>
      <c r="J130">
        <v>1010</v>
      </c>
      <c r="K130">
        <v>0.45500000000000002</v>
      </c>
      <c r="L130">
        <v>0.23799999999999999</v>
      </c>
      <c r="M130">
        <v>0.79</v>
      </c>
      <c r="N130">
        <v>60.3</v>
      </c>
      <c r="O130">
        <v>0.107</v>
      </c>
      <c r="P130">
        <v>1995</v>
      </c>
      <c r="Q130">
        <v>26.2</v>
      </c>
      <c r="R130">
        <v>10.9</v>
      </c>
      <c r="S130">
        <v>6.4</v>
      </c>
      <c r="T130">
        <v>1</v>
      </c>
      <c r="U130">
        <v>1</v>
      </c>
      <c r="V130">
        <v>1</v>
      </c>
      <c r="W130">
        <f>IF(nba_draft[[#This Row],[years_played]]&gt;5,1,0)</f>
        <v>1</v>
      </c>
    </row>
    <row r="131" spans="1:23" x14ac:dyDescent="0.25">
      <c r="A131">
        <v>3</v>
      </c>
      <c r="B131" t="s">
        <v>37</v>
      </c>
      <c r="C131" t="s">
        <v>214</v>
      </c>
      <c r="D131" t="s">
        <v>87</v>
      </c>
      <c r="E131">
        <v>13</v>
      </c>
      <c r="F131">
        <v>868</v>
      </c>
      <c r="G131">
        <v>25760</v>
      </c>
      <c r="H131">
        <v>11121</v>
      </c>
      <c r="I131">
        <v>5806</v>
      </c>
      <c r="J131">
        <v>2224</v>
      </c>
      <c r="K131">
        <v>0.48</v>
      </c>
      <c r="L131">
        <v>0.26100000000000001</v>
      </c>
      <c r="M131">
        <v>0.82</v>
      </c>
      <c r="N131">
        <v>64.900000000000006</v>
      </c>
      <c r="O131">
        <v>0.121</v>
      </c>
      <c r="P131">
        <v>1992</v>
      </c>
      <c r="Q131">
        <v>29.7</v>
      </c>
      <c r="R131">
        <v>12.8</v>
      </c>
      <c r="S131">
        <v>6.7</v>
      </c>
      <c r="T131">
        <v>2.6</v>
      </c>
      <c r="U131">
        <v>1</v>
      </c>
      <c r="V131">
        <v>3</v>
      </c>
      <c r="W131">
        <f>IF(nba_draft[[#This Row],[years_played]]&gt;5,1,0)</f>
        <v>1</v>
      </c>
    </row>
    <row r="132" spans="1:23" x14ac:dyDescent="0.25">
      <c r="A132">
        <v>15</v>
      </c>
      <c r="B132" t="s">
        <v>127</v>
      </c>
      <c r="C132" t="s">
        <v>1283</v>
      </c>
      <c r="D132" t="s">
        <v>842</v>
      </c>
      <c r="E132">
        <v>10</v>
      </c>
      <c r="F132">
        <v>576</v>
      </c>
      <c r="G132">
        <v>18025</v>
      </c>
      <c r="H132">
        <v>11085</v>
      </c>
      <c r="I132">
        <v>3689</v>
      </c>
      <c r="J132">
        <v>1672</v>
      </c>
      <c r="K132">
        <v>0.49299999999999999</v>
      </c>
      <c r="L132">
        <v>0.38400000000000001</v>
      </c>
      <c r="M132">
        <v>0.85799999999999998</v>
      </c>
      <c r="N132">
        <v>83.3</v>
      </c>
      <c r="O132">
        <v>0.222</v>
      </c>
      <c r="P132">
        <v>2011</v>
      </c>
      <c r="Q132">
        <v>31.3</v>
      </c>
      <c r="R132">
        <v>19.2</v>
      </c>
      <c r="S132">
        <v>6.4</v>
      </c>
      <c r="T132">
        <v>2.9</v>
      </c>
      <c r="U132">
        <v>1</v>
      </c>
      <c r="V132">
        <v>15</v>
      </c>
      <c r="W132">
        <f>IF(nba_draft[[#This Row],[years_played]]&gt;5,1,0)</f>
        <v>1</v>
      </c>
    </row>
    <row r="133" spans="1:23" x14ac:dyDescent="0.25">
      <c r="A133">
        <v>3</v>
      </c>
      <c r="B133" t="s">
        <v>95</v>
      </c>
      <c r="C133" t="s">
        <v>898</v>
      </c>
      <c r="D133" t="s">
        <v>79</v>
      </c>
      <c r="E133">
        <v>11</v>
      </c>
      <c r="F133">
        <v>744</v>
      </c>
      <c r="G133">
        <v>20366</v>
      </c>
      <c r="H133">
        <v>11084</v>
      </c>
      <c r="I133">
        <v>1851</v>
      </c>
      <c r="J133">
        <v>1868</v>
      </c>
      <c r="K133">
        <v>0.432</v>
      </c>
      <c r="L133">
        <v>0.40100000000000002</v>
      </c>
      <c r="M133">
        <v>0.85699999999999998</v>
      </c>
      <c r="N133">
        <v>33.299999999999997</v>
      </c>
      <c r="O133">
        <v>7.8E-2</v>
      </c>
      <c r="P133">
        <v>2004</v>
      </c>
      <c r="Q133">
        <v>27.4</v>
      </c>
      <c r="R133">
        <v>14.9</v>
      </c>
      <c r="S133">
        <v>2.5</v>
      </c>
      <c r="T133">
        <v>2.5</v>
      </c>
      <c r="U133">
        <v>1</v>
      </c>
      <c r="V133">
        <v>3</v>
      </c>
      <c r="W133">
        <f>IF(nba_draft[[#This Row],[years_played]]&gt;5,1,0)</f>
        <v>1</v>
      </c>
    </row>
    <row r="134" spans="1:23" x14ac:dyDescent="0.25">
      <c r="A134">
        <v>6</v>
      </c>
      <c r="B134" t="s">
        <v>65</v>
      </c>
      <c r="C134" t="s">
        <v>1112</v>
      </c>
      <c r="D134" t="s">
        <v>97</v>
      </c>
      <c r="E134">
        <v>13</v>
      </c>
      <c r="F134">
        <v>709</v>
      </c>
      <c r="G134">
        <v>21209</v>
      </c>
      <c r="H134">
        <v>11053</v>
      </c>
      <c r="I134">
        <v>3408</v>
      </c>
      <c r="J134">
        <v>1377</v>
      </c>
      <c r="K134">
        <v>0.42699999999999999</v>
      </c>
      <c r="L134">
        <v>0.38300000000000001</v>
      </c>
      <c r="M134">
        <v>0.877</v>
      </c>
      <c r="N134">
        <v>62.9</v>
      </c>
      <c r="O134">
        <v>0.14199999999999999</v>
      </c>
      <c r="P134">
        <v>2008</v>
      </c>
      <c r="Q134">
        <v>29.9</v>
      </c>
      <c r="R134">
        <v>15.6</v>
      </c>
      <c r="S134">
        <v>4.8</v>
      </c>
      <c r="T134">
        <v>1.9</v>
      </c>
      <c r="U134">
        <v>1</v>
      </c>
      <c r="V134">
        <v>6</v>
      </c>
      <c r="W134">
        <f>IF(nba_draft[[#This Row],[years_played]]&gt;5,1,0)</f>
        <v>1</v>
      </c>
    </row>
    <row r="135" spans="1:23" x14ac:dyDescent="0.25">
      <c r="A135">
        <v>3</v>
      </c>
      <c r="B135" t="s">
        <v>52</v>
      </c>
      <c r="C135" t="s">
        <v>793</v>
      </c>
      <c r="D135" t="s">
        <v>87</v>
      </c>
      <c r="E135">
        <v>15</v>
      </c>
      <c r="F135">
        <v>986</v>
      </c>
      <c r="G135">
        <v>27340</v>
      </c>
      <c r="H135">
        <v>11048</v>
      </c>
      <c r="I135">
        <v>4211</v>
      </c>
      <c r="J135">
        <v>2185</v>
      </c>
      <c r="K135">
        <v>0.441</v>
      </c>
      <c r="L135">
        <v>0.377</v>
      </c>
      <c r="M135">
        <v>0.80300000000000005</v>
      </c>
      <c r="N135">
        <v>58.5</v>
      </c>
      <c r="O135">
        <v>0.10299999999999999</v>
      </c>
      <c r="P135">
        <v>2002</v>
      </c>
      <c r="Q135">
        <v>27.7</v>
      </c>
      <c r="R135">
        <v>11.2</v>
      </c>
      <c r="S135">
        <v>4.3</v>
      </c>
      <c r="T135">
        <v>2.2000000000000002</v>
      </c>
      <c r="U135">
        <v>1</v>
      </c>
      <c r="V135">
        <v>3</v>
      </c>
      <c r="W135">
        <f>IF(nba_draft[[#This Row],[years_played]]&gt;5,1,0)</f>
        <v>1</v>
      </c>
    </row>
    <row r="136" spans="1:23" x14ac:dyDescent="0.25">
      <c r="A136">
        <v>16</v>
      </c>
      <c r="B136" t="s">
        <v>40</v>
      </c>
      <c r="C136" t="s">
        <v>698</v>
      </c>
      <c r="D136" t="s">
        <v>97</v>
      </c>
      <c r="E136">
        <v>15</v>
      </c>
      <c r="F136">
        <v>997</v>
      </c>
      <c r="G136">
        <v>26695</v>
      </c>
      <c r="H136">
        <v>11022</v>
      </c>
      <c r="I136">
        <v>3971</v>
      </c>
      <c r="J136">
        <v>2832</v>
      </c>
      <c r="K136">
        <v>0.42599999999999999</v>
      </c>
      <c r="L136">
        <v>0.38400000000000001</v>
      </c>
      <c r="M136">
        <v>0.78400000000000003</v>
      </c>
      <c r="N136">
        <v>63.3</v>
      </c>
      <c r="O136">
        <v>0.114</v>
      </c>
      <c r="P136">
        <v>2000</v>
      </c>
      <c r="Q136">
        <v>26.8</v>
      </c>
      <c r="R136">
        <v>11.1</v>
      </c>
      <c r="S136">
        <v>4</v>
      </c>
      <c r="T136">
        <v>2.8</v>
      </c>
      <c r="U136">
        <v>1</v>
      </c>
      <c r="V136">
        <v>16</v>
      </c>
      <c r="W136">
        <f>IF(nba_draft[[#This Row],[years_played]]&gt;5,1,0)</f>
        <v>1</v>
      </c>
    </row>
    <row r="137" spans="1:23" x14ac:dyDescent="0.25">
      <c r="A137">
        <v>20</v>
      </c>
      <c r="B137" t="s">
        <v>138</v>
      </c>
      <c r="C137" t="s">
        <v>473</v>
      </c>
      <c r="D137" t="s">
        <v>97</v>
      </c>
      <c r="E137">
        <v>13</v>
      </c>
      <c r="F137">
        <v>843</v>
      </c>
      <c r="G137">
        <v>22965</v>
      </c>
      <c r="H137">
        <v>10976</v>
      </c>
      <c r="I137">
        <v>6191</v>
      </c>
      <c r="J137">
        <v>955</v>
      </c>
      <c r="K137">
        <v>0.47599999999999998</v>
      </c>
      <c r="L137">
        <v>0.31</v>
      </c>
      <c r="M137">
        <v>0.78</v>
      </c>
      <c r="N137">
        <v>66.3</v>
      </c>
      <c r="O137">
        <v>0.13900000000000001</v>
      </c>
      <c r="P137">
        <v>1996</v>
      </c>
      <c r="Q137">
        <v>27.2</v>
      </c>
      <c r="R137">
        <v>13</v>
      </c>
      <c r="S137">
        <v>7.3</v>
      </c>
      <c r="T137">
        <v>1.1000000000000001</v>
      </c>
      <c r="U137">
        <v>1</v>
      </c>
      <c r="V137">
        <v>20</v>
      </c>
      <c r="W137">
        <f>IF(nba_draft[[#This Row],[years_played]]&gt;5,1,0)</f>
        <v>1</v>
      </c>
    </row>
    <row r="138" spans="1:23" x14ac:dyDescent="0.25">
      <c r="A138">
        <v>5</v>
      </c>
      <c r="B138" t="s">
        <v>31</v>
      </c>
      <c r="C138" t="s">
        <v>687</v>
      </c>
      <c r="D138" t="s">
        <v>84</v>
      </c>
      <c r="E138">
        <v>17</v>
      </c>
      <c r="F138">
        <v>1032</v>
      </c>
      <c r="G138">
        <v>27812</v>
      </c>
      <c r="H138">
        <v>10973</v>
      </c>
      <c r="I138">
        <v>4376</v>
      </c>
      <c r="J138">
        <v>2666</v>
      </c>
      <c r="K138">
        <v>0.45900000000000002</v>
      </c>
      <c r="L138">
        <v>0.40699999999999997</v>
      </c>
      <c r="M138">
        <v>0.76900000000000002</v>
      </c>
      <c r="N138">
        <v>60.7</v>
      </c>
      <c r="O138">
        <v>0.105</v>
      </c>
      <c r="P138">
        <v>2000</v>
      </c>
      <c r="Q138">
        <v>26.9</v>
      </c>
      <c r="R138">
        <v>10.6</v>
      </c>
      <c r="S138">
        <v>4.2</v>
      </c>
      <c r="T138">
        <v>2.6</v>
      </c>
      <c r="U138">
        <v>1</v>
      </c>
      <c r="V138">
        <v>5</v>
      </c>
      <c r="W138">
        <f>IF(nba_draft[[#This Row],[years_played]]&gt;5,1,0)</f>
        <v>1</v>
      </c>
    </row>
    <row r="139" spans="1:23" x14ac:dyDescent="0.25">
      <c r="A139">
        <v>2</v>
      </c>
      <c r="B139" t="s">
        <v>49</v>
      </c>
      <c r="C139" t="s">
        <v>947</v>
      </c>
      <c r="D139" t="s">
        <v>179</v>
      </c>
      <c r="E139">
        <v>15</v>
      </c>
      <c r="F139">
        <v>1072</v>
      </c>
      <c r="G139">
        <v>30159</v>
      </c>
      <c r="H139">
        <v>10965</v>
      </c>
      <c r="I139">
        <v>5546</v>
      </c>
      <c r="J139">
        <v>1373</v>
      </c>
      <c r="K139">
        <v>0.443</v>
      </c>
      <c r="L139">
        <v>0.36099999999999999</v>
      </c>
      <c r="M139">
        <v>0.80800000000000005</v>
      </c>
      <c r="N139">
        <v>65.099999999999994</v>
      </c>
      <c r="O139">
        <v>0.104</v>
      </c>
      <c r="P139">
        <v>2005</v>
      </c>
      <c r="Q139">
        <v>28.1</v>
      </c>
      <c r="R139">
        <v>10.199999999999999</v>
      </c>
      <c r="S139">
        <v>5.2</v>
      </c>
      <c r="T139">
        <v>1.3</v>
      </c>
      <c r="U139">
        <v>1</v>
      </c>
      <c r="V139">
        <v>2</v>
      </c>
      <c r="W139">
        <f>IF(nba_draft[[#This Row],[years_played]]&gt;5,1,0)</f>
        <v>1</v>
      </c>
    </row>
    <row r="140" spans="1:23" x14ac:dyDescent="0.25">
      <c r="A140">
        <v>7</v>
      </c>
      <c r="B140" t="s">
        <v>65</v>
      </c>
      <c r="C140" t="s">
        <v>797</v>
      </c>
      <c r="D140" t="s">
        <v>97</v>
      </c>
      <c r="E140">
        <v>17</v>
      </c>
      <c r="F140">
        <v>965</v>
      </c>
      <c r="G140">
        <v>25237</v>
      </c>
      <c r="H140">
        <v>10909</v>
      </c>
      <c r="I140">
        <v>5828</v>
      </c>
      <c r="J140">
        <v>1719</v>
      </c>
      <c r="K140">
        <v>0.54800000000000004</v>
      </c>
      <c r="L140">
        <v>0.13200000000000001</v>
      </c>
      <c r="M140">
        <v>0.66</v>
      </c>
      <c r="N140">
        <v>73.3</v>
      </c>
      <c r="O140">
        <v>0.13900000000000001</v>
      </c>
      <c r="P140">
        <v>2002</v>
      </c>
      <c r="Q140">
        <v>26.2</v>
      </c>
      <c r="R140">
        <v>11.3</v>
      </c>
      <c r="S140">
        <v>6</v>
      </c>
      <c r="T140">
        <v>1.8</v>
      </c>
      <c r="U140">
        <v>1</v>
      </c>
      <c r="V140">
        <v>7</v>
      </c>
      <c r="W140">
        <f>IF(nba_draft[[#This Row],[years_played]]&gt;5,1,0)</f>
        <v>1</v>
      </c>
    </row>
    <row r="141" spans="1:23" x14ac:dyDescent="0.25">
      <c r="A141">
        <v>5</v>
      </c>
      <c r="B141" t="s">
        <v>34</v>
      </c>
      <c r="C141" t="s">
        <v>950</v>
      </c>
      <c r="D141" t="s">
        <v>179</v>
      </c>
      <c r="E141">
        <v>14</v>
      </c>
      <c r="F141">
        <v>971</v>
      </c>
      <c r="G141">
        <v>28829</v>
      </c>
      <c r="H141">
        <v>10853</v>
      </c>
      <c r="I141">
        <v>2867</v>
      </c>
      <c r="J141">
        <v>5096</v>
      </c>
      <c r="K141">
        <v>0.41199999999999998</v>
      </c>
      <c r="L141">
        <v>0.32900000000000001</v>
      </c>
      <c r="M141">
        <v>0.79</v>
      </c>
      <c r="N141">
        <v>40.200000000000003</v>
      </c>
      <c r="O141">
        <v>6.7000000000000004E-2</v>
      </c>
      <c r="P141">
        <v>2005</v>
      </c>
      <c r="Q141">
        <v>29.7</v>
      </c>
      <c r="R141">
        <v>11.2</v>
      </c>
      <c r="S141">
        <v>3</v>
      </c>
      <c r="T141">
        <v>5.2</v>
      </c>
      <c r="U141">
        <v>1</v>
      </c>
      <c r="V141">
        <v>5</v>
      </c>
      <c r="W141">
        <f>IF(nba_draft[[#This Row],[years_played]]&gt;5,1,0)</f>
        <v>1</v>
      </c>
    </row>
    <row r="142" spans="1:23" x14ac:dyDescent="0.25">
      <c r="A142">
        <v>10</v>
      </c>
      <c r="B142" t="s">
        <v>85</v>
      </c>
      <c r="C142" t="s">
        <v>1396</v>
      </c>
      <c r="D142" t="s">
        <v>1397</v>
      </c>
      <c r="E142">
        <v>9</v>
      </c>
      <c r="F142">
        <v>569</v>
      </c>
      <c r="G142">
        <v>17929</v>
      </c>
      <c r="H142">
        <v>10852</v>
      </c>
      <c r="I142">
        <v>1955</v>
      </c>
      <c r="J142">
        <v>1919</v>
      </c>
      <c r="K142">
        <v>0.45400000000000001</v>
      </c>
      <c r="L142">
        <v>0.39700000000000002</v>
      </c>
      <c r="M142">
        <v>0.81899999999999995</v>
      </c>
      <c r="N142">
        <v>38.9</v>
      </c>
      <c r="O142">
        <v>0.104</v>
      </c>
      <c r="P142">
        <v>2013</v>
      </c>
      <c r="Q142">
        <v>31.5</v>
      </c>
      <c r="R142">
        <v>19.100000000000001</v>
      </c>
      <c r="S142">
        <v>3.4</v>
      </c>
      <c r="T142">
        <v>3.4</v>
      </c>
      <c r="U142">
        <v>1</v>
      </c>
      <c r="V142">
        <v>10</v>
      </c>
      <c r="W142">
        <f>IF(nba_draft[[#This Row],[years_played]]&gt;5,1,0)</f>
        <v>1</v>
      </c>
    </row>
    <row r="143" spans="1:23" x14ac:dyDescent="0.25">
      <c r="A143">
        <v>24</v>
      </c>
      <c r="B143" t="s">
        <v>25</v>
      </c>
      <c r="C143" t="s">
        <v>1132</v>
      </c>
      <c r="D143" t="s">
        <v>97</v>
      </c>
      <c r="E143">
        <v>13</v>
      </c>
      <c r="F143">
        <v>887</v>
      </c>
      <c r="G143">
        <v>24681</v>
      </c>
      <c r="H143">
        <v>10849</v>
      </c>
      <c r="I143">
        <v>6387</v>
      </c>
      <c r="J143">
        <v>735</v>
      </c>
      <c r="K143">
        <v>0.51300000000000001</v>
      </c>
      <c r="L143">
        <v>0.35899999999999999</v>
      </c>
      <c r="M143">
        <v>0.75800000000000001</v>
      </c>
      <c r="N143">
        <v>72</v>
      </c>
      <c r="O143">
        <v>0.14000000000000001</v>
      </c>
      <c r="P143">
        <v>2008</v>
      </c>
      <c r="Q143">
        <v>27.8</v>
      </c>
      <c r="R143">
        <v>12.2</v>
      </c>
      <c r="S143">
        <v>7.2</v>
      </c>
      <c r="T143">
        <v>0.8</v>
      </c>
      <c r="U143">
        <v>1</v>
      </c>
      <c r="V143">
        <v>24</v>
      </c>
      <c r="W143">
        <f>IF(nba_draft[[#This Row],[years_played]]&gt;5,1,0)</f>
        <v>1</v>
      </c>
    </row>
    <row r="144" spans="1:23" x14ac:dyDescent="0.25">
      <c r="A144">
        <v>27</v>
      </c>
      <c r="B144" t="s">
        <v>90</v>
      </c>
      <c r="C144" t="s">
        <v>91</v>
      </c>
      <c r="D144" t="s">
        <v>92</v>
      </c>
      <c r="E144">
        <v>15</v>
      </c>
      <c r="F144">
        <v>1044</v>
      </c>
      <c r="G144">
        <v>25776</v>
      </c>
      <c r="H144">
        <v>10805</v>
      </c>
      <c r="I144">
        <v>6116</v>
      </c>
      <c r="J144">
        <v>1199</v>
      </c>
      <c r="K144">
        <v>0.46</v>
      </c>
      <c r="L144">
        <v>5.3999999999999999E-2</v>
      </c>
      <c r="M144">
        <v>0.69899999999999995</v>
      </c>
      <c r="N144">
        <v>62.8</v>
      </c>
      <c r="O144">
        <v>0.11700000000000001</v>
      </c>
      <c r="P144">
        <v>1990</v>
      </c>
      <c r="Q144">
        <v>24.7</v>
      </c>
      <c r="R144">
        <v>10.3</v>
      </c>
      <c r="S144">
        <v>5.9</v>
      </c>
      <c r="T144">
        <v>1.1000000000000001</v>
      </c>
      <c r="U144">
        <v>1</v>
      </c>
      <c r="V144">
        <v>27</v>
      </c>
      <c r="W144">
        <f>IF(nba_draft[[#This Row],[years_played]]&gt;5,1,0)</f>
        <v>1</v>
      </c>
    </row>
    <row r="145" spans="1:23" x14ac:dyDescent="0.25">
      <c r="A145">
        <v>2</v>
      </c>
      <c r="B145" t="s">
        <v>22</v>
      </c>
      <c r="C145" t="s">
        <v>143</v>
      </c>
      <c r="D145" t="s">
        <v>33</v>
      </c>
      <c r="E145">
        <v>14</v>
      </c>
      <c r="F145">
        <v>858</v>
      </c>
      <c r="G145">
        <v>25868</v>
      </c>
      <c r="H145">
        <v>10789</v>
      </c>
      <c r="I145">
        <v>2641</v>
      </c>
      <c r="J145">
        <v>5196</v>
      </c>
      <c r="K145">
        <v>0.42099999999999999</v>
      </c>
      <c r="L145">
        <v>0.34599999999999997</v>
      </c>
      <c r="M145">
        <v>0.79</v>
      </c>
      <c r="N145">
        <v>62.5</v>
      </c>
      <c r="O145">
        <v>0.11600000000000001</v>
      </c>
      <c r="P145">
        <v>1991</v>
      </c>
      <c r="Q145">
        <v>30.1</v>
      </c>
      <c r="R145">
        <v>12.6</v>
      </c>
      <c r="S145">
        <v>3.1</v>
      </c>
      <c r="T145">
        <v>6.1</v>
      </c>
      <c r="U145">
        <v>1</v>
      </c>
      <c r="V145">
        <v>2</v>
      </c>
      <c r="W145">
        <f>IF(nba_draft[[#This Row],[years_played]]&gt;5,1,0)</f>
        <v>1</v>
      </c>
    </row>
    <row r="146" spans="1:23" x14ac:dyDescent="0.25">
      <c r="A146">
        <v>47</v>
      </c>
      <c r="B146" t="s">
        <v>104</v>
      </c>
      <c r="C146" t="s">
        <v>890</v>
      </c>
      <c r="D146" t="s">
        <v>228</v>
      </c>
      <c r="E146">
        <v>13</v>
      </c>
      <c r="F146">
        <v>818</v>
      </c>
      <c r="G146">
        <v>23872</v>
      </c>
      <c r="H146">
        <v>10759</v>
      </c>
      <c r="I146">
        <v>2264</v>
      </c>
      <c r="J146">
        <v>3990</v>
      </c>
      <c r="K146">
        <v>0.434</v>
      </c>
      <c r="L146">
        <v>0.378</v>
      </c>
      <c r="M146">
        <v>0.871</v>
      </c>
      <c r="N146">
        <v>40</v>
      </c>
      <c r="O146">
        <v>0.08</v>
      </c>
      <c r="P146">
        <v>2003</v>
      </c>
      <c r="Q146">
        <v>29.2</v>
      </c>
      <c r="R146">
        <v>13.2</v>
      </c>
      <c r="S146">
        <v>2.8</v>
      </c>
      <c r="T146">
        <v>4.9000000000000004</v>
      </c>
      <c r="U146">
        <v>2</v>
      </c>
      <c r="V146">
        <v>18</v>
      </c>
      <c r="W146">
        <f>IF(nba_draft[[#This Row],[years_played]]&gt;5,1,0)</f>
        <v>1</v>
      </c>
    </row>
    <row r="147" spans="1:23" x14ac:dyDescent="0.25">
      <c r="A147">
        <v>39</v>
      </c>
      <c r="B147" t="s">
        <v>88</v>
      </c>
      <c r="C147" t="s">
        <v>1368</v>
      </c>
      <c r="D147" t="s">
        <v>960</v>
      </c>
      <c r="E147">
        <v>10</v>
      </c>
      <c r="F147">
        <v>633</v>
      </c>
      <c r="G147">
        <v>20092</v>
      </c>
      <c r="H147">
        <v>10743</v>
      </c>
      <c r="I147">
        <v>3074</v>
      </c>
      <c r="J147">
        <v>2356</v>
      </c>
      <c r="K147">
        <v>0.45900000000000002</v>
      </c>
      <c r="L147">
        <v>0.39100000000000001</v>
      </c>
      <c r="M147">
        <v>0.88</v>
      </c>
      <c r="N147">
        <v>49.1</v>
      </c>
      <c r="O147">
        <v>0.11700000000000001</v>
      </c>
      <c r="P147">
        <v>2012</v>
      </c>
      <c r="Q147">
        <v>31.7</v>
      </c>
      <c r="R147">
        <v>17</v>
      </c>
      <c r="S147">
        <v>4.9000000000000004</v>
      </c>
      <c r="T147">
        <v>3.7</v>
      </c>
      <c r="U147">
        <v>2</v>
      </c>
      <c r="V147">
        <v>9</v>
      </c>
      <c r="W147">
        <f>IF(nba_draft[[#This Row],[years_played]]&gt;5,1,0)</f>
        <v>1</v>
      </c>
    </row>
    <row r="148" spans="1:23" x14ac:dyDescent="0.25">
      <c r="A148">
        <v>4</v>
      </c>
      <c r="B148" t="s">
        <v>37</v>
      </c>
      <c r="C148" t="s">
        <v>338</v>
      </c>
      <c r="D148" t="s">
        <v>79</v>
      </c>
      <c r="E148">
        <v>15</v>
      </c>
      <c r="F148">
        <v>957</v>
      </c>
      <c r="G148">
        <v>25027</v>
      </c>
      <c r="H148">
        <v>10716</v>
      </c>
      <c r="I148">
        <v>6376</v>
      </c>
      <c r="J148">
        <v>1305</v>
      </c>
      <c r="K148">
        <v>0.435</v>
      </c>
      <c r="L148">
        <v>0.35</v>
      </c>
      <c r="M148">
        <v>0.73099999999999998</v>
      </c>
      <c r="N148">
        <v>59</v>
      </c>
      <c r="O148">
        <v>0.113</v>
      </c>
      <c r="P148">
        <v>1994</v>
      </c>
      <c r="Q148">
        <v>26.2</v>
      </c>
      <c r="R148">
        <v>11.2</v>
      </c>
      <c r="S148">
        <v>6.7</v>
      </c>
      <c r="T148">
        <v>1.4</v>
      </c>
      <c r="U148">
        <v>1</v>
      </c>
      <c r="V148">
        <v>4</v>
      </c>
      <c r="W148">
        <f>IF(nba_draft[[#This Row],[years_played]]&gt;5,1,0)</f>
        <v>1</v>
      </c>
    </row>
    <row r="149" spans="1:23" x14ac:dyDescent="0.25">
      <c r="A149">
        <v>24</v>
      </c>
      <c r="B149" t="s">
        <v>90</v>
      </c>
      <c r="C149" t="s">
        <v>477</v>
      </c>
      <c r="D149" t="s">
        <v>478</v>
      </c>
      <c r="E149">
        <v>18</v>
      </c>
      <c r="F149">
        <v>1287</v>
      </c>
      <c r="G149">
        <v>32719</v>
      </c>
      <c r="H149">
        <v>10713</v>
      </c>
      <c r="I149">
        <v>2658</v>
      </c>
      <c r="J149">
        <v>3804</v>
      </c>
      <c r="K149">
        <v>0.39900000000000002</v>
      </c>
      <c r="L149">
        <v>0.374</v>
      </c>
      <c r="M149">
        <v>0.81699999999999995</v>
      </c>
      <c r="N149">
        <v>62.3</v>
      </c>
      <c r="O149">
        <v>9.0999999999999998E-2</v>
      </c>
      <c r="P149">
        <v>1996</v>
      </c>
      <c r="Q149">
        <v>25.4</v>
      </c>
      <c r="R149">
        <v>8.3000000000000007</v>
      </c>
      <c r="S149">
        <v>2.1</v>
      </c>
      <c r="T149">
        <v>3</v>
      </c>
      <c r="U149">
        <v>1</v>
      </c>
      <c r="V149">
        <v>24</v>
      </c>
      <c r="W149">
        <f>IF(nba_draft[[#This Row],[years_played]]&gt;5,1,0)</f>
        <v>1</v>
      </c>
    </row>
    <row r="150" spans="1:23" x14ac:dyDescent="0.25">
      <c r="A150">
        <v>13</v>
      </c>
      <c r="B150" t="s">
        <v>75</v>
      </c>
      <c r="C150" t="s">
        <v>1508</v>
      </c>
      <c r="D150" t="s">
        <v>282</v>
      </c>
      <c r="E150">
        <v>7</v>
      </c>
      <c r="F150">
        <v>460</v>
      </c>
      <c r="G150">
        <v>15468</v>
      </c>
      <c r="H150">
        <v>10695</v>
      </c>
      <c r="I150">
        <v>1788</v>
      </c>
      <c r="J150">
        <v>2126</v>
      </c>
      <c r="K150">
        <v>0.45400000000000001</v>
      </c>
      <c r="L150">
        <v>0.35399999999999998</v>
      </c>
      <c r="M150">
        <v>0.86899999999999999</v>
      </c>
      <c r="N150">
        <v>27.2</v>
      </c>
      <c r="O150">
        <v>8.5000000000000006E-2</v>
      </c>
      <c r="P150">
        <v>2015</v>
      </c>
      <c r="Q150">
        <v>33.6</v>
      </c>
      <c r="R150">
        <v>23.3</v>
      </c>
      <c r="S150">
        <v>3.9</v>
      </c>
      <c r="T150">
        <v>4.5999999999999996</v>
      </c>
      <c r="U150">
        <v>1</v>
      </c>
      <c r="V150">
        <v>13</v>
      </c>
      <c r="W150">
        <f>IF(nba_draft[[#This Row],[years_played]]&gt;5,1,0)</f>
        <v>1</v>
      </c>
    </row>
    <row r="151" spans="1:23" x14ac:dyDescent="0.25">
      <c r="A151">
        <v>3</v>
      </c>
      <c r="B151" t="s">
        <v>52</v>
      </c>
      <c r="C151" t="s">
        <v>280</v>
      </c>
      <c r="D151" t="s">
        <v>196</v>
      </c>
      <c r="E151">
        <v>14</v>
      </c>
      <c r="F151">
        <v>704</v>
      </c>
      <c r="G151">
        <v>23711</v>
      </c>
      <c r="H151">
        <v>10684</v>
      </c>
      <c r="I151">
        <v>3146</v>
      </c>
      <c r="J151">
        <v>3525</v>
      </c>
      <c r="K151">
        <v>0.45800000000000002</v>
      </c>
      <c r="L151">
        <v>0.316</v>
      </c>
      <c r="M151">
        <v>0.77400000000000002</v>
      </c>
      <c r="N151">
        <v>61.9</v>
      </c>
      <c r="O151">
        <v>0.125</v>
      </c>
      <c r="P151">
        <v>1993</v>
      </c>
      <c r="Q151">
        <v>33.700000000000003</v>
      </c>
      <c r="R151">
        <v>15.2</v>
      </c>
      <c r="S151">
        <v>4.5</v>
      </c>
      <c r="T151">
        <v>5</v>
      </c>
      <c r="U151">
        <v>1</v>
      </c>
      <c r="V151">
        <v>3</v>
      </c>
      <c r="W151">
        <f>IF(nba_draft[[#This Row],[years_played]]&gt;5,1,0)</f>
        <v>1</v>
      </c>
    </row>
    <row r="152" spans="1:23" x14ac:dyDescent="0.25">
      <c r="A152">
        <v>1</v>
      </c>
      <c r="B152" t="s">
        <v>37</v>
      </c>
      <c r="C152" t="s">
        <v>1496</v>
      </c>
      <c r="D152" t="s">
        <v>282</v>
      </c>
      <c r="E152">
        <v>7</v>
      </c>
      <c r="F152">
        <v>460</v>
      </c>
      <c r="G152">
        <v>15779</v>
      </c>
      <c r="H152">
        <v>10621</v>
      </c>
      <c r="I152">
        <v>5243</v>
      </c>
      <c r="J152">
        <v>1424</v>
      </c>
      <c r="K152">
        <v>0.52700000000000002</v>
      </c>
      <c r="L152">
        <v>0.39600000000000002</v>
      </c>
      <c r="M152">
        <v>0.83299999999999996</v>
      </c>
      <c r="N152">
        <v>63</v>
      </c>
      <c r="O152">
        <v>0.192</v>
      </c>
      <c r="P152">
        <v>2015</v>
      </c>
      <c r="Q152">
        <v>34.299999999999997</v>
      </c>
      <c r="R152">
        <v>23.1</v>
      </c>
      <c r="S152">
        <v>11.4</v>
      </c>
      <c r="T152">
        <v>3.1</v>
      </c>
      <c r="U152">
        <v>1</v>
      </c>
      <c r="V152">
        <v>1</v>
      </c>
      <c r="W152">
        <f>IF(nba_draft[[#This Row],[years_played]]&gt;5,1,0)</f>
        <v>1</v>
      </c>
    </row>
    <row r="153" spans="1:23" x14ac:dyDescent="0.25">
      <c r="A153">
        <v>5</v>
      </c>
      <c r="B153" t="s">
        <v>109</v>
      </c>
      <c r="C153" t="s">
        <v>900</v>
      </c>
      <c r="D153" t="s">
        <v>412</v>
      </c>
      <c r="E153">
        <v>15</v>
      </c>
      <c r="F153">
        <v>985</v>
      </c>
      <c r="G153">
        <v>23963</v>
      </c>
      <c r="H153">
        <v>10597</v>
      </c>
      <c r="I153">
        <v>2151</v>
      </c>
      <c r="J153">
        <v>3869</v>
      </c>
      <c r="K153">
        <v>0.432</v>
      </c>
      <c r="L153">
        <v>0.32500000000000001</v>
      </c>
      <c r="M153">
        <v>0.79600000000000004</v>
      </c>
      <c r="N153">
        <v>54.9</v>
      </c>
      <c r="O153">
        <v>0.11</v>
      </c>
      <c r="P153">
        <v>2004</v>
      </c>
      <c r="Q153">
        <v>24.3</v>
      </c>
      <c r="R153">
        <v>10.8</v>
      </c>
      <c r="S153">
        <v>2.2000000000000002</v>
      </c>
      <c r="T153">
        <v>3.9</v>
      </c>
      <c r="U153">
        <v>1</v>
      </c>
      <c r="V153">
        <v>5</v>
      </c>
      <c r="W153">
        <f>IF(nba_draft[[#This Row],[years_played]]&gt;5,1,0)</f>
        <v>1</v>
      </c>
    </row>
    <row r="154" spans="1:23" x14ac:dyDescent="0.25">
      <c r="A154">
        <v>9</v>
      </c>
      <c r="B154" t="s">
        <v>102</v>
      </c>
      <c r="C154" t="s">
        <v>223</v>
      </c>
      <c r="D154" t="s">
        <v>224</v>
      </c>
      <c r="E154">
        <v>13</v>
      </c>
      <c r="F154">
        <v>915</v>
      </c>
      <c r="G154">
        <v>27736</v>
      </c>
      <c r="H154">
        <v>10483</v>
      </c>
      <c r="I154">
        <v>6846</v>
      </c>
      <c r="J154">
        <v>1346</v>
      </c>
      <c r="K154">
        <v>0.47099999999999997</v>
      </c>
      <c r="L154">
        <v>0.19600000000000001</v>
      </c>
      <c r="M154">
        <v>0.74299999999999999</v>
      </c>
      <c r="N154">
        <v>58.4</v>
      </c>
      <c r="O154">
        <v>0.10100000000000001</v>
      </c>
      <c r="P154">
        <v>1992</v>
      </c>
      <c r="Q154">
        <v>30.3</v>
      </c>
      <c r="R154">
        <v>11.5</v>
      </c>
      <c r="S154">
        <v>7.5</v>
      </c>
      <c r="T154">
        <v>1.5</v>
      </c>
      <c r="U154">
        <v>1</v>
      </c>
      <c r="V154">
        <v>9</v>
      </c>
      <c r="W154">
        <f>IF(nba_draft[[#This Row],[years_played]]&gt;5,1,0)</f>
        <v>1</v>
      </c>
    </row>
    <row r="155" spans="1:23" x14ac:dyDescent="0.25">
      <c r="A155">
        <v>2</v>
      </c>
      <c r="B155" t="s">
        <v>393</v>
      </c>
      <c r="C155" t="s">
        <v>630</v>
      </c>
      <c r="D155" t="s">
        <v>67</v>
      </c>
      <c r="E155">
        <v>9</v>
      </c>
      <c r="F155">
        <v>576</v>
      </c>
      <c r="G155">
        <v>21632</v>
      </c>
      <c r="H155">
        <v>10446</v>
      </c>
      <c r="I155">
        <v>3215</v>
      </c>
      <c r="J155">
        <v>3473</v>
      </c>
      <c r="K155">
        <v>0.42899999999999999</v>
      </c>
      <c r="L155">
        <v>0.34100000000000003</v>
      </c>
      <c r="M155">
        <v>0.79700000000000004</v>
      </c>
      <c r="N155">
        <v>54.1</v>
      </c>
      <c r="O155">
        <v>0.12</v>
      </c>
      <c r="P155">
        <v>1999</v>
      </c>
      <c r="Q155">
        <v>37.6</v>
      </c>
      <c r="R155">
        <v>18.100000000000001</v>
      </c>
      <c r="S155">
        <v>5.6</v>
      </c>
      <c r="T155">
        <v>6</v>
      </c>
      <c r="U155">
        <v>1</v>
      </c>
      <c r="V155">
        <v>2</v>
      </c>
      <c r="W155">
        <f>IF(nba_draft[[#This Row],[years_played]]&gt;5,1,0)</f>
        <v>1</v>
      </c>
    </row>
    <row r="156" spans="1:23" x14ac:dyDescent="0.25">
      <c r="A156">
        <v>18</v>
      </c>
      <c r="B156" t="s">
        <v>25</v>
      </c>
      <c r="C156" t="s">
        <v>1235</v>
      </c>
      <c r="D156" t="s">
        <v>282</v>
      </c>
      <c r="E156">
        <v>12</v>
      </c>
      <c r="F156">
        <v>756</v>
      </c>
      <c r="G156">
        <v>21021</v>
      </c>
      <c r="H156">
        <v>10348</v>
      </c>
      <c r="I156">
        <v>2937</v>
      </c>
      <c r="J156">
        <v>3545</v>
      </c>
      <c r="K156">
        <v>0.45200000000000001</v>
      </c>
      <c r="L156">
        <v>0.33600000000000002</v>
      </c>
      <c r="M156">
        <v>0.78400000000000003</v>
      </c>
      <c r="N156">
        <v>46.2</v>
      </c>
      <c r="O156">
        <v>0.105</v>
      </c>
      <c r="P156">
        <v>2010</v>
      </c>
      <c r="Q156">
        <v>27.8</v>
      </c>
      <c r="R156">
        <v>13.7</v>
      </c>
      <c r="S156">
        <v>3.9</v>
      </c>
      <c r="T156">
        <v>4.7</v>
      </c>
      <c r="U156">
        <v>1</v>
      </c>
      <c r="V156">
        <v>18</v>
      </c>
      <c r="W156">
        <f>IF(nba_draft[[#This Row],[years_played]]&gt;5,1,0)</f>
        <v>1</v>
      </c>
    </row>
    <row r="157" spans="1:23" x14ac:dyDescent="0.25">
      <c r="A157">
        <v>8</v>
      </c>
      <c r="B157" t="s">
        <v>102</v>
      </c>
      <c r="C157" t="s">
        <v>571</v>
      </c>
      <c r="D157" t="s">
        <v>81</v>
      </c>
      <c r="E157">
        <v>13</v>
      </c>
      <c r="F157">
        <v>727</v>
      </c>
      <c r="G157">
        <v>22368</v>
      </c>
      <c r="H157">
        <v>10242</v>
      </c>
      <c r="I157">
        <v>3039</v>
      </c>
      <c r="J157">
        <v>2290</v>
      </c>
      <c r="K157">
        <v>0.40600000000000003</v>
      </c>
      <c r="L157">
        <v>0.309</v>
      </c>
      <c r="M157">
        <v>0.75700000000000001</v>
      </c>
      <c r="N157">
        <v>32.299999999999997</v>
      </c>
      <c r="O157">
        <v>6.9000000000000006E-2</v>
      </c>
      <c r="P157">
        <v>1998</v>
      </c>
      <c r="Q157">
        <v>30.8</v>
      </c>
      <c r="R157">
        <v>14.1</v>
      </c>
      <c r="S157">
        <v>4.2</v>
      </c>
      <c r="T157">
        <v>3.1</v>
      </c>
      <c r="U157">
        <v>1</v>
      </c>
      <c r="V157">
        <v>8</v>
      </c>
      <c r="W157">
        <f>IF(nba_draft[[#This Row],[years_played]]&gt;5,1,0)</f>
        <v>1</v>
      </c>
    </row>
    <row r="158" spans="1:23" x14ac:dyDescent="0.25">
      <c r="A158">
        <v>7</v>
      </c>
      <c r="B158" t="s">
        <v>52</v>
      </c>
      <c r="C158" t="s">
        <v>1334</v>
      </c>
      <c r="D158" t="s">
        <v>179</v>
      </c>
      <c r="E158">
        <v>10</v>
      </c>
      <c r="F158">
        <v>725</v>
      </c>
      <c r="G158">
        <v>23028</v>
      </c>
      <c r="H158">
        <v>10235</v>
      </c>
      <c r="I158">
        <v>3720</v>
      </c>
      <c r="J158">
        <v>1326</v>
      </c>
      <c r="K158">
        <v>0.45300000000000001</v>
      </c>
      <c r="L158">
        <v>0.38</v>
      </c>
      <c r="M158">
        <v>0.80400000000000005</v>
      </c>
      <c r="N158">
        <v>43.6</v>
      </c>
      <c r="O158">
        <v>9.0999999999999998E-2</v>
      </c>
      <c r="P158">
        <v>2012</v>
      </c>
      <c r="Q158">
        <v>31.8</v>
      </c>
      <c r="R158">
        <v>14.1</v>
      </c>
      <c r="S158">
        <v>5.0999999999999996</v>
      </c>
      <c r="T158">
        <v>1.8</v>
      </c>
      <c r="U158">
        <v>1</v>
      </c>
      <c r="V158">
        <v>7</v>
      </c>
      <c r="W158">
        <f>IF(nba_draft[[#This Row],[years_played]]&gt;5,1,0)</f>
        <v>1</v>
      </c>
    </row>
    <row r="159" spans="1:23" x14ac:dyDescent="0.25">
      <c r="A159">
        <v>19</v>
      </c>
      <c r="B159" t="s">
        <v>49</v>
      </c>
      <c r="C159" t="s">
        <v>1181</v>
      </c>
      <c r="D159" t="s">
        <v>269</v>
      </c>
      <c r="E159">
        <v>12</v>
      </c>
      <c r="F159">
        <v>826</v>
      </c>
      <c r="G159">
        <v>22164</v>
      </c>
      <c r="H159">
        <v>10061</v>
      </c>
      <c r="I159">
        <v>1989</v>
      </c>
      <c r="J159">
        <v>4585</v>
      </c>
      <c r="K159">
        <v>0.44400000000000001</v>
      </c>
      <c r="L159">
        <v>0.36</v>
      </c>
      <c r="M159">
        <v>0.84399999999999997</v>
      </c>
      <c r="N159">
        <v>52.4</v>
      </c>
      <c r="O159">
        <v>0.113</v>
      </c>
      <c r="P159">
        <v>2009</v>
      </c>
      <c r="Q159">
        <v>26.8</v>
      </c>
      <c r="R159">
        <v>12.2</v>
      </c>
      <c r="S159">
        <v>2.4</v>
      </c>
      <c r="T159">
        <v>5.6</v>
      </c>
      <c r="U159">
        <v>1</v>
      </c>
      <c r="V159">
        <v>19</v>
      </c>
      <c r="W159">
        <f>IF(nba_draft[[#This Row],[years_played]]&gt;5,1,0)</f>
        <v>1</v>
      </c>
    </row>
    <row r="160" spans="1:23" x14ac:dyDescent="0.25">
      <c r="A160">
        <v>25</v>
      </c>
      <c r="B160" t="s">
        <v>55</v>
      </c>
      <c r="C160" t="s">
        <v>1133</v>
      </c>
      <c r="D160" t="s">
        <v>97</v>
      </c>
      <c r="E160">
        <v>14</v>
      </c>
      <c r="F160">
        <v>896</v>
      </c>
      <c r="G160">
        <v>27560</v>
      </c>
      <c r="H160">
        <v>10011</v>
      </c>
      <c r="I160">
        <v>4632</v>
      </c>
      <c r="J160">
        <v>3176</v>
      </c>
      <c r="K160">
        <v>0.438</v>
      </c>
      <c r="L160">
        <v>0.36299999999999999</v>
      </c>
      <c r="M160">
        <v>0.83799999999999997</v>
      </c>
      <c r="N160">
        <v>62.6</v>
      </c>
      <c r="O160">
        <v>0.109</v>
      </c>
      <c r="P160">
        <v>2008</v>
      </c>
      <c r="Q160">
        <v>30.8</v>
      </c>
      <c r="R160">
        <v>11.2</v>
      </c>
      <c r="S160">
        <v>5.2</v>
      </c>
      <c r="T160">
        <v>3.5</v>
      </c>
      <c r="U160">
        <v>1</v>
      </c>
      <c r="V160">
        <v>25</v>
      </c>
      <c r="W160">
        <f>IF(nba_draft[[#This Row],[years_played]]&gt;5,1,0)</f>
        <v>1</v>
      </c>
    </row>
    <row r="161" spans="1:23" x14ac:dyDescent="0.25">
      <c r="A161">
        <v>11</v>
      </c>
      <c r="B161" t="s">
        <v>138</v>
      </c>
      <c r="C161" t="s">
        <v>157</v>
      </c>
      <c r="D161" t="s">
        <v>158</v>
      </c>
      <c r="E161">
        <v>11</v>
      </c>
      <c r="F161">
        <v>724</v>
      </c>
      <c r="G161">
        <v>21545</v>
      </c>
      <c r="H161">
        <v>9994</v>
      </c>
      <c r="I161">
        <v>2174</v>
      </c>
      <c r="J161">
        <v>4407</v>
      </c>
      <c r="K161">
        <v>0.44800000000000001</v>
      </c>
      <c r="L161">
        <v>0.35499999999999998</v>
      </c>
      <c r="M161">
        <v>0.873</v>
      </c>
      <c r="N161">
        <v>65.900000000000006</v>
      </c>
      <c r="O161">
        <v>0.14699999999999999</v>
      </c>
      <c r="P161">
        <v>1991</v>
      </c>
      <c r="Q161">
        <v>29.8</v>
      </c>
      <c r="R161">
        <v>13.8</v>
      </c>
      <c r="S161">
        <v>3</v>
      </c>
      <c r="T161">
        <v>6.1</v>
      </c>
      <c r="U161">
        <v>1</v>
      </c>
      <c r="V161">
        <v>11</v>
      </c>
      <c r="W161">
        <f>IF(nba_draft[[#This Row],[years_played]]&gt;5,1,0)</f>
        <v>1</v>
      </c>
    </row>
    <row r="162" spans="1:23" x14ac:dyDescent="0.25">
      <c r="A162">
        <v>20</v>
      </c>
      <c r="B162" t="s">
        <v>28</v>
      </c>
      <c r="C162" t="s">
        <v>916</v>
      </c>
      <c r="D162" t="s">
        <v>917</v>
      </c>
      <c r="E162">
        <v>14</v>
      </c>
      <c r="F162">
        <v>878</v>
      </c>
      <c r="G162">
        <v>24539</v>
      </c>
      <c r="H162">
        <v>9940</v>
      </c>
      <c r="I162">
        <v>2595</v>
      </c>
      <c r="J162">
        <v>4508</v>
      </c>
      <c r="K162">
        <v>0.436</v>
      </c>
      <c r="L162">
        <v>0.36799999999999999</v>
      </c>
      <c r="M162">
        <v>0.81</v>
      </c>
      <c r="N162">
        <v>48.3</v>
      </c>
      <c r="O162">
        <v>9.4E-2</v>
      </c>
      <c r="P162">
        <v>2004</v>
      </c>
      <c r="Q162">
        <v>27.9</v>
      </c>
      <c r="R162">
        <v>11.3</v>
      </c>
      <c r="S162">
        <v>3</v>
      </c>
      <c r="T162">
        <v>5.0999999999999996</v>
      </c>
      <c r="U162">
        <v>1</v>
      </c>
      <c r="V162">
        <v>20</v>
      </c>
      <c r="W162">
        <f>IF(nba_draft[[#This Row],[years_played]]&gt;5,1,0)</f>
        <v>1</v>
      </c>
    </row>
    <row r="163" spans="1:23" x14ac:dyDescent="0.25">
      <c r="A163">
        <v>25</v>
      </c>
      <c r="B163" t="s">
        <v>40</v>
      </c>
      <c r="C163" t="s">
        <v>766</v>
      </c>
      <c r="D163" t="s">
        <v>228</v>
      </c>
      <c r="E163">
        <v>14</v>
      </c>
      <c r="F163">
        <v>832</v>
      </c>
      <c r="G163">
        <v>24731</v>
      </c>
      <c r="H163">
        <v>9933</v>
      </c>
      <c r="I163">
        <v>4838</v>
      </c>
      <c r="J163">
        <v>1725</v>
      </c>
      <c r="K163">
        <v>0.46899999999999997</v>
      </c>
      <c r="L163">
        <v>0.312</v>
      </c>
      <c r="M163">
        <v>0.70899999999999996</v>
      </c>
      <c r="N163">
        <v>59.7</v>
      </c>
      <c r="O163">
        <v>0.11600000000000001</v>
      </c>
      <c r="P163">
        <v>2001</v>
      </c>
      <c r="Q163">
        <v>29.7</v>
      </c>
      <c r="R163">
        <v>11.9</v>
      </c>
      <c r="S163">
        <v>5.8</v>
      </c>
      <c r="T163">
        <v>2.1</v>
      </c>
      <c r="U163">
        <v>1</v>
      </c>
      <c r="V163">
        <v>25</v>
      </c>
      <c r="W163">
        <f>IF(nba_draft[[#This Row],[years_played]]&gt;5,1,0)</f>
        <v>1</v>
      </c>
    </row>
    <row r="164" spans="1:23" x14ac:dyDescent="0.25">
      <c r="A164">
        <v>21</v>
      </c>
      <c r="B164" t="s">
        <v>34</v>
      </c>
      <c r="C164" t="s">
        <v>586</v>
      </c>
      <c r="D164" t="s">
        <v>94</v>
      </c>
      <c r="E164">
        <v>12</v>
      </c>
      <c r="F164">
        <v>736</v>
      </c>
      <c r="G164">
        <v>21927</v>
      </c>
      <c r="H164">
        <v>9912</v>
      </c>
      <c r="I164">
        <v>2550</v>
      </c>
      <c r="J164">
        <v>2426</v>
      </c>
      <c r="K164">
        <v>0.44600000000000001</v>
      </c>
      <c r="L164">
        <v>0.36099999999999999</v>
      </c>
      <c r="M164">
        <v>0.78100000000000003</v>
      </c>
      <c r="N164">
        <v>28</v>
      </c>
      <c r="O164">
        <v>6.0999999999999999E-2</v>
      </c>
      <c r="P164">
        <v>1998</v>
      </c>
      <c r="Q164">
        <v>29.8</v>
      </c>
      <c r="R164">
        <v>13.5</v>
      </c>
      <c r="S164">
        <v>3.5</v>
      </c>
      <c r="T164">
        <v>3.3</v>
      </c>
      <c r="U164">
        <v>1</v>
      </c>
      <c r="V164">
        <v>21</v>
      </c>
      <c r="W164">
        <f>IF(nba_draft[[#This Row],[years_played]]&gt;5,1,0)</f>
        <v>1</v>
      </c>
    </row>
    <row r="165" spans="1:23" x14ac:dyDescent="0.25">
      <c r="A165">
        <v>6</v>
      </c>
      <c r="B165" t="s">
        <v>109</v>
      </c>
      <c r="C165" t="s">
        <v>219</v>
      </c>
      <c r="D165" t="s">
        <v>184</v>
      </c>
      <c r="E165">
        <v>13</v>
      </c>
      <c r="F165">
        <v>763</v>
      </c>
      <c r="G165">
        <v>23556</v>
      </c>
      <c r="H165">
        <v>9895</v>
      </c>
      <c r="I165">
        <v>5589</v>
      </c>
      <c r="J165">
        <v>2140</v>
      </c>
      <c r="K165">
        <v>0.45100000000000001</v>
      </c>
      <c r="L165">
        <v>0.28399999999999997</v>
      </c>
      <c r="M165">
        <v>0.75700000000000001</v>
      </c>
      <c r="N165">
        <v>40.200000000000003</v>
      </c>
      <c r="O165">
        <v>8.2000000000000003E-2</v>
      </c>
      <c r="P165">
        <v>1992</v>
      </c>
      <c r="Q165">
        <v>30.9</v>
      </c>
      <c r="R165">
        <v>13</v>
      </c>
      <c r="S165">
        <v>7.3</v>
      </c>
      <c r="T165">
        <v>2.8</v>
      </c>
      <c r="U165">
        <v>1</v>
      </c>
      <c r="V165">
        <v>6</v>
      </c>
      <c r="W165">
        <f>IF(nba_draft[[#This Row],[years_played]]&gt;5,1,0)</f>
        <v>1</v>
      </c>
    </row>
    <row r="166" spans="1:23" x14ac:dyDescent="0.25">
      <c r="A166">
        <v>29</v>
      </c>
      <c r="B166" t="s">
        <v>22</v>
      </c>
      <c r="C166" t="s">
        <v>249</v>
      </c>
      <c r="D166" t="s">
        <v>250</v>
      </c>
      <c r="E166">
        <v>15</v>
      </c>
      <c r="F166">
        <v>1089</v>
      </c>
      <c r="G166">
        <v>33823</v>
      </c>
      <c r="H166">
        <v>9870</v>
      </c>
      <c r="I166">
        <v>8409</v>
      </c>
      <c r="J166">
        <v>1661</v>
      </c>
      <c r="K166">
        <v>0.46</v>
      </c>
      <c r="L166">
        <v>0.13600000000000001</v>
      </c>
      <c r="M166">
        <v>0.79400000000000004</v>
      </c>
      <c r="N166">
        <v>89.8</v>
      </c>
      <c r="O166">
        <v>0.128</v>
      </c>
      <c r="P166">
        <v>1992</v>
      </c>
      <c r="Q166">
        <v>31.1</v>
      </c>
      <c r="R166">
        <v>9.1</v>
      </c>
      <c r="S166">
        <v>7.7</v>
      </c>
      <c r="T166">
        <v>1.5</v>
      </c>
      <c r="U166">
        <v>2</v>
      </c>
      <c r="V166">
        <v>2</v>
      </c>
      <c r="W166">
        <f>IF(nba_draft[[#This Row],[years_played]]&gt;5,1,0)</f>
        <v>1</v>
      </c>
    </row>
    <row r="167" spans="1:23" x14ac:dyDescent="0.25">
      <c r="A167">
        <v>17</v>
      </c>
      <c r="B167" t="s">
        <v>127</v>
      </c>
      <c r="C167" t="s">
        <v>962</v>
      </c>
      <c r="D167" t="s">
        <v>153</v>
      </c>
      <c r="E167">
        <v>10</v>
      </c>
      <c r="F167">
        <v>586</v>
      </c>
      <c r="G167">
        <v>18487</v>
      </c>
      <c r="H167">
        <v>9855</v>
      </c>
      <c r="I167">
        <v>2888</v>
      </c>
      <c r="J167">
        <v>1097</v>
      </c>
      <c r="K167">
        <v>0.434</v>
      </c>
      <c r="L167">
        <v>0.38</v>
      </c>
      <c r="M167">
        <v>0.84799999999999998</v>
      </c>
      <c r="N167">
        <v>48.5</v>
      </c>
      <c r="O167">
        <v>0.126</v>
      </c>
      <c r="P167">
        <v>2005</v>
      </c>
      <c r="Q167">
        <v>31.5</v>
      </c>
      <c r="R167">
        <v>16.8</v>
      </c>
      <c r="S167">
        <v>4.9000000000000004</v>
      </c>
      <c r="T167">
        <v>1.9</v>
      </c>
      <c r="U167">
        <v>1</v>
      </c>
      <c r="V167">
        <v>17</v>
      </c>
      <c r="W167">
        <f>IF(nba_draft[[#This Row],[years_played]]&gt;5,1,0)</f>
        <v>1</v>
      </c>
    </row>
    <row r="168" spans="1:23" x14ac:dyDescent="0.25">
      <c r="A168">
        <v>29</v>
      </c>
      <c r="B168" t="s">
        <v>95</v>
      </c>
      <c r="C168" t="s">
        <v>96</v>
      </c>
      <c r="D168" t="s">
        <v>97</v>
      </c>
      <c r="E168">
        <v>13</v>
      </c>
      <c r="F168">
        <v>846</v>
      </c>
      <c r="G168">
        <v>22212</v>
      </c>
      <c r="H168">
        <v>9810</v>
      </c>
      <c r="I168">
        <v>3555</v>
      </c>
      <c r="J168">
        <v>3119</v>
      </c>
      <c r="K168">
        <v>0.44700000000000001</v>
      </c>
      <c r="L168">
        <v>0.33500000000000002</v>
      </c>
      <c r="M168">
        <v>0.72899999999999998</v>
      </c>
      <c r="N168">
        <v>59.6</v>
      </c>
      <c r="O168">
        <v>0.129</v>
      </c>
      <c r="P168">
        <v>1990</v>
      </c>
      <c r="Q168">
        <v>26.3</v>
      </c>
      <c r="R168">
        <v>11.6</v>
      </c>
      <c r="S168">
        <v>4.2</v>
      </c>
      <c r="T168">
        <v>3.7</v>
      </c>
      <c r="U168">
        <v>2</v>
      </c>
      <c r="V168">
        <v>2</v>
      </c>
      <c r="W168">
        <f>IF(nba_draft[[#This Row],[years_played]]&gt;5,1,0)</f>
        <v>1</v>
      </c>
    </row>
    <row r="169" spans="1:23" x14ac:dyDescent="0.25">
      <c r="A169">
        <v>41</v>
      </c>
      <c r="B169" t="s">
        <v>28</v>
      </c>
      <c r="C169" t="s">
        <v>1482</v>
      </c>
      <c r="D169" t="s">
        <v>97</v>
      </c>
      <c r="E169">
        <v>7</v>
      </c>
      <c r="F169">
        <v>505</v>
      </c>
      <c r="G169">
        <v>15260</v>
      </c>
      <c r="H169">
        <v>9712</v>
      </c>
      <c r="I169">
        <v>5155</v>
      </c>
      <c r="J169">
        <v>3107</v>
      </c>
      <c r="K169">
        <v>0.53800000000000003</v>
      </c>
      <c r="L169">
        <v>0.35099999999999998</v>
      </c>
      <c r="M169">
        <v>0.83099999999999996</v>
      </c>
      <c r="N169">
        <v>75</v>
      </c>
      <c r="O169">
        <v>0.23599999999999999</v>
      </c>
      <c r="P169">
        <v>2014</v>
      </c>
      <c r="Q169">
        <v>30.2</v>
      </c>
      <c r="R169">
        <v>19.2</v>
      </c>
      <c r="S169">
        <v>10.199999999999999</v>
      </c>
      <c r="T169">
        <v>6.2</v>
      </c>
      <c r="U169">
        <v>2</v>
      </c>
      <c r="V169">
        <v>11</v>
      </c>
      <c r="W169">
        <f>IF(nba_draft[[#This Row],[years_played]]&gt;5,1,0)</f>
        <v>1</v>
      </c>
    </row>
    <row r="170" spans="1:23" x14ac:dyDescent="0.25">
      <c r="A170">
        <v>9</v>
      </c>
      <c r="B170" t="s">
        <v>88</v>
      </c>
      <c r="C170" t="s">
        <v>1336</v>
      </c>
      <c r="D170" t="s">
        <v>79</v>
      </c>
      <c r="E170">
        <v>10</v>
      </c>
      <c r="F170">
        <v>697</v>
      </c>
      <c r="G170">
        <v>20799</v>
      </c>
      <c r="H170">
        <v>9684</v>
      </c>
      <c r="I170">
        <v>9309</v>
      </c>
      <c r="J170">
        <v>976</v>
      </c>
      <c r="K170">
        <v>0.53800000000000003</v>
      </c>
      <c r="L170">
        <v>0.13300000000000001</v>
      </c>
      <c r="M170">
        <v>0.47099999999999997</v>
      </c>
      <c r="N170">
        <v>65.7</v>
      </c>
      <c r="O170">
        <v>0.152</v>
      </c>
      <c r="P170">
        <v>2012</v>
      </c>
      <c r="Q170">
        <v>29.8</v>
      </c>
      <c r="R170">
        <v>13.9</v>
      </c>
      <c r="S170">
        <v>13.4</v>
      </c>
      <c r="T170">
        <v>1.4</v>
      </c>
      <c r="U170">
        <v>1</v>
      </c>
      <c r="V170">
        <v>9</v>
      </c>
      <c r="W170">
        <f>IF(nba_draft[[#This Row],[years_played]]&gt;5,1,0)</f>
        <v>1</v>
      </c>
    </row>
    <row r="171" spans="1:23" x14ac:dyDescent="0.25">
      <c r="A171">
        <v>7</v>
      </c>
      <c r="B171" t="s">
        <v>95</v>
      </c>
      <c r="C171" t="s">
        <v>852</v>
      </c>
      <c r="D171" t="s">
        <v>108</v>
      </c>
      <c r="E171">
        <v>13</v>
      </c>
      <c r="F171">
        <v>879</v>
      </c>
      <c r="G171">
        <v>27015</v>
      </c>
      <c r="H171">
        <v>9594</v>
      </c>
      <c r="I171">
        <v>2576</v>
      </c>
      <c r="J171">
        <v>4245</v>
      </c>
      <c r="K171">
        <v>0.41099999999999998</v>
      </c>
      <c r="L171">
        <v>0.375</v>
      </c>
      <c r="M171">
        <v>0.8</v>
      </c>
      <c r="N171">
        <v>52.5</v>
      </c>
      <c r="O171">
        <v>9.2999999999999999E-2</v>
      </c>
      <c r="P171">
        <v>2003</v>
      </c>
      <c r="Q171">
        <v>30.7</v>
      </c>
      <c r="R171">
        <v>10.9</v>
      </c>
      <c r="S171">
        <v>2.9</v>
      </c>
      <c r="T171">
        <v>4.8</v>
      </c>
      <c r="U171">
        <v>1</v>
      </c>
      <c r="V171">
        <v>7</v>
      </c>
      <c r="W171">
        <f>IF(nba_draft[[#This Row],[years_played]]&gt;5,1,0)</f>
        <v>1</v>
      </c>
    </row>
    <row r="172" spans="1:23" x14ac:dyDescent="0.25">
      <c r="A172">
        <v>60</v>
      </c>
      <c r="B172" t="s">
        <v>40</v>
      </c>
      <c r="C172" t="s">
        <v>1326</v>
      </c>
      <c r="D172" t="s">
        <v>325</v>
      </c>
      <c r="E172">
        <v>11</v>
      </c>
      <c r="F172">
        <v>533</v>
      </c>
      <c r="G172">
        <v>15344</v>
      </c>
      <c r="H172">
        <v>9574</v>
      </c>
      <c r="I172">
        <v>1300</v>
      </c>
      <c r="J172">
        <v>2614</v>
      </c>
      <c r="K172">
        <v>0.434</v>
      </c>
      <c r="L172">
        <v>0.36199999999999999</v>
      </c>
      <c r="M172">
        <v>0.872</v>
      </c>
      <c r="N172">
        <v>45</v>
      </c>
      <c r="O172">
        <v>0.14099999999999999</v>
      </c>
      <c r="P172">
        <v>2011</v>
      </c>
      <c r="Q172">
        <v>28.8</v>
      </c>
      <c r="R172">
        <v>18</v>
      </c>
      <c r="S172">
        <v>2.4</v>
      </c>
      <c r="T172">
        <v>4.9000000000000004</v>
      </c>
      <c r="U172">
        <v>2</v>
      </c>
      <c r="V172">
        <v>30</v>
      </c>
      <c r="W172">
        <f>IF(nba_draft[[#This Row],[years_played]]&gt;5,1,0)</f>
        <v>1</v>
      </c>
    </row>
    <row r="173" spans="1:23" x14ac:dyDescent="0.25">
      <c r="A173">
        <v>2</v>
      </c>
      <c r="B173" t="s">
        <v>43</v>
      </c>
      <c r="C173" t="s">
        <v>741</v>
      </c>
      <c r="D173" t="s">
        <v>97</v>
      </c>
      <c r="E173">
        <v>19</v>
      </c>
      <c r="F173">
        <v>1160</v>
      </c>
      <c r="G173">
        <v>31617</v>
      </c>
      <c r="H173">
        <v>9509</v>
      </c>
      <c r="I173">
        <v>10467</v>
      </c>
      <c r="J173">
        <v>967</v>
      </c>
      <c r="K173">
        <v>0.59699999999999998</v>
      </c>
      <c r="L173">
        <v>0</v>
      </c>
      <c r="M173">
        <v>0.64400000000000002</v>
      </c>
      <c r="N173">
        <v>102.1</v>
      </c>
      <c r="O173">
        <v>0.155</v>
      </c>
      <c r="P173">
        <v>2001</v>
      </c>
      <c r="Q173">
        <v>27.3</v>
      </c>
      <c r="R173">
        <v>8.1999999999999993</v>
      </c>
      <c r="S173">
        <v>9</v>
      </c>
      <c r="T173">
        <v>0.8</v>
      </c>
      <c r="U173">
        <v>1</v>
      </c>
      <c r="V173">
        <v>2</v>
      </c>
      <c r="W173">
        <f>IF(nba_draft[[#This Row],[years_played]]&gt;5,1,0)</f>
        <v>1</v>
      </c>
    </row>
    <row r="174" spans="1:23" x14ac:dyDescent="0.25">
      <c r="A174">
        <v>9</v>
      </c>
      <c r="B174" t="s">
        <v>28</v>
      </c>
      <c r="C174" t="s">
        <v>289</v>
      </c>
      <c r="D174" t="s">
        <v>269</v>
      </c>
      <c r="E174">
        <v>12</v>
      </c>
      <c r="F174">
        <v>866</v>
      </c>
      <c r="G174">
        <v>21873</v>
      </c>
      <c r="H174">
        <v>9468</v>
      </c>
      <c r="I174">
        <v>3881</v>
      </c>
      <c r="J174">
        <v>1722</v>
      </c>
      <c r="K174">
        <v>0.45100000000000001</v>
      </c>
      <c r="L174">
        <v>0.34699999999999998</v>
      </c>
      <c r="M174">
        <v>0.69</v>
      </c>
      <c r="N174">
        <v>38.799999999999997</v>
      </c>
      <c r="O174">
        <v>8.5000000000000006E-2</v>
      </c>
      <c r="P174">
        <v>1993</v>
      </c>
      <c r="Q174">
        <v>25.3</v>
      </c>
      <c r="R174">
        <v>10.9</v>
      </c>
      <c r="S174">
        <v>4.5</v>
      </c>
      <c r="T174">
        <v>2</v>
      </c>
      <c r="U174">
        <v>1</v>
      </c>
      <c r="V174">
        <v>9</v>
      </c>
      <c r="W174">
        <f>IF(nba_draft[[#This Row],[years_played]]&gt;5,1,0)</f>
        <v>1</v>
      </c>
    </row>
    <row r="175" spans="1:23" x14ac:dyDescent="0.25">
      <c r="A175">
        <v>7</v>
      </c>
      <c r="B175" t="s">
        <v>22</v>
      </c>
      <c r="C175" t="s">
        <v>513</v>
      </c>
      <c r="D175" t="s">
        <v>458</v>
      </c>
      <c r="E175">
        <v>13</v>
      </c>
      <c r="F175">
        <v>824</v>
      </c>
      <c r="G175">
        <v>21336</v>
      </c>
      <c r="H175">
        <v>9454</v>
      </c>
      <c r="I175">
        <v>3379</v>
      </c>
      <c r="J175">
        <v>1272</v>
      </c>
      <c r="K175">
        <v>0.437</v>
      </c>
      <c r="L175">
        <v>0.36899999999999999</v>
      </c>
      <c r="M175">
        <v>0.75800000000000001</v>
      </c>
      <c r="N175">
        <v>35.200000000000003</v>
      </c>
      <c r="O175">
        <v>7.9000000000000001E-2</v>
      </c>
      <c r="P175">
        <v>1997</v>
      </c>
      <c r="Q175">
        <v>25.9</v>
      </c>
      <c r="R175">
        <v>11.5</v>
      </c>
      <c r="S175">
        <v>4.0999999999999996</v>
      </c>
      <c r="T175">
        <v>1.5</v>
      </c>
      <c r="U175">
        <v>1</v>
      </c>
      <c r="V175">
        <v>7</v>
      </c>
      <c r="W175">
        <f>IF(nba_draft[[#This Row],[years_played]]&gt;5,1,0)</f>
        <v>1</v>
      </c>
    </row>
    <row r="176" spans="1:23" x14ac:dyDescent="0.25">
      <c r="A176">
        <v>24</v>
      </c>
      <c r="B176" t="s">
        <v>104</v>
      </c>
      <c r="C176" t="s">
        <v>655</v>
      </c>
      <c r="D176" t="s">
        <v>97</v>
      </c>
      <c r="E176">
        <v>13</v>
      </c>
      <c r="F176">
        <v>797</v>
      </c>
      <c r="G176">
        <v>23916</v>
      </c>
      <c r="H176">
        <v>9431</v>
      </c>
      <c r="I176">
        <v>4352</v>
      </c>
      <c r="J176">
        <v>2169</v>
      </c>
      <c r="K176">
        <v>0.47399999999999998</v>
      </c>
      <c r="L176">
        <v>0.31</v>
      </c>
      <c r="M176">
        <v>0.754</v>
      </c>
      <c r="N176">
        <v>75.400000000000006</v>
      </c>
      <c r="O176">
        <v>0.151</v>
      </c>
      <c r="P176">
        <v>1999</v>
      </c>
      <c r="Q176">
        <v>30</v>
      </c>
      <c r="R176">
        <v>11.8</v>
      </c>
      <c r="S176">
        <v>5.5</v>
      </c>
      <c r="T176">
        <v>2.7</v>
      </c>
      <c r="U176">
        <v>1</v>
      </c>
      <c r="V176">
        <v>24</v>
      </c>
      <c r="W176">
        <f>IF(nba_draft[[#This Row],[years_played]]&gt;5,1,0)</f>
        <v>1</v>
      </c>
    </row>
    <row r="177" spans="1:23" x14ac:dyDescent="0.25">
      <c r="A177">
        <v>5</v>
      </c>
      <c r="B177" t="s">
        <v>37</v>
      </c>
      <c r="C177" t="s">
        <v>283</v>
      </c>
      <c r="D177" t="s">
        <v>142</v>
      </c>
      <c r="E177">
        <v>9</v>
      </c>
      <c r="F177">
        <v>563</v>
      </c>
      <c r="G177">
        <v>17851</v>
      </c>
      <c r="H177">
        <v>9405</v>
      </c>
      <c r="I177">
        <v>2166</v>
      </c>
      <c r="J177">
        <v>1535</v>
      </c>
      <c r="K177">
        <v>0.443</v>
      </c>
      <c r="L177">
        <v>0.35199999999999998</v>
      </c>
      <c r="M177">
        <v>0.81200000000000006</v>
      </c>
      <c r="N177">
        <v>22.8</v>
      </c>
      <c r="O177">
        <v>6.0999999999999999E-2</v>
      </c>
      <c r="P177">
        <v>1993</v>
      </c>
      <c r="Q177">
        <v>31.7</v>
      </c>
      <c r="R177">
        <v>16.7</v>
      </c>
      <c r="S177">
        <v>3.8</v>
      </c>
      <c r="T177">
        <v>2.7</v>
      </c>
      <c r="U177">
        <v>1</v>
      </c>
      <c r="V177">
        <v>5</v>
      </c>
      <c r="W177">
        <f>IF(nba_draft[[#This Row],[years_played]]&gt;5,1,0)</f>
        <v>1</v>
      </c>
    </row>
    <row r="178" spans="1:23" x14ac:dyDescent="0.25">
      <c r="A178">
        <v>22</v>
      </c>
      <c r="B178" t="s">
        <v>28</v>
      </c>
      <c r="C178" t="s">
        <v>967</v>
      </c>
      <c r="D178" t="s">
        <v>33</v>
      </c>
      <c r="E178">
        <v>13</v>
      </c>
      <c r="F178">
        <v>867</v>
      </c>
      <c r="G178">
        <v>24140</v>
      </c>
      <c r="H178">
        <v>9349</v>
      </c>
      <c r="I178">
        <v>2487</v>
      </c>
      <c r="J178">
        <v>3952</v>
      </c>
      <c r="K178">
        <v>0.44</v>
      </c>
      <c r="L178">
        <v>0.34300000000000003</v>
      </c>
      <c r="M178">
        <v>0.85499999999999998</v>
      </c>
      <c r="N178">
        <v>36.799999999999997</v>
      </c>
      <c r="O178">
        <v>7.2999999999999995E-2</v>
      </c>
      <c r="P178">
        <v>2005</v>
      </c>
      <c r="Q178">
        <v>27.8</v>
      </c>
      <c r="R178">
        <v>10.8</v>
      </c>
      <c r="S178">
        <v>2.9</v>
      </c>
      <c r="T178">
        <v>4.5999999999999996</v>
      </c>
      <c r="U178">
        <v>1</v>
      </c>
      <c r="V178">
        <v>22</v>
      </c>
      <c r="W178">
        <f>IF(nba_draft[[#This Row],[years_played]]&gt;5,1,0)</f>
        <v>1</v>
      </c>
    </row>
    <row r="179" spans="1:23" x14ac:dyDescent="0.25">
      <c r="A179">
        <v>4</v>
      </c>
      <c r="B179" t="s">
        <v>40</v>
      </c>
      <c r="C179" t="s">
        <v>1165</v>
      </c>
      <c r="D179" t="s">
        <v>196</v>
      </c>
      <c r="E179">
        <v>10</v>
      </c>
      <c r="F179">
        <v>594</v>
      </c>
      <c r="G179">
        <v>18242</v>
      </c>
      <c r="H179">
        <v>9347</v>
      </c>
      <c r="I179">
        <v>2720</v>
      </c>
      <c r="J179">
        <v>2852</v>
      </c>
      <c r="K179">
        <v>0.44</v>
      </c>
      <c r="L179">
        <v>0.32300000000000001</v>
      </c>
      <c r="M179">
        <v>0.75700000000000001</v>
      </c>
      <c r="N179">
        <v>28.4</v>
      </c>
      <c r="O179">
        <v>7.4999999999999997E-2</v>
      </c>
      <c r="P179">
        <v>2009</v>
      </c>
      <c r="Q179">
        <v>30.7</v>
      </c>
      <c r="R179">
        <v>15.7</v>
      </c>
      <c r="S179">
        <v>4.5999999999999996</v>
      </c>
      <c r="T179">
        <v>4.8</v>
      </c>
      <c r="U179">
        <v>1</v>
      </c>
      <c r="V179">
        <v>4</v>
      </c>
      <c r="W179">
        <f>IF(nba_draft[[#This Row],[years_played]]&gt;5,1,0)</f>
        <v>1</v>
      </c>
    </row>
    <row r="180" spans="1:23" x14ac:dyDescent="0.25">
      <c r="A180">
        <v>1</v>
      </c>
      <c r="B180" t="s">
        <v>22</v>
      </c>
      <c r="C180" t="s">
        <v>683</v>
      </c>
      <c r="D180" t="s">
        <v>310</v>
      </c>
      <c r="E180">
        <v>15</v>
      </c>
      <c r="F180">
        <v>757</v>
      </c>
      <c r="G180">
        <v>23134</v>
      </c>
      <c r="H180">
        <v>9325</v>
      </c>
      <c r="I180">
        <v>5159</v>
      </c>
      <c r="J180">
        <v>1439</v>
      </c>
      <c r="K180">
        <v>0.48299999999999998</v>
      </c>
      <c r="L180">
        <v>0.23400000000000001</v>
      </c>
      <c r="M180">
        <v>0.629</v>
      </c>
      <c r="N180">
        <v>48</v>
      </c>
      <c r="O180">
        <v>0.1</v>
      </c>
      <c r="P180">
        <v>2000</v>
      </c>
      <c r="Q180">
        <v>30.6</v>
      </c>
      <c r="R180">
        <v>12.3</v>
      </c>
      <c r="S180">
        <v>6.8</v>
      </c>
      <c r="T180">
        <v>1.9</v>
      </c>
      <c r="U180">
        <v>1</v>
      </c>
      <c r="V180">
        <v>1</v>
      </c>
      <c r="W180">
        <f>IF(nba_draft[[#This Row],[years_played]]&gt;5,1,0)</f>
        <v>1</v>
      </c>
    </row>
    <row r="181" spans="1:23" x14ac:dyDescent="0.25">
      <c r="A181">
        <v>17</v>
      </c>
      <c r="B181" t="s">
        <v>25</v>
      </c>
      <c r="C181" t="s">
        <v>236</v>
      </c>
      <c r="D181" t="s">
        <v>237</v>
      </c>
      <c r="E181">
        <v>15</v>
      </c>
      <c r="F181">
        <v>827</v>
      </c>
      <c r="G181">
        <v>26079</v>
      </c>
      <c r="H181">
        <v>9301</v>
      </c>
      <c r="I181">
        <v>3382</v>
      </c>
      <c r="J181">
        <v>2992</v>
      </c>
      <c r="K181">
        <v>0.42599999999999999</v>
      </c>
      <c r="L181">
        <v>0.35399999999999998</v>
      </c>
      <c r="M181">
        <v>0.82099999999999995</v>
      </c>
      <c r="N181">
        <v>55.7</v>
      </c>
      <c r="O181">
        <v>0.10199999999999999</v>
      </c>
      <c r="P181">
        <v>1992</v>
      </c>
      <c r="Q181">
        <v>31.5</v>
      </c>
      <c r="R181">
        <v>11.2</v>
      </c>
      <c r="S181">
        <v>4.0999999999999996</v>
      </c>
      <c r="T181">
        <v>3.6</v>
      </c>
      <c r="U181">
        <v>1</v>
      </c>
      <c r="V181">
        <v>17</v>
      </c>
      <c r="W181">
        <f>IF(nba_draft[[#This Row],[years_played]]&gt;5,1,0)</f>
        <v>1</v>
      </c>
    </row>
    <row r="182" spans="1:23" x14ac:dyDescent="0.25">
      <c r="A182">
        <v>21</v>
      </c>
      <c r="B182" t="s">
        <v>75</v>
      </c>
      <c r="C182" t="s">
        <v>1024</v>
      </c>
      <c r="D182" t="s">
        <v>282</v>
      </c>
      <c r="E182">
        <v>16</v>
      </c>
      <c r="F182">
        <v>949</v>
      </c>
      <c r="G182">
        <v>28440</v>
      </c>
      <c r="H182">
        <v>9299</v>
      </c>
      <c r="I182">
        <v>4335</v>
      </c>
      <c r="J182">
        <v>7542</v>
      </c>
      <c r="K182">
        <v>0.45600000000000002</v>
      </c>
      <c r="L182">
        <v>0.32300000000000001</v>
      </c>
      <c r="M182">
        <v>0.61199999999999999</v>
      </c>
      <c r="N182">
        <v>61.5</v>
      </c>
      <c r="O182">
        <v>0.104</v>
      </c>
      <c r="P182">
        <v>2006</v>
      </c>
      <c r="Q182">
        <v>30</v>
      </c>
      <c r="R182">
        <v>9.8000000000000007</v>
      </c>
      <c r="S182">
        <v>4.5999999999999996</v>
      </c>
      <c r="T182">
        <v>7.9</v>
      </c>
      <c r="U182">
        <v>1</v>
      </c>
      <c r="V182">
        <v>21</v>
      </c>
      <c r="W182">
        <f>IF(nba_draft[[#This Row],[years_played]]&gt;5,1,0)</f>
        <v>1</v>
      </c>
    </row>
    <row r="183" spans="1:23" x14ac:dyDescent="0.25">
      <c r="A183">
        <v>26</v>
      </c>
      <c r="B183" t="s">
        <v>82</v>
      </c>
      <c r="C183" t="s">
        <v>1134</v>
      </c>
      <c r="D183" t="s">
        <v>1135</v>
      </c>
      <c r="E183">
        <v>14</v>
      </c>
      <c r="F183">
        <v>856</v>
      </c>
      <c r="G183">
        <v>23458</v>
      </c>
      <c r="H183">
        <v>9268</v>
      </c>
      <c r="I183">
        <v>2623</v>
      </c>
      <c r="J183">
        <v>2678</v>
      </c>
      <c r="K183">
        <v>0.45700000000000002</v>
      </c>
      <c r="L183">
        <v>0.38100000000000001</v>
      </c>
      <c r="M183">
        <v>0.80700000000000005</v>
      </c>
      <c r="N183">
        <v>69</v>
      </c>
      <c r="O183">
        <v>0.14099999999999999</v>
      </c>
      <c r="P183">
        <v>2008</v>
      </c>
      <c r="Q183">
        <v>27.4</v>
      </c>
      <c r="R183">
        <v>10.8</v>
      </c>
      <c r="S183">
        <v>3.1</v>
      </c>
      <c r="T183">
        <v>3.1</v>
      </c>
      <c r="U183">
        <v>1</v>
      </c>
      <c r="V183">
        <v>26</v>
      </c>
      <c r="W183">
        <f>IF(nba_draft[[#This Row],[years_played]]&gt;5,1,0)</f>
        <v>1</v>
      </c>
    </row>
    <row r="184" spans="1:23" x14ac:dyDescent="0.25">
      <c r="A184">
        <v>2</v>
      </c>
      <c r="B184" t="s">
        <v>395</v>
      </c>
      <c r="C184" t="s">
        <v>451</v>
      </c>
      <c r="D184" t="s">
        <v>423</v>
      </c>
      <c r="E184">
        <v>17</v>
      </c>
      <c r="F184">
        <v>973</v>
      </c>
      <c r="G184">
        <v>28684</v>
      </c>
      <c r="H184">
        <v>9262</v>
      </c>
      <c r="I184">
        <v>9513</v>
      </c>
      <c r="J184">
        <v>1837</v>
      </c>
      <c r="K184">
        <v>0.46600000000000003</v>
      </c>
      <c r="L184">
        <v>0.20499999999999999</v>
      </c>
      <c r="M184">
        <v>0.67</v>
      </c>
      <c r="N184">
        <v>81.599999999999994</v>
      </c>
      <c r="O184">
        <v>0.13700000000000001</v>
      </c>
      <c r="P184">
        <v>1996</v>
      </c>
      <c r="Q184">
        <v>29.5</v>
      </c>
      <c r="R184">
        <v>9.5</v>
      </c>
      <c r="S184">
        <v>9.8000000000000007</v>
      </c>
      <c r="T184">
        <v>1.9</v>
      </c>
      <c r="U184">
        <v>1</v>
      </c>
      <c r="V184">
        <v>2</v>
      </c>
      <c r="W184">
        <f>IF(nba_draft[[#This Row],[years_played]]&gt;5,1,0)</f>
        <v>1</v>
      </c>
    </row>
    <row r="185" spans="1:23" x14ac:dyDescent="0.25">
      <c r="A185">
        <v>1</v>
      </c>
      <c r="B185" t="s">
        <v>55</v>
      </c>
      <c r="C185" t="s">
        <v>791</v>
      </c>
      <c r="D185" t="s">
        <v>97</v>
      </c>
      <c r="E185">
        <v>8</v>
      </c>
      <c r="F185">
        <v>486</v>
      </c>
      <c r="G185">
        <v>15818</v>
      </c>
      <c r="H185">
        <v>9247</v>
      </c>
      <c r="I185">
        <v>4494</v>
      </c>
      <c r="J185">
        <v>769</v>
      </c>
      <c r="K185">
        <v>0.52400000000000002</v>
      </c>
      <c r="L185">
        <v>0.2</v>
      </c>
      <c r="M185">
        <v>0.83299999999999996</v>
      </c>
      <c r="N185">
        <v>65.900000000000006</v>
      </c>
      <c r="O185">
        <v>0.2</v>
      </c>
      <c r="P185">
        <v>2002</v>
      </c>
      <c r="Q185">
        <v>32.5</v>
      </c>
      <c r="R185">
        <v>19</v>
      </c>
      <c r="S185">
        <v>9.1999999999999993</v>
      </c>
      <c r="T185">
        <v>1.6</v>
      </c>
      <c r="U185">
        <v>1</v>
      </c>
      <c r="V185">
        <v>1</v>
      </c>
      <c r="W185">
        <f>IF(nba_draft[[#This Row],[years_played]]&gt;5,1,0)</f>
        <v>1</v>
      </c>
    </row>
    <row r="186" spans="1:23" x14ac:dyDescent="0.25">
      <c r="A186">
        <v>2</v>
      </c>
      <c r="B186" t="s">
        <v>102</v>
      </c>
      <c r="C186" t="s">
        <v>507</v>
      </c>
      <c r="D186" t="s">
        <v>328</v>
      </c>
      <c r="E186">
        <v>9</v>
      </c>
      <c r="F186">
        <v>575</v>
      </c>
      <c r="G186">
        <v>18150</v>
      </c>
      <c r="H186">
        <v>9206</v>
      </c>
      <c r="I186">
        <v>3909</v>
      </c>
      <c r="J186">
        <v>900</v>
      </c>
      <c r="K186">
        <v>0.443</v>
      </c>
      <c r="L186">
        <v>0.36099999999999999</v>
      </c>
      <c r="M186">
        <v>0.83499999999999996</v>
      </c>
      <c r="N186">
        <v>41.7</v>
      </c>
      <c r="O186">
        <v>0.11</v>
      </c>
      <c r="P186">
        <v>1997</v>
      </c>
      <c r="Q186">
        <v>31.6</v>
      </c>
      <c r="R186">
        <v>16</v>
      </c>
      <c r="S186">
        <v>6.8</v>
      </c>
      <c r="T186">
        <v>1.6</v>
      </c>
      <c r="U186">
        <v>1</v>
      </c>
      <c r="V186">
        <v>2</v>
      </c>
      <c r="W186">
        <f>IF(nba_draft[[#This Row],[years_played]]&gt;5,1,0)</f>
        <v>1</v>
      </c>
    </row>
    <row r="187" spans="1:23" x14ac:dyDescent="0.25">
      <c r="A187">
        <v>6</v>
      </c>
      <c r="B187" t="s">
        <v>37</v>
      </c>
      <c r="C187" t="s">
        <v>634</v>
      </c>
      <c r="D187" t="s">
        <v>635</v>
      </c>
      <c r="E187">
        <v>10</v>
      </c>
      <c r="F187">
        <v>651</v>
      </c>
      <c r="G187">
        <v>20052</v>
      </c>
      <c r="H187">
        <v>9195</v>
      </c>
      <c r="I187">
        <v>2602</v>
      </c>
      <c r="J187">
        <v>1532</v>
      </c>
      <c r="K187">
        <v>0.48499999999999999</v>
      </c>
      <c r="L187">
        <v>0.40600000000000003</v>
      </c>
      <c r="M187">
        <v>0.86</v>
      </c>
      <c r="N187">
        <v>53.3</v>
      </c>
      <c r="O187">
        <v>0.127</v>
      </c>
      <c r="P187">
        <v>1999</v>
      </c>
      <c r="Q187">
        <v>30.8</v>
      </c>
      <c r="R187">
        <v>14.1</v>
      </c>
      <c r="S187">
        <v>4</v>
      </c>
      <c r="T187">
        <v>2.4</v>
      </c>
      <c r="U187">
        <v>1</v>
      </c>
      <c r="V187">
        <v>6</v>
      </c>
      <c r="W187">
        <f>IF(nba_draft[[#This Row],[years_played]]&gt;5,1,0)</f>
        <v>1</v>
      </c>
    </row>
    <row r="188" spans="1:23" x14ac:dyDescent="0.25">
      <c r="A188">
        <v>13</v>
      </c>
      <c r="B188" t="s">
        <v>40</v>
      </c>
      <c r="C188" t="s">
        <v>402</v>
      </c>
      <c r="D188" t="s">
        <v>222</v>
      </c>
      <c r="E188">
        <v>12</v>
      </c>
      <c r="F188">
        <v>822</v>
      </c>
      <c r="G188">
        <v>18749</v>
      </c>
      <c r="H188">
        <v>9147</v>
      </c>
      <c r="I188">
        <v>3183</v>
      </c>
      <c r="J188">
        <v>972</v>
      </c>
      <c r="K188">
        <v>0.49</v>
      </c>
      <c r="L188">
        <v>0.13600000000000001</v>
      </c>
      <c r="M188">
        <v>0.71399999999999997</v>
      </c>
      <c r="N188">
        <v>34.700000000000003</v>
      </c>
      <c r="O188">
        <v>8.8999999999999996E-2</v>
      </c>
      <c r="P188">
        <v>1995</v>
      </c>
      <c r="Q188">
        <v>22.8</v>
      </c>
      <c r="R188">
        <v>11.1</v>
      </c>
      <c r="S188">
        <v>3.9</v>
      </c>
      <c r="T188">
        <v>1.2</v>
      </c>
      <c r="U188">
        <v>1</v>
      </c>
      <c r="V188">
        <v>13</v>
      </c>
      <c r="W188">
        <f>IF(nba_draft[[#This Row],[years_played]]&gt;5,1,0)</f>
        <v>1</v>
      </c>
    </row>
    <row r="189" spans="1:23" x14ac:dyDescent="0.25">
      <c r="A189">
        <v>9</v>
      </c>
      <c r="B189" t="s">
        <v>34</v>
      </c>
      <c r="C189" t="s">
        <v>1116</v>
      </c>
      <c r="D189" t="s">
        <v>60</v>
      </c>
      <c r="E189">
        <v>14</v>
      </c>
      <c r="F189">
        <v>955</v>
      </c>
      <c r="G189">
        <v>22478</v>
      </c>
      <c r="H189">
        <v>9147</v>
      </c>
      <c r="I189">
        <v>1778</v>
      </c>
      <c r="J189">
        <v>3728</v>
      </c>
      <c r="K189">
        <v>0.41099999999999998</v>
      </c>
      <c r="L189">
        <v>0.38</v>
      </c>
      <c r="M189">
        <v>0.86699999999999999</v>
      </c>
      <c r="N189">
        <v>47</v>
      </c>
      <c r="O189">
        <v>0.1</v>
      </c>
      <c r="P189">
        <v>2008</v>
      </c>
      <c r="Q189">
        <v>23.5</v>
      </c>
      <c r="R189">
        <v>9.6</v>
      </c>
      <c r="S189">
        <v>1.9</v>
      </c>
      <c r="T189">
        <v>3.9</v>
      </c>
      <c r="U189">
        <v>1</v>
      </c>
      <c r="V189">
        <v>9</v>
      </c>
      <c r="W189">
        <f>IF(nba_draft[[#This Row],[years_played]]&gt;5,1,0)</f>
        <v>1</v>
      </c>
    </row>
    <row r="190" spans="1:23" x14ac:dyDescent="0.25">
      <c r="A190">
        <v>21</v>
      </c>
      <c r="B190" t="s">
        <v>49</v>
      </c>
      <c r="C190" t="s">
        <v>867</v>
      </c>
      <c r="D190" t="s">
        <v>97</v>
      </c>
      <c r="E190">
        <v>14</v>
      </c>
      <c r="F190">
        <v>1064</v>
      </c>
      <c r="G190">
        <v>28768</v>
      </c>
      <c r="H190">
        <v>9139</v>
      </c>
      <c r="I190">
        <v>4634</v>
      </c>
      <c r="J190">
        <v>3684</v>
      </c>
      <c r="K190">
        <v>0.49299999999999999</v>
      </c>
      <c r="L190">
        <v>0.33600000000000002</v>
      </c>
      <c r="M190">
        <v>0.71699999999999997</v>
      </c>
      <c r="N190">
        <v>51.6</v>
      </c>
      <c r="O190">
        <v>8.5999999999999993E-2</v>
      </c>
      <c r="P190">
        <v>2003</v>
      </c>
      <c r="Q190">
        <v>27</v>
      </c>
      <c r="R190">
        <v>8.6</v>
      </c>
      <c r="S190">
        <v>4.4000000000000004</v>
      </c>
      <c r="T190">
        <v>3.5</v>
      </c>
      <c r="U190">
        <v>1</v>
      </c>
      <c r="V190">
        <v>21</v>
      </c>
      <c r="W190">
        <f>IF(nba_draft[[#This Row],[years_played]]&gt;5,1,0)</f>
        <v>1</v>
      </c>
    </row>
    <row r="191" spans="1:23" x14ac:dyDescent="0.25">
      <c r="A191">
        <v>45</v>
      </c>
      <c r="B191" t="s">
        <v>127</v>
      </c>
      <c r="C191" t="s">
        <v>128</v>
      </c>
      <c r="D191" t="s">
        <v>111</v>
      </c>
      <c r="E191">
        <v>13</v>
      </c>
      <c r="F191">
        <v>903</v>
      </c>
      <c r="G191">
        <v>26084</v>
      </c>
      <c r="H191">
        <v>9041</v>
      </c>
      <c r="I191">
        <v>6755</v>
      </c>
      <c r="J191">
        <v>1017</v>
      </c>
      <c r="K191">
        <v>0.44800000000000001</v>
      </c>
      <c r="L191">
        <v>8.6999999999999994E-2</v>
      </c>
      <c r="M191">
        <v>0.72699999999999998</v>
      </c>
      <c r="N191">
        <v>59.6</v>
      </c>
      <c r="O191">
        <v>0.11</v>
      </c>
      <c r="P191">
        <v>1990</v>
      </c>
      <c r="Q191">
        <v>28.9</v>
      </c>
      <c r="R191">
        <v>10</v>
      </c>
      <c r="S191">
        <v>7.5</v>
      </c>
      <c r="T191">
        <v>1.1000000000000001</v>
      </c>
      <c r="U191">
        <v>2</v>
      </c>
      <c r="V191">
        <v>18</v>
      </c>
      <c r="W191">
        <f>IF(nba_draft[[#This Row],[years_played]]&gt;5,1,0)</f>
        <v>1</v>
      </c>
    </row>
    <row r="192" spans="1:23" x14ac:dyDescent="0.25">
      <c r="A192">
        <v>28</v>
      </c>
      <c r="B192" t="s">
        <v>82</v>
      </c>
      <c r="C192" t="s">
        <v>874</v>
      </c>
      <c r="D192" t="s">
        <v>97</v>
      </c>
      <c r="E192">
        <v>14</v>
      </c>
      <c r="F192">
        <v>850</v>
      </c>
      <c r="G192">
        <v>18386</v>
      </c>
      <c r="H192">
        <v>9035</v>
      </c>
      <c r="I192">
        <v>1720</v>
      </c>
      <c r="J192">
        <v>1775</v>
      </c>
      <c r="K192">
        <v>0.45900000000000002</v>
      </c>
      <c r="L192">
        <v>0.38700000000000001</v>
      </c>
      <c r="M192">
        <v>0.82099999999999995</v>
      </c>
      <c r="N192">
        <v>37.4</v>
      </c>
      <c r="O192">
        <v>9.8000000000000004E-2</v>
      </c>
      <c r="P192">
        <v>2003</v>
      </c>
      <c r="Q192">
        <v>21.6</v>
      </c>
      <c r="R192">
        <v>10.6</v>
      </c>
      <c r="S192">
        <v>2</v>
      </c>
      <c r="T192">
        <v>2.1</v>
      </c>
      <c r="U192">
        <v>1</v>
      </c>
      <c r="V192">
        <v>28</v>
      </c>
      <c r="W192">
        <f>IF(nba_draft[[#This Row],[years_played]]&gt;5,1,0)</f>
        <v>1</v>
      </c>
    </row>
    <row r="193" spans="1:23" x14ac:dyDescent="0.25">
      <c r="A193">
        <v>13</v>
      </c>
      <c r="B193" t="s">
        <v>37</v>
      </c>
      <c r="C193" t="s">
        <v>1454</v>
      </c>
      <c r="D193" t="s">
        <v>113</v>
      </c>
      <c r="E193">
        <v>8</v>
      </c>
      <c r="F193">
        <v>458</v>
      </c>
      <c r="G193">
        <v>14515</v>
      </c>
      <c r="H193">
        <v>8987</v>
      </c>
      <c r="I193">
        <v>1796</v>
      </c>
      <c r="J193">
        <v>1767</v>
      </c>
      <c r="K193">
        <v>0.46100000000000002</v>
      </c>
      <c r="L193">
        <v>0.38700000000000001</v>
      </c>
      <c r="M193">
        <v>0.83</v>
      </c>
      <c r="N193">
        <v>22.1</v>
      </c>
      <c r="O193">
        <v>7.2999999999999995E-2</v>
      </c>
      <c r="P193">
        <v>2014</v>
      </c>
      <c r="Q193">
        <v>31.7</v>
      </c>
      <c r="R193">
        <v>19.600000000000001</v>
      </c>
      <c r="S193">
        <v>3.9</v>
      </c>
      <c r="T193">
        <v>3.9</v>
      </c>
      <c r="U193">
        <v>1</v>
      </c>
      <c r="V193">
        <v>13</v>
      </c>
      <c r="W193">
        <f>IF(nba_draft[[#This Row],[years_played]]&gt;5,1,0)</f>
        <v>1</v>
      </c>
    </row>
    <row r="194" spans="1:23" x14ac:dyDescent="0.25">
      <c r="A194">
        <v>10</v>
      </c>
      <c r="B194" t="s">
        <v>46</v>
      </c>
      <c r="C194" t="s">
        <v>399</v>
      </c>
      <c r="D194" t="s">
        <v>253</v>
      </c>
      <c r="E194">
        <v>18</v>
      </c>
      <c r="F194">
        <v>1110</v>
      </c>
      <c r="G194">
        <v>27160</v>
      </c>
      <c r="H194">
        <v>8973</v>
      </c>
      <c r="I194">
        <v>7328</v>
      </c>
      <c r="J194">
        <v>1204</v>
      </c>
      <c r="K194">
        <v>0.48599999999999999</v>
      </c>
      <c r="L194">
        <v>0.28100000000000003</v>
      </c>
      <c r="M194">
        <v>0.76</v>
      </c>
      <c r="N194">
        <v>64.2</v>
      </c>
      <c r="O194">
        <v>0.114</v>
      </c>
      <c r="P194">
        <v>1995</v>
      </c>
      <c r="Q194">
        <v>24.5</v>
      </c>
      <c r="R194">
        <v>8.1</v>
      </c>
      <c r="S194">
        <v>6.6</v>
      </c>
      <c r="T194">
        <v>1.1000000000000001</v>
      </c>
      <c r="U194">
        <v>1</v>
      </c>
      <c r="V194">
        <v>10</v>
      </c>
      <c r="W194">
        <f>IF(nba_draft[[#This Row],[years_played]]&gt;5,1,0)</f>
        <v>1</v>
      </c>
    </row>
    <row r="195" spans="1:23" x14ac:dyDescent="0.25">
      <c r="A195">
        <v>24</v>
      </c>
      <c r="B195" t="s">
        <v>70</v>
      </c>
      <c r="C195" t="s">
        <v>178</v>
      </c>
      <c r="D195" t="s">
        <v>179</v>
      </c>
      <c r="E195">
        <v>13</v>
      </c>
      <c r="F195">
        <v>930</v>
      </c>
      <c r="G195">
        <v>23723</v>
      </c>
      <c r="H195">
        <v>8966</v>
      </c>
      <c r="I195">
        <v>3517</v>
      </c>
      <c r="J195">
        <v>2649</v>
      </c>
      <c r="K195">
        <v>0.45</v>
      </c>
      <c r="L195">
        <v>0.34899999999999998</v>
      </c>
      <c r="M195">
        <v>0.77</v>
      </c>
      <c r="N195">
        <v>44.7</v>
      </c>
      <c r="O195">
        <v>0.09</v>
      </c>
      <c r="P195">
        <v>1991</v>
      </c>
      <c r="Q195">
        <v>25.5</v>
      </c>
      <c r="R195">
        <v>9.6</v>
      </c>
      <c r="S195">
        <v>3.8</v>
      </c>
      <c r="T195">
        <v>2.8</v>
      </c>
      <c r="U195">
        <v>1</v>
      </c>
      <c r="V195">
        <v>24</v>
      </c>
      <c r="W195">
        <f>IF(nba_draft[[#This Row],[years_played]]&gt;5,1,0)</f>
        <v>1</v>
      </c>
    </row>
    <row r="196" spans="1:23" x14ac:dyDescent="0.25">
      <c r="A196">
        <v>5</v>
      </c>
      <c r="B196" t="s">
        <v>395</v>
      </c>
      <c r="C196" t="s">
        <v>1273</v>
      </c>
      <c r="D196" t="s">
        <v>97</v>
      </c>
      <c r="E196">
        <v>10</v>
      </c>
      <c r="F196">
        <v>674</v>
      </c>
      <c r="G196">
        <v>17559</v>
      </c>
      <c r="H196">
        <v>8958</v>
      </c>
      <c r="I196">
        <v>6338</v>
      </c>
      <c r="J196">
        <v>771</v>
      </c>
      <c r="K196">
        <v>0.56299999999999994</v>
      </c>
      <c r="L196">
        <v>0.36599999999999999</v>
      </c>
      <c r="M196">
        <v>0.78400000000000003</v>
      </c>
      <c r="N196">
        <v>65.400000000000006</v>
      </c>
      <c r="O196">
        <v>0.17899999999999999</v>
      </c>
      <c r="P196">
        <v>2011</v>
      </c>
      <c r="Q196">
        <v>26.1</v>
      </c>
      <c r="R196">
        <v>13.3</v>
      </c>
      <c r="S196">
        <v>9.4</v>
      </c>
      <c r="T196">
        <v>1.1000000000000001</v>
      </c>
      <c r="U196">
        <v>1</v>
      </c>
      <c r="V196">
        <v>5</v>
      </c>
      <c r="W196">
        <f>IF(nba_draft[[#This Row],[years_played]]&gt;5,1,0)</f>
        <v>1</v>
      </c>
    </row>
    <row r="197" spans="1:23" x14ac:dyDescent="0.25">
      <c r="A197">
        <v>20</v>
      </c>
      <c r="B197" t="s">
        <v>28</v>
      </c>
      <c r="C197" t="s">
        <v>1348</v>
      </c>
      <c r="D197" t="s">
        <v>97</v>
      </c>
      <c r="E197">
        <v>10</v>
      </c>
      <c r="F197">
        <v>622</v>
      </c>
      <c r="G197">
        <v>17798</v>
      </c>
      <c r="H197">
        <v>8923</v>
      </c>
      <c r="I197">
        <v>1729</v>
      </c>
      <c r="J197">
        <v>1610</v>
      </c>
      <c r="K197">
        <v>0.44700000000000001</v>
      </c>
      <c r="L197">
        <v>0.38100000000000001</v>
      </c>
      <c r="M197">
        <v>0.80100000000000005</v>
      </c>
      <c r="N197">
        <v>29.4</v>
      </c>
      <c r="O197">
        <v>7.9000000000000001E-2</v>
      </c>
      <c r="P197">
        <v>2012</v>
      </c>
      <c r="Q197">
        <v>28.6</v>
      </c>
      <c r="R197">
        <v>14.3</v>
      </c>
      <c r="S197">
        <v>2.8</v>
      </c>
      <c r="T197">
        <v>2.6</v>
      </c>
      <c r="U197">
        <v>1</v>
      </c>
      <c r="V197">
        <v>20</v>
      </c>
      <c r="W197">
        <f>IF(nba_draft[[#This Row],[years_played]]&gt;5,1,0)</f>
        <v>1</v>
      </c>
    </row>
    <row r="198" spans="1:23" x14ac:dyDescent="0.25">
      <c r="A198">
        <v>56</v>
      </c>
      <c r="B198" t="s">
        <v>82</v>
      </c>
      <c r="C198" t="s">
        <v>840</v>
      </c>
      <c r="D198" t="s">
        <v>97</v>
      </c>
      <c r="E198">
        <v>10</v>
      </c>
      <c r="F198">
        <v>743</v>
      </c>
      <c r="G198">
        <v>19001</v>
      </c>
      <c r="H198">
        <v>8882</v>
      </c>
      <c r="I198">
        <v>4941</v>
      </c>
      <c r="J198">
        <v>1194</v>
      </c>
      <c r="K198">
        <v>0.49299999999999999</v>
      </c>
      <c r="L198">
        <v>0.33900000000000002</v>
      </c>
      <c r="M198">
        <v>0.74</v>
      </c>
      <c r="N198">
        <v>45.7</v>
      </c>
      <c r="O198">
        <v>0.115</v>
      </c>
      <c r="P198">
        <v>2002</v>
      </c>
      <c r="Q198">
        <v>25.6</v>
      </c>
      <c r="R198">
        <v>12</v>
      </c>
      <c r="S198">
        <v>6.7</v>
      </c>
      <c r="T198">
        <v>1.6</v>
      </c>
      <c r="U198">
        <v>2</v>
      </c>
      <c r="V198">
        <v>27</v>
      </c>
      <c r="W198">
        <f>IF(nba_draft[[#This Row],[years_played]]&gt;5,1,0)</f>
        <v>1</v>
      </c>
    </row>
    <row r="199" spans="1:23" x14ac:dyDescent="0.25">
      <c r="A199">
        <v>7</v>
      </c>
      <c r="B199" t="s">
        <v>90</v>
      </c>
      <c r="C199" t="s">
        <v>1448</v>
      </c>
      <c r="D199" t="s">
        <v>282</v>
      </c>
      <c r="E199">
        <v>8</v>
      </c>
      <c r="F199">
        <v>503</v>
      </c>
      <c r="G199">
        <v>15635</v>
      </c>
      <c r="H199">
        <v>8874</v>
      </c>
      <c r="I199">
        <v>4680</v>
      </c>
      <c r="J199">
        <v>1769</v>
      </c>
      <c r="K199">
        <v>0.47599999999999998</v>
      </c>
      <c r="L199">
        <v>0.33300000000000002</v>
      </c>
      <c r="M199">
        <v>0.74299999999999999</v>
      </c>
      <c r="N199">
        <v>31.1</v>
      </c>
      <c r="O199">
        <v>9.5000000000000001E-2</v>
      </c>
      <c r="P199">
        <v>2014</v>
      </c>
      <c r="Q199">
        <v>31.1</v>
      </c>
      <c r="R199">
        <v>17.600000000000001</v>
      </c>
      <c r="S199">
        <v>9.3000000000000007</v>
      </c>
      <c r="T199">
        <v>3.5</v>
      </c>
      <c r="U199">
        <v>1</v>
      </c>
      <c r="V199">
        <v>7</v>
      </c>
      <c r="W199">
        <f>IF(nba_draft[[#This Row],[years_played]]&gt;5,1,0)</f>
        <v>1</v>
      </c>
    </row>
    <row r="200" spans="1:23" x14ac:dyDescent="0.25">
      <c r="A200">
        <v>24</v>
      </c>
      <c r="B200" t="s">
        <v>25</v>
      </c>
      <c r="C200" t="s">
        <v>1293</v>
      </c>
      <c r="D200" t="s">
        <v>360</v>
      </c>
      <c r="E200">
        <v>11</v>
      </c>
      <c r="F200">
        <v>685</v>
      </c>
      <c r="G200">
        <v>17423</v>
      </c>
      <c r="H200">
        <v>8864</v>
      </c>
      <c r="I200">
        <v>2047</v>
      </c>
      <c r="J200">
        <v>2920</v>
      </c>
      <c r="K200">
        <v>0.42499999999999999</v>
      </c>
      <c r="L200">
        <v>0.34499999999999997</v>
      </c>
      <c r="M200">
        <v>0.85399999999999998</v>
      </c>
      <c r="N200">
        <v>33.700000000000003</v>
      </c>
      <c r="O200">
        <v>9.2999999999999999E-2</v>
      </c>
      <c r="P200">
        <v>2011</v>
      </c>
      <c r="Q200">
        <v>25.4</v>
      </c>
      <c r="R200">
        <v>12.9</v>
      </c>
      <c r="S200">
        <v>3</v>
      </c>
      <c r="T200">
        <v>4.3</v>
      </c>
      <c r="U200">
        <v>1</v>
      </c>
      <c r="V200">
        <v>24</v>
      </c>
      <c r="W200">
        <f>IF(nba_draft[[#This Row],[years_played]]&gt;5,1,0)</f>
        <v>1</v>
      </c>
    </row>
    <row r="201" spans="1:23" x14ac:dyDescent="0.25">
      <c r="A201">
        <v>21</v>
      </c>
      <c r="B201" t="s">
        <v>863</v>
      </c>
      <c r="C201" t="s">
        <v>1184</v>
      </c>
      <c r="D201" t="s">
        <v>113</v>
      </c>
      <c r="E201">
        <v>11</v>
      </c>
      <c r="F201">
        <v>711</v>
      </c>
      <c r="G201">
        <v>20833</v>
      </c>
      <c r="H201">
        <v>8861</v>
      </c>
      <c r="I201">
        <v>1889</v>
      </c>
      <c r="J201">
        <v>3545</v>
      </c>
      <c r="K201">
        <v>0.47099999999999997</v>
      </c>
      <c r="L201">
        <v>0.39400000000000002</v>
      </c>
      <c r="M201">
        <v>0.85299999999999998</v>
      </c>
      <c r="N201">
        <v>49.9</v>
      </c>
      <c r="O201">
        <v>0.115</v>
      </c>
      <c r="P201">
        <v>2009</v>
      </c>
      <c r="Q201">
        <v>29.3</v>
      </c>
      <c r="R201">
        <v>12.5</v>
      </c>
      <c r="S201">
        <v>2.7</v>
      </c>
      <c r="T201">
        <v>5</v>
      </c>
      <c r="U201">
        <v>1</v>
      </c>
      <c r="V201">
        <v>21</v>
      </c>
      <c r="W201">
        <f>IF(nba_draft[[#This Row],[years_played]]&gt;5,1,0)</f>
        <v>1</v>
      </c>
    </row>
    <row r="202" spans="1:23" x14ac:dyDescent="0.25">
      <c r="A202">
        <v>35</v>
      </c>
      <c r="B202" t="s">
        <v>43</v>
      </c>
      <c r="C202" t="s">
        <v>1145</v>
      </c>
      <c r="D202" t="s">
        <v>960</v>
      </c>
      <c r="E202">
        <v>14</v>
      </c>
      <c r="F202">
        <v>963</v>
      </c>
      <c r="G202">
        <v>25971</v>
      </c>
      <c r="H202">
        <v>8857</v>
      </c>
      <c r="I202">
        <v>10047</v>
      </c>
      <c r="J202">
        <v>924</v>
      </c>
      <c r="K202">
        <v>0.67400000000000004</v>
      </c>
      <c r="L202">
        <v>8.3000000000000004E-2</v>
      </c>
      <c r="M202">
        <v>0.47499999999999998</v>
      </c>
      <c r="N202">
        <v>93.9</v>
      </c>
      <c r="O202">
        <v>0.17399999999999999</v>
      </c>
      <c r="P202">
        <v>2008</v>
      </c>
      <c r="Q202">
        <v>27</v>
      </c>
      <c r="R202">
        <v>9.1999999999999993</v>
      </c>
      <c r="S202">
        <v>10.4</v>
      </c>
      <c r="T202">
        <v>1</v>
      </c>
      <c r="U202">
        <v>2</v>
      </c>
      <c r="V202">
        <v>5</v>
      </c>
      <c r="W202">
        <f>IF(nba_draft[[#This Row],[years_played]]&gt;5,1,0)</f>
        <v>1</v>
      </c>
    </row>
    <row r="203" spans="1:23" x14ac:dyDescent="0.25">
      <c r="A203">
        <v>46</v>
      </c>
      <c r="B203" t="s">
        <v>109</v>
      </c>
      <c r="C203" t="s">
        <v>1487</v>
      </c>
      <c r="D203" t="s">
        <v>151</v>
      </c>
      <c r="E203">
        <v>8</v>
      </c>
      <c r="F203">
        <v>576</v>
      </c>
      <c r="G203">
        <v>15502</v>
      </c>
      <c r="H203">
        <v>8801</v>
      </c>
      <c r="I203">
        <v>1882</v>
      </c>
      <c r="J203">
        <v>1463</v>
      </c>
      <c r="K203">
        <v>0.439</v>
      </c>
      <c r="L203">
        <v>0.34</v>
      </c>
      <c r="M203">
        <v>0.82799999999999996</v>
      </c>
      <c r="N203">
        <v>20.3</v>
      </c>
      <c r="O203">
        <v>6.3E-2</v>
      </c>
      <c r="P203">
        <v>2014</v>
      </c>
      <c r="Q203">
        <v>26.9</v>
      </c>
      <c r="R203">
        <v>15.3</v>
      </c>
      <c r="S203">
        <v>3.3</v>
      </c>
      <c r="T203">
        <v>2.5</v>
      </c>
      <c r="U203">
        <v>2</v>
      </c>
      <c r="V203">
        <v>16</v>
      </c>
      <c r="W203">
        <f>IF(nba_draft[[#This Row],[years_played]]&gt;5,1,0)</f>
        <v>1</v>
      </c>
    </row>
    <row r="204" spans="1:23" x14ac:dyDescent="0.25">
      <c r="A204">
        <v>31</v>
      </c>
      <c r="B204" t="s">
        <v>46</v>
      </c>
      <c r="C204" t="s">
        <v>1301</v>
      </c>
      <c r="D204" t="s">
        <v>97</v>
      </c>
      <c r="E204">
        <v>8</v>
      </c>
      <c r="F204">
        <v>590</v>
      </c>
      <c r="G204">
        <v>17122</v>
      </c>
      <c r="H204">
        <v>8793</v>
      </c>
      <c r="I204">
        <v>2133</v>
      </c>
      <c r="J204">
        <v>921</v>
      </c>
      <c r="K204">
        <v>0.45700000000000002</v>
      </c>
      <c r="L204">
        <v>0.39200000000000002</v>
      </c>
      <c r="M204">
        <v>0.86299999999999999</v>
      </c>
      <c r="N204">
        <v>32</v>
      </c>
      <c r="O204">
        <v>0.09</v>
      </c>
      <c r="P204">
        <v>2011</v>
      </c>
      <c r="Q204">
        <v>29</v>
      </c>
      <c r="R204">
        <v>14.9</v>
      </c>
      <c r="S204">
        <v>3.6</v>
      </c>
      <c r="T204">
        <v>1.6</v>
      </c>
      <c r="U204">
        <v>2</v>
      </c>
      <c r="V204">
        <v>1</v>
      </c>
      <c r="W204">
        <f>IF(nba_draft[[#This Row],[years_played]]&gt;5,1,0)</f>
        <v>1</v>
      </c>
    </row>
    <row r="205" spans="1:23" x14ac:dyDescent="0.25">
      <c r="A205">
        <v>13</v>
      </c>
      <c r="B205" t="s">
        <v>127</v>
      </c>
      <c r="C205" t="s">
        <v>160</v>
      </c>
      <c r="D205" t="s">
        <v>92</v>
      </c>
      <c r="E205">
        <v>16</v>
      </c>
      <c r="F205">
        <v>1094</v>
      </c>
      <c r="G205">
        <v>29606</v>
      </c>
      <c r="H205">
        <v>8706</v>
      </c>
      <c r="I205">
        <v>8605</v>
      </c>
      <c r="J205">
        <v>978</v>
      </c>
      <c r="K205">
        <v>0.53</v>
      </c>
      <c r="L205">
        <v>0</v>
      </c>
      <c r="M205">
        <v>0.56200000000000006</v>
      </c>
      <c r="N205">
        <v>86.9</v>
      </c>
      <c r="O205">
        <v>0.14099999999999999</v>
      </c>
      <c r="P205">
        <v>1991</v>
      </c>
      <c r="Q205">
        <v>27.1</v>
      </c>
      <c r="R205">
        <v>8</v>
      </c>
      <c r="S205">
        <v>7.9</v>
      </c>
      <c r="T205">
        <v>0.9</v>
      </c>
      <c r="U205">
        <v>1</v>
      </c>
      <c r="V205">
        <v>13</v>
      </c>
      <c r="W205">
        <f>IF(nba_draft[[#This Row],[years_played]]&gt;5,1,0)</f>
        <v>1</v>
      </c>
    </row>
    <row r="206" spans="1:23" x14ac:dyDescent="0.25">
      <c r="A206">
        <v>48</v>
      </c>
      <c r="B206" t="s">
        <v>75</v>
      </c>
      <c r="C206" t="s">
        <v>132</v>
      </c>
      <c r="D206" t="s">
        <v>133</v>
      </c>
      <c r="E206">
        <v>11</v>
      </c>
      <c r="F206">
        <v>609</v>
      </c>
      <c r="G206">
        <v>14712</v>
      </c>
      <c r="H206">
        <v>8693</v>
      </c>
      <c r="I206">
        <v>3258</v>
      </c>
      <c r="J206">
        <v>723</v>
      </c>
      <c r="K206">
        <v>0.5</v>
      </c>
      <c r="L206">
        <v>0.309</v>
      </c>
      <c r="M206">
        <v>0.753</v>
      </c>
      <c r="N206">
        <v>40.4</v>
      </c>
      <c r="O206">
        <v>0.13200000000000001</v>
      </c>
      <c r="P206">
        <v>1990</v>
      </c>
      <c r="Q206">
        <v>24.2</v>
      </c>
      <c r="R206">
        <v>14.3</v>
      </c>
      <c r="S206">
        <v>5.3</v>
      </c>
      <c r="T206">
        <v>1.2</v>
      </c>
      <c r="U206">
        <v>2</v>
      </c>
      <c r="V206">
        <v>21</v>
      </c>
      <c r="W206">
        <f>IF(nba_draft[[#This Row],[years_played]]&gt;5,1,0)</f>
        <v>1</v>
      </c>
    </row>
    <row r="207" spans="1:23" x14ac:dyDescent="0.25">
      <c r="A207">
        <v>17</v>
      </c>
      <c r="B207" t="s">
        <v>49</v>
      </c>
      <c r="C207" t="s">
        <v>1404</v>
      </c>
      <c r="D207" t="s">
        <v>97</v>
      </c>
      <c r="E207">
        <v>9</v>
      </c>
      <c r="F207">
        <v>609</v>
      </c>
      <c r="G207">
        <v>16130</v>
      </c>
      <c r="H207">
        <v>8679</v>
      </c>
      <c r="I207">
        <v>1791</v>
      </c>
      <c r="J207">
        <v>2842</v>
      </c>
      <c r="K207">
        <v>0.436</v>
      </c>
      <c r="L207">
        <v>0.33700000000000002</v>
      </c>
      <c r="M207">
        <v>0.83199999999999996</v>
      </c>
      <c r="N207">
        <v>23.4</v>
      </c>
      <c r="O207">
        <v>7.0000000000000007E-2</v>
      </c>
      <c r="P207">
        <v>2013</v>
      </c>
      <c r="Q207">
        <v>26.5</v>
      </c>
      <c r="R207">
        <v>14.3</v>
      </c>
      <c r="S207">
        <v>2.9</v>
      </c>
      <c r="T207">
        <v>4.7</v>
      </c>
      <c r="U207">
        <v>1</v>
      </c>
      <c r="V207">
        <v>17</v>
      </c>
      <c r="W207">
        <f>IF(nba_draft[[#This Row],[years_played]]&gt;5,1,0)</f>
        <v>1</v>
      </c>
    </row>
    <row r="208" spans="1:23" x14ac:dyDescent="0.25">
      <c r="A208">
        <v>14</v>
      </c>
      <c r="B208" t="s">
        <v>55</v>
      </c>
      <c r="C208" t="s">
        <v>1282</v>
      </c>
      <c r="D208" t="s">
        <v>108</v>
      </c>
      <c r="E208">
        <v>11</v>
      </c>
      <c r="F208">
        <v>700</v>
      </c>
      <c r="G208">
        <v>18965</v>
      </c>
      <c r="H208">
        <v>8674</v>
      </c>
      <c r="I208">
        <v>3232</v>
      </c>
      <c r="J208">
        <v>1050</v>
      </c>
      <c r="K208">
        <v>0.436</v>
      </c>
      <c r="L208">
        <v>0.379</v>
      </c>
      <c r="M208">
        <v>0.76800000000000002</v>
      </c>
      <c r="N208">
        <v>35.9</v>
      </c>
      <c r="O208">
        <v>9.0999999999999998E-2</v>
      </c>
      <c r="P208">
        <v>2011</v>
      </c>
      <c r="Q208">
        <v>27.1</v>
      </c>
      <c r="R208">
        <v>12.4</v>
      </c>
      <c r="S208">
        <v>4.5999999999999996</v>
      </c>
      <c r="T208">
        <v>1.5</v>
      </c>
      <c r="U208">
        <v>1</v>
      </c>
      <c r="V208">
        <v>14</v>
      </c>
      <c r="W208">
        <f>IF(nba_draft[[#This Row],[years_played]]&gt;5,1,0)</f>
        <v>1</v>
      </c>
    </row>
    <row r="209" spans="1:23" x14ac:dyDescent="0.25">
      <c r="A209">
        <v>4</v>
      </c>
      <c r="B209" t="s">
        <v>393</v>
      </c>
      <c r="C209" t="s">
        <v>794</v>
      </c>
      <c r="D209" t="s">
        <v>108</v>
      </c>
      <c r="E209">
        <v>14</v>
      </c>
      <c r="F209">
        <v>790</v>
      </c>
      <c r="G209">
        <v>20127</v>
      </c>
      <c r="H209">
        <v>8653</v>
      </c>
      <c r="I209">
        <v>5618</v>
      </c>
      <c r="J209">
        <v>896</v>
      </c>
      <c r="K209">
        <v>0.46200000000000002</v>
      </c>
      <c r="L209">
        <v>0.25700000000000001</v>
      </c>
      <c r="M209">
        <v>0.76</v>
      </c>
      <c r="N209">
        <v>43.9</v>
      </c>
      <c r="O209">
        <v>0.105</v>
      </c>
      <c r="P209">
        <v>2002</v>
      </c>
      <c r="Q209">
        <v>25.5</v>
      </c>
      <c r="R209">
        <v>11</v>
      </c>
      <c r="S209">
        <v>7.1</v>
      </c>
      <c r="T209">
        <v>1.1000000000000001</v>
      </c>
      <c r="U209">
        <v>1</v>
      </c>
      <c r="V209">
        <v>4</v>
      </c>
      <c r="W209">
        <f>IF(nba_draft[[#This Row],[years_played]]&gt;5,1,0)</f>
        <v>1</v>
      </c>
    </row>
    <row r="210" spans="1:23" x14ac:dyDescent="0.25">
      <c r="A210">
        <v>38</v>
      </c>
      <c r="B210" t="s">
        <v>88</v>
      </c>
      <c r="C210" t="s">
        <v>778</v>
      </c>
      <c r="D210" t="s">
        <v>97</v>
      </c>
      <c r="E210">
        <v>10</v>
      </c>
      <c r="F210">
        <v>634</v>
      </c>
      <c r="G210">
        <v>18429</v>
      </c>
      <c r="H210">
        <v>8561</v>
      </c>
      <c r="I210">
        <v>4436</v>
      </c>
      <c r="J210">
        <v>1089</v>
      </c>
      <c r="K210">
        <v>0.45800000000000002</v>
      </c>
      <c r="L210">
        <v>0.375</v>
      </c>
      <c r="M210">
        <v>0.79700000000000004</v>
      </c>
      <c r="N210">
        <v>54.7</v>
      </c>
      <c r="O210">
        <v>0.14199999999999999</v>
      </c>
      <c r="P210">
        <v>2001</v>
      </c>
      <c r="Q210">
        <v>29.1</v>
      </c>
      <c r="R210">
        <v>13.5</v>
      </c>
      <c r="S210">
        <v>7</v>
      </c>
      <c r="T210">
        <v>1.7</v>
      </c>
      <c r="U210">
        <v>2</v>
      </c>
      <c r="V210">
        <v>9</v>
      </c>
      <c r="W210">
        <f>IF(nba_draft[[#This Row],[years_played]]&gt;5,1,0)</f>
        <v>1</v>
      </c>
    </row>
    <row r="211" spans="1:23" x14ac:dyDescent="0.25">
      <c r="A211">
        <v>3</v>
      </c>
      <c r="B211" t="s">
        <v>28</v>
      </c>
      <c r="C211" t="s">
        <v>29</v>
      </c>
      <c r="D211" t="s">
        <v>30</v>
      </c>
      <c r="E211">
        <v>9</v>
      </c>
      <c r="F211">
        <v>586</v>
      </c>
      <c r="G211">
        <v>15628</v>
      </c>
      <c r="H211">
        <v>8553</v>
      </c>
      <c r="I211">
        <v>1087</v>
      </c>
      <c r="J211">
        <v>2079</v>
      </c>
      <c r="K211">
        <v>0.442</v>
      </c>
      <c r="L211">
        <v>0.35399999999999998</v>
      </c>
      <c r="M211">
        <v>0.90500000000000003</v>
      </c>
      <c r="N211">
        <v>25.2</v>
      </c>
      <c r="O211">
        <v>7.6999999999999999E-2</v>
      </c>
      <c r="P211">
        <v>1990</v>
      </c>
      <c r="Q211">
        <v>26.7</v>
      </c>
      <c r="R211">
        <v>14.6</v>
      </c>
      <c r="S211">
        <v>1.9</v>
      </c>
      <c r="T211">
        <v>3.5</v>
      </c>
      <c r="U211">
        <v>1</v>
      </c>
      <c r="V211">
        <v>3</v>
      </c>
      <c r="W211">
        <f>IF(nba_draft[[#This Row],[years_played]]&gt;5,1,0)</f>
        <v>1</v>
      </c>
    </row>
    <row r="212" spans="1:23" x14ac:dyDescent="0.25">
      <c r="A212">
        <v>15</v>
      </c>
      <c r="B212" t="s">
        <v>28</v>
      </c>
      <c r="C212" t="s">
        <v>404</v>
      </c>
      <c r="D212" t="s">
        <v>27</v>
      </c>
      <c r="E212">
        <v>14</v>
      </c>
      <c r="F212">
        <v>912</v>
      </c>
      <c r="G212">
        <v>23643</v>
      </c>
      <c r="H212">
        <v>8488</v>
      </c>
      <c r="I212">
        <v>2780</v>
      </c>
      <c r="J212">
        <v>2892</v>
      </c>
      <c r="K212">
        <v>0.46</v>
      </c>
      <c r="L212">
        <v>0.40500000000000003</v>
      </c>
      <c r="M212">
        <v>0.82299999999999995</v>
      </c>
      <c r="N212">
        <v>70.5</v>
      </c>
      <c r="O212">
        <v>0.14299999999999999</v>
      </c>
      <c r="P212">
        <v>1995</v>
      </c>
      <c r="Q212">
        <v>25.9</v>
      </c>
      <c r="R212">
        <v>9.3000000000000007</v>
      </c>
      <c r="S212">
        <v>3</v>
      </c>
      <c r="T212">
        <v>3.2</v>
      </c>
      <c r="U212">
        <v>1</v>
      </c>
      <c r="V212">
        <v>15</v>
      </c>
      <c r="W212">
        <f>IF(nba_draft[[#This Row],[years_played]]&gt;5,1,0)</f>
        <v>1</v>
      </c>
    </row>
    <row r="213" spans="1:23" x14ac:dyDescent="0.25">
      <c r="A213">
        <v>23</v>
      </c>
      <c r="B213" t="s">
        <v>65</v>
      </c>
      <c r="C213" t="s">
        <v>1080</v>
      </c>
      <c r="D213" t="s">
        <v>701</v>
      </c>
      <c r="E213">
        <v>12</v>
      </c>
      <c r="F213">
        <v>676</v>
      </c>
      <c r="G213">
        <v>20287</v>
      </c>
      <c r="H213">
        <v>8463</v>
      </c>
      <c r="I213">
        <v>3574</v>
      </c>
      <c r="J213">
        <v>1205</v>
      </c>
      <c r="K213">
        <v>0.443</v>
      </c>
      <c r="L213">
        <v>0.34100000000000003</v>
      </c>
      <c r="M213">
        <v>0.77</v>
      </c>
      <c r="N213">
        <v>29</v>
      </c>
      <c r="O213">
        <v>6.9000000000000006E-2</v>
      </c>
      <c r="P213">
        <v>2007</v>
      </c>
      <c r="Q213">
        <v>30</v>
      </c>
      <c r="R213">
        <v>12.5</v>
      </c>
      <c r="S213">
        <v>5.3</v>
      </c>
      <c r="T213">
        <v>1.8</v>
      </c>
      <c r="U213">
        <v>1</v>
      </c>
      <c r="V213">
        <v>23</v>
      </c>
      <c r="W213">
        <f>IF(nba_draft[[#This Row],[years_played]]&gt;5,1,0)</f>
        <v>1</v>
      </c>
    </row>
    <row r="214" spans="1:23" x14ac:dyDescent="0.25">
      <c r="A214">
        <v>6</v>
      </c>
      <c r="B214" t="s">
        <v>393</v>
      </c>
      <c r="C214" t="s">
        <v>745</v>
      </c>
      <c r="D214" t="s">
        <v>87</v>
      </c>
      <c r="E214">
        <v>13</v>
      </c>
      <c r="F214">
        <v>977</v>
      </c>
      <c r="G214">
        <v>30004</v>
      </c>
      <c r="H214">
        <v>8408</v>
      </c>
      <c r="I214">
        <v>4082</v>
      </c>
      <c r="J214">
        <v>1717</v>
      </c>
      <c r="K214">
        <v>0.437</v>
      </c>
      <c r="L214">
        <v>0.38400000000000001</v>
      </c>
      <c r="M214">
        <v>0.74299999999999999</v>
      </c>
      <c r="N214">
        <v>75.7</v>
      </c>
      <c r="O214">
        <v>0.121</v>
      </c>
      <c r="P214">
        <v>2001</v>
      </c>
      <c r="Q214">
        <v>30.7</v>
      </c>
      <c r="R214">
        <v>8.6</v>
      </c>
      <c r="S214">
        <v>4.2</v>
      </c>
      <c r="T214">
        <v>1.8</v>
      </c>
      <c r="U214">
        <v>1</v>
      </c>
      <c r="V214">
        <v>6</v>
      </c>
      <c r="W214">
        <f>IF(nba_draft[[#This Row],[years_played]]&gt;5,1,0)</f>
        <v>1</v>
      </c>
    </row>
    <row r="215" spans="1:23" x14ac:dyDescent="0.25">
      <c r="A215">
        <v>7</v>
      </c>
      <c r="B215" t="s">
        <v>40</v>
      </c>
      <c r="C215" t="s">
        <v>220</v>
      </c>
      <c r="D215" t="s">
        <v>67</v>
      </c>
      <c r="E215">
        <v>11</v>
      </c>
      <c r="F215">
        <v>708</v>
      </c>
      <c r="G215">
        <v>18818</v>
      </c>
      <c r="H215">
        <v>8385</v>
      </c>
      <c r="I215">
        <v>2794</v>
      </c>
      <c r="J215">
        <v>1637</v>
      </c>
      <c r="K215">
        <v>0.42499999999999999</v>
      </c>
      <c r="L215">
        <v>0.379</v>
      </c>
      <c r="M215">
        <v>0.74299999999999999</v>
      </c>
      <c r="N215">
        <v>33.9</v>
      </c>
      <c r="O215">
        <v>8.6999999999999994E-2</v>
      </c>
      <c r="P215">
        <v>1992</v>
      </c>
      <c r="Q215">
        <v>26.6</v>
      </c>
      <c r="R215">
        <v>11.8</v>
      </c>
      <c r="S215">
        <v>3.9</v>
      </c>
      <c r="T215">
        <v>2.2999999999999998</v>
      </c>
      <c r="U215">
        <v>1</v>
      </c>
      <c r="V215">
        <v>7</v>
      </c>
      <c r="W215">
        <f>IF(nba_draft[[#This Row],[years_played]]&gt;5,1,0)</f>
        <v>1</v>
      </c>
    </row>
    <row r="216" spans="1:23" x14ac:dyDescent="0.25">
      <c r="A216">
        <v>7</v>
      </c>
      <c r="B216" t="s">
        <v>88</v>
      </c>
      <c r="C216" t="s">
        <v>1223</v>
      </c>
      <c r="D216" t="s">
        <v>146</v>
      </c>
      <c r="E216">
        <v>10</v>
      </c>
      <c r="F216">
        <v>642</v>
      </c>
      <c r="G216">
        <v>17626</v>
      </c>
      <c r="H216">
        <v>8381</v>
      </c>
      <c r="I216">
        <v>5281</v>
      </c>
      <c r="J216">
        <v>1368</v>
      </c>
      <c r="K216">
        <v>0.51400000000000001</v>
      </c>
      <c r="L216">
        <v>5.8999999999999997E-2</v>
      </c>
      <c r="M216">
        <v>0.70299999999999996</v>
      </c>
      <c r="N216">
        <v>50.1</v>
      </c>
      <c r="O216">
        <v>0.13700000000000001</v>
      </c>
      <c r="P216">
        <v>2010</v>
      </c>
      <c r="Q216">
        <v>27.5</v>
      </c>
      <c r="R216">
        <v>13.1</v>
      </c>
      <c r="S216">
        <v>8.1999999999999993</v>
      </c>
      <c r="T216">
        <v>2.1</v>
      </c>
      <c r="U216">
        <v>1</v>
      </c>
      <c r="V216">
        <v>7</v>
      </c>
      <c r="W216">
        <f>IF(nba_draft[[#This Row],[years_played]]&gt;5,1,0)</f>
        <v>1</v>
      </c>
    </row>
    <row r="217" spans="1:23" x14ac:dyDescent="0.25">
      <c r="A217">
        <v>18</v>
      </c>
      <c r="B217" t="s">
        <v>52</v>
      </c>
      <c r="C217" t="s">
        <v>1074</v>
      </c>
      <c r="D217" t="s">
        <v>97</v>
      </c>
      <c r="E217">
        <v>13</v>
      </c>
      <c r="F217">
        <v>860</v>
      </c>
      <c r="G217">
        <v>19548</v>
      </c>
      <c r="H217">
        <v>8370</v>
      </c>
      <c r="I217">
        <v>1769</v>
      </c>
      <c r="J217">
        <v>1429</v>
      </c>
      <c r="K217">
        <v>0.42399999999999999</v>
      </c>
      <c r="L217">
        <v>0.376</v>
      </c>
      <c r="M217">
        <v>0.84599999999999997</v>
      </c>
      <c r="N217">
        <v>30.5</v>
      </c>
      <c r="O217">
        <v>7.4999999999999997E-2</v>
      </c>
      <c r="P217">
        <v>2007</v>
      </c>
      <c r="Q217">
        <v>22.7</v>
      </c>
      <c r="R217">
        <v>9.6999999999999993</v>
      </c>
      <c r="S217">
        <v>2.1</v>
      </c>
      <c r="T217">
        <v>1.7</v>
      </c>
      <c r="U217">
        <v>1</v>
      </c>
      <c r="V217">
        <v>18</v>
      </c>
      <c r="W217">
        <f>IF(nba_draft[[#This Row],[years_played]]&gt;5,1,0)</f>
        <v>1</v>
      </c>
    </row>
    <row r="218" spans="1:23" x14ac:dyDescent="0.25">
      <c r="A218">
        <v>36</v>
      </c>
      <c r="B218" t="s">
        <v>63</v>
      </c>
      <c r="C218" t="s">
        <v>980</v>
      </c>
      <c r="D218" t="s">
        <v>97</v>
      </c>
      <c r="E218">
        <v>13</v>
      </c>
      <c r="F218">
        <v>825</v>
      </c>
      <c r="G218">
        <v>18957</v>
      </c>
      <c r="H218">
        <v>8364</v>
      </c>
      <c r="I218">
        <v>4661</v>
      </c>
      <c r="J218">
        <v>908</v>
      </c>
      <c r="K218">
        <v>0.443</v>
      </c>
      <c r="L218">
        <v>0.36699999999999999</v>
      </c>
      <c r="M218">
        <v>0.77700000000000002</v>
      </c>
      <c r="N218">
        <v>48.8</v>
      </c>
      <c r="O218">
        <v>0.124</v>
      </c>
      <c r="P218">
        <v>2005</v>
      </c>
      <c r="Q218">
        <v>23</v>
      </c>
      <c r="R218">
        <v>10.1</v>
      </c>
      <c r="S218">
        <v>5.6</v>
      </c>
      <c r="T218">
        <v>1.1000000000000001</v>
      </c>
      <c r="U218">
        <v>2</v>
      </c>
      <c r="V218">
        <v>6</v>
      </c>
      <c r="W218">
        <f>IF(nba_draft[[#This Row],[years_played]]&gt;5,1,0)</f>
        <v>1</v>
      </c>
    </row>
    <row r="219" spans="1:23" x14ac:dyDescent="0.25">
      <c r="A219">
        <v>3</v>
      </c>
      <c r="B219" t="s">
        <v>104</v>
      </c>
      <c r="C219" t="s">
        <v>1271</v>
      </c>
      <c r="D219" t="s">
        <v>97</v>
      </c>
      <c r="E219">
        <v>11</v>
      </c>
      <c r="F219">
        <v>748</v>
      </c>
      <c r="G219">
        <v>16101</v>
      </c>
      <c r="H219">
        <v>8349</v>
      </c>
      <c r="I219">
        <v>5822</v>
      </c>
      <c r="J219">
        <v>638</v>
      </c>
      <c r="K219">
        <v>0.54800000000000004</v>
      </c>
      <c r="L219">
        <v>0.28899999999999998</v>
      </c>
      <c r="M219">
        <v>0.77700000000000002</v>
      </c>
      <c r="N219">
        <v>52.8</v>
      </c>
      <c r="O219">
        <v>0.157</v>
      </c>
      <c r="P219">
        <v>2011</v>
      </c>
      <c r="Q219">
        <v>21.5</v>
      </c>
      <c r="R219">
        <v>11.2</v>
      </c>
      <c r="S219">
        <v>7.8</v>
      </c>
      <c r="T219">
        <v>0.9</v>
      </c>
      <c r="U219">
        <v>1</v>
      </c>
      <c r="V219">
        <v>3</v>
      </c>
      <c r="W219">
        <f>IF(nba_draft[[#This Row],[years_played]]&gt;5,1,0)</f>
        <v>1</v>
      </c>
    </row>
    <row r="220" spans="1:23" x14ac:dyDescent="0.25">
      <c r="A220">
        <v>3</v>
      </c>
      <c r="B220" t="s">
        <v>22</v>
      </c>
      <c r="C220" t="s">
        <v>1219</v>
      </c>
      <c r="D220" t="s">
        <v>33</v>
      </c>
      <c r="E220">
        <v>12</v>
      </c>
      <c r="F220">
        <v>789</v>
      </c>
      <c r="G220">
        <v>19184</v>
      </c>
      <c r="H220">
        <v>8348</v>
      </c>
      <c r="I220">
        <v>5605</v>
      </c>
      <c r="J220">
        <v>850</v>
      </c>
      <c r="K220">
        <v>0.53400000000000003</v>
      </c>
      <c r="L220">
        <v>0.19800000000000001</v>
      </c>
      <c r="M220">
        <v>0.66300000000000003</v>
      </c>
      <c r="N220">
        <v>60.3</v>
      </c>
      <c r="O220">
        <v>0.151</v>
      </c>
      <c r="P220">
        <v>2010</v>
      </c>
      <c r="Q220">
        <v>24.3</v>
      </c>
      <c r="R220">
        <v>10.6</v>
      </c>
      <c r="S220">
        <v>7.1</v>
      </c>
      <c r="T220">
        <v>1.1000000000000001</v>
      </c>
      <c r="U220">
        <v>1</v>
      </c>
      <c r="V220">
        <v>3</v>
      </c>
      <c r="W220">
        <f>IF(nba_draft[[#This Row],[years_played]]&gt;5,1,0)</f>
        <v>1</v>
      </c>
    </row>
    <row r="221" spans="1:23" x14ac:dyDescent="0.25">
      <c r="A221">
        <v>26</v>
      </c>
      <c r="B221" t="s">
        <v>82</v>
      </c>
      <c r="C221" t="s">
        <v>817</v>
      </c>
      <c r="D221" t="s">
        <v>657</v>
      </c>
      <c r="E221">
        <v>13</v>
      </c>
      <c r="F221">
        <v>895</v>
      </c>
      <c r="G221">
        <v>23672</v>
      </c>
      <c r="H221">
        <v>8292</v>
      </c>
      <c r="I221">
        <v>2603</v>
      </c>
      <c r="J221">
        <v>2183</v>
      </c>
      <c r="K221">
        <v>0.43099999999999999</v>
      </c>
      <c r="L221">
        <v>0.36599999999999999</v>
      </c>
      <c r="M221">
        <v>0.79900000000000004</v>
      </c>
      <c r="N221">
        <v>33.9</v>
      </c>
      <c r="O221">
        <v>6.9000000000000006E-2</v>
      </c>
      <c r="P221">
        <v>2002</v>
      </c>
      <c r="Q221">
        <v>26.4</v>
      </c>
      <c r="R221">
        <v>9.3000000000000007</v>
      </c>
      <c r="S221">
        <v>2.9</v>
      </c>
      <c r="T221">
        <v>2.4</v>
      </c>
      <c r="U221">
        <v>1</v>
      </c>
      <c r="V221">
        <v>26</v>
      </c>
      <c r="W221">
        <f>IF(nba_draft[[#This Row],[years_played]]&gt;5,1,0)</f>
        <v>1</v>
      </c>
    </row>
    <row r="222" spans="1:23" x14ac:dyDescent="0.25">
      <c r="A222">
        <v>7</v>
      </c>
      <c r="B222" t="s">
        <v>43</v>
      </c>
      <c r="C222" t="s">
        <v>341</v>
      </c>
      <c r="D222" t="s">
        <v>336</v>
      </c>
      <c r="E222">
        <v>11</v>
      </c>
      <c r="F222">
        <v>736</v>
      </c>
      <c r="G222">
        <v>18477</v>
      </c>
      <c r="H222">
        <v>8286</v>
      </c>
      <c r="I222">
        <v>3033</v>
      </c>
      <c r="J222">
        <v>978</v>
      </c>
      <c r="K222">
        <v>0.43</v>
      </c>
      <c r="L222">
        <v>0.36</v>
      </c>
      <c r="M222">
        <v>0.75900000000000001</v>
      </c>
      <c r="N222">
        <v>19.8</v>
      </c>
      <c r="O222">
        <v>5.1999999999999998E-2</v>
      </c>
      <c r="P222">
        <v>1994</v>
      </c>
      <c r="Q222">
        <v>25.1</v>
      </c>
      <c r="R222">
        <v>11.3</v>
      </c>
      <c r="S222">
        <v>4.0999999999999996</v>
      </c>
      <c r="T222">
        <v>1.3</v>
      </c>
      <c r="U222">
        <v>1</v>
      </c>
      <c r="V222">
        <v>7</v>
      </c>
      <c r="W222">
        <f>IF(nba_draft[[#This Row],[years_played]]&gt;5,1,0)</f>
        <v>1</v>
      </c>
    </row>
    <row r="223" spans="1:23" x14ac:dyDescent="0.25">
      <c r="A223">
        <v>7</v>
      </c>
      <c r="B223" t="s">
        <v>40</v>
      </c>
      <c r="C223" t="s">
        <v>570</v>
      </c>
      <c r="D223" t="s">
        <v>84</v>
      </c>
      <c r="E223">
        <v>12</v>
      </c>
      <c r="F223">
        <v>788</v>
      </c>
      <c r="G223">
        <v>23188</v>
      </c>
      <c r="H223">
        <v>8266</v>
      </c>
      <c r="I223">
        <v>1810</v>
      </c>
      <c r="J223">
        <v>4611</v>
      </c>
      <c r="K223">
        <v>0.39800000000000002</v>
      </c>
      <c r="L223">
        <v>0.32700000000000001</v>
      </c>
      <c r="M223">
        <v>0.81299999999999994</v>
      </c>
      <c r="N223">
        <v>38.5</v>
      </c>
      <c r="O223">
        <v>0.08</v>
      </c>
      <c r="P223">
        <v>1998</v>
      </c>
      <c r="Q223">
        <v>29.4</v>
      </c>
      <c r="R223">
        <v>10.5</v>
      </c>
      <c r="S223">
        <v>2.2999999999999998</v>
      </c>
      <c r="T223">
        <v>5.9</v>
      </c>
      <c r="U223">
        <v>1</v>
      </c>
      <c r="V223">
        <v>7</v>
      </c>
      <c r="W223">
        <f>IF(nba_draft[[#This Row],[years_played]]&gt;5,1,0)</f>
        <v>1</v>
      </c>
    </row>
    <row r="224" spans="1:23" x14ac:dyDescent="0.25">
      <c r="A224">
        <v>6</v>
      </c>
      <c r="B224" t="s">
        <v>43</v>
      </c>
      <c r="C224" t="s">
        <v>850</v>
      </c>
      <c r="D224" t="s">
        <v>851</v>
      </c>
      <c r="E224">
        <v>13</v>
      </c>
      <c r="F224">
        <v>735</v>
      </c>
      <c r="G224">
        <v>19642</v>
      </c>
      <c r="H224">
        <v>8208</v>
      </c>
      <c r="I224">
        <v>5582</v>
      </c>
      <c r="J224">
        <v>921</v>
      </c>
      <c r="K224">
        <v>0.48899999999999999</v>
      </c>
      <c r="L224">
        <v>4.2000000000000003E-2</v>
      </c>
      <c r="M224">
        <v>0.74299999999999999</v>
      </c>
      <c r="N224">
        <v>24.6</v>
      </c>
      <c r="O224">
        <v>0.06</v>
      </c>
      <c r="P224">
        <v>2003</v>
      </c>
      <c r="Q224">
        <v>26.7</v>
      </c>
      <c r="R224">
        <v>11.2</v>
      </c>
      <c r="S224">
        <v>7.6</v>
      </c>
      <c r="T224">
        <v>1.3</v>
      </c>
      <c r="U224">
        <v>1</v>
      </c>
      <c r="V224">
        <v>6</v>
      </c>
      <c r="W224">
        <f>IF(nba_draft[[#This Row],[years_played]]&gt;5,1,0)</f>
        <v>1</v>
      </c>
    </row>
    <row r="225" spans="1:23" x14ac:dyDescent="0.25">
      <c r="A225">
        <v>27</v>
      </c>
      <c r="B225" t="s">
        <v>88</v>
      </c>
      <c r="C225" t="s">
        <v>1085</v>
      </c>
      <c r="D225" t="s">
        <v>113</v>
      </c>
      <c r="E225">
        <v>11</v>
      </c>
      <c r="F225">
        <v>762</v>
      </c>
      <c r="G225">
        <v>20829</v>
      </c>
      <c r="H225">
        <v>8198</v>
      </c>
      <c r="I225">
        <v>2176</v>
      </c>
      <c r="J225">
        <v>1386</v>
      </c>
      <c r="K225">
        <v>0.45</v>
      </c>
      <c r="L225">
        <v>0.38600000000000001</v>
      </c>
      <c r="M225">
        <v>0.82499999999999996</v>
      </c>
      <c r="N225">
        <v>33.5</v>
      </c>
      <c r="O225">
        <v>7.6999999999999999E-2</v>
      </c>
      <c r="P225">
        <v>2007</v>
      </c>
      <c r="Q225">
        <v>27.3</v>
      </c>
      <c r="R225">
        <v>10.8</v>
      </c>
      <c r="S225">
        <v>2.9</v>
      </c>
      <c r="T225">
        <v>1.8</v>
      </c>
      <c r="U225">
        <v>1</v>
      </c>
      <c r="V225">
        <v>27</v>
      </c>
      <c r="W225">
        <f>IF(nba_draft[[#This Row],[years_played]]&gt;5,1,0)</f>
        <v>1</v>
      </c>
    </row>
    <row r="226" spans="1:23" x14ac:dyDescent="0.25">
      <c r="A226">
        <v>16</v>
      </c>
      <c r="B226" t="s">
        <v>109</v>
      </c>
      <c r="C226" t="s">
        <v>1072</v>
      </c>
      <c r="D226" t="s">
        <v>230</v>
      </c>
      <c r="E226">
        <v>12</v>
      </c>
      <c r="F226">
        <v>720</v>
      </c>
      <c r="G226">
        <v>16419</v>
      </c>
      <c r="H226">
        <v>8194</v>
      </c>
      <c r="I226">
        <v>1427</v>
      </c>
      <c r="J226">
        <v>687</v>
      </c>
      <c r="K226">
        <v>0.41799999999999998</v>
      </c>
      <c r="L226">
        <v>0.376</v>
      </c>
      <c r="M226">
        <v>0.83599999999999997</v>
      </c>
      <c r="N226">
        <v>18.600000000000001</v>
      </c>
      <c r="O226">
        <v>5.3999999999999999E-2</v>
      </c>
      <c r="P226">
        <v>2007</v>
      </c>
      <c r="Q226">
        <v>22.8</v>
      </c>
      <c r="R226">
        <v>11.4</v>
      </c>
      <c r="S226">
        <v>2</v>
      </c>
      <c r="T226">
        <v>1</v>
      </c>
      <c r="U226">
        <v>1</v>
      </c>
      <c r="V226">
        <v>16</v>
      </c>
      <c r="W226">
        <f>IF(nba_draft[[#This Row],[years_played]]&gt;5,1,0)</f>
        <v>1</v>
      </c>
    </row>
    <row r="227" spans="1:23" x14ac:dyDescent="0.25">
      <c r="A227">
        <v>23</v>
      </c>
      <c r="B227" t="s">
        <v>75</v>
      </c>
      <c r="C227" t="s">
        <v>361</v>
      </c>
      <c r="D227" t="s">
        <v>362</v>
      </c>
      <c r="E227">
        <v>11</v>
      </c>
      <c r="F227">
        <v>733</v>
      </c>
      <c r="G227">
        <v>20727</v>
      </c>
      <c r="H227">
        <v>8192</v>
      </c>
      <c r="I227">
        <v>2402</v>
      </c>
      <c r="J227">
        <v>1234</v>
      </c>
      <c r="K227">
        <v>0.45700000000000002</v>
      </c>
      <c r="L227">
        <v>0.41799999999999998</v>
      </c>
      <c r="M227">
        <v>0.77800000000000002</v>
      </c>
      <c r="N227">
        <v>44</v>
      </c>
      <c r="O227">
        <v>0.10199999999999999</v>
      </c>
      <c r="P227">
        <v>1994</v>
      </c>
      <c r="Q227">
        <v>28.3</v>
      </c>
      <c r="R227">
        <v>11.2</v>
      </c>
      <c r="S227">
        <v>3.3</v>
      </c>
      <c r="T227">
        <v>1.7</v>
      </c>
      <c r="U227">
        <v>1</v>
      </c>
      <c r="V227">
        <v>23</v>
      </c>
      <c r="W227">
        <f>IF(nba_draft[[#This Row],[years_played]]&gt;5,1,0)</f>
        <v>1</v>
      </c>
    </row>
    <row r="228" spans="1:23" x14ac:dyDescent="0.25">
      <c r="A228">
        <v>15</v>
      </c>
      <c r="B228" t="s">
        <v>88</v>
      </c>
      <c r="C228" t="s">
        <v>1070</v>
      </c>
      <c r="D228" t="s">
        <v>1071</v>
      </c>
      <c r="E228">
        <v>10</v>
      </c>
      <c r="F228">
        <v>651</v>
      </c>
      <c r="G228">
        <v>17890</v>
      </c>
      <c r="H228">
        <v>8185</v>
      </c>
      <c r="I228">
        <v>1912</v>
      </c>
      <c r="J228">
        <v>2333</v>
      </c>
      <c r="K228">
        <v>0.42299999999999999</v>
      </c>
      <c r="L228">
        <v>0.3</v>
      </c>
      <c r="M228">
        <v>0.82399999999999995</v>
      </c>
      <c r="N228">
        <v>28.7</v>
      </c>
      <c r="O228">
        <v>7.6999999999999999E-2</v>
      </c>
      <c r="P228">
        <v>2007</v>
      </c>
      <c r="Q228">
        <v>27.5</v>
      </c>
      <c r="R228">
        <v>12.6</v>
      </c>
      <c r="S228">
        <v>2.9</v>
      </c>
      <c r="T228">
        <v>3.6</v>
      </c>
      <c r="U228">
        <v>1</v>
      </c>
      <c r="V228">
        <v>15</v>
      </c>
      <c r="W228">
        <f>IF(nba_draft[[#This Row],[years_played]]&gt;5,1,0)</f>
        <v>1</v>
      </c>
    </row>
    <row r="229" spans="1:23" x14ac:dyDescent="0.25">
      <c r="A229">
        <v>15</v>
      </c>
      <c r="B229" t="s">
        <v>75</v>
      </c>
      <c r="C229" t="s">
        <v>1123</v>
      </c>
      <c r="D229" t="s">
        <v>226</v>
      </c>
      <c r="E229">
        <v>14</v>
      </c>
      <c r="F229">
        <v>930</v>
      </c>
      <c r="G229">
        <v>20427</v>
      </c>
      <c r="H229">
        <v>8151</v>
      </c>
      <c r="I229">
        <v>4575</v>
      </c>
      <c r="J229">
        <v>786</v>
      </c>
      <c r="K229">
        <v>0.53700000000000003</v>
      </c>
      <c r="L229">
        <v>0.29599999999999999</v>
      </c>
      <c r="M229">
        <v>0.74299999999999999</v>
      </c>
      <c r="N229">
        <v>48.9</v>
      </c>
      <c r="O229">
        <v>0.115</v>
      </c>
      <c r="P229">
        <v>2008</v>
      </c>
      <c r="Q229">
        <v>22</v>
      </c>
      <c r="R229">
        <v>8.8000000000000007</v>
      </c>
      <c r="S229">
        <v>4.9000000000000004</v>
      </c>
      <c r="T229">
        <v>0.8</v>
      </c>
      <c r="U229">
        <v>1</v>
      </c>
      <c r="V229">
        <v>15</v>
      </c>
      <c r="W229">
        <f>IF(nba_draft[[#This Row],[years_played]]&gt;5,1,0)</f>
        <v>1</v>
      </c>
    </row>
    <row r="230" spans="1:23" x14ac:dyDescent="0.25">
      <c r="A230">
        <v>24</v>
      </c>
      <c r="B230" t="s">
        <v>65</v>
      </c>
      <c r="C230" t="s">
        <v>1411</v>
      </c>
      <c r="D230" t="s">
        <v>51</v>
      </c>
      <c r="E230">
        <v>9</v>
      </c>
      <c r="F230">
        <v>586</v>
      </c>
      <c r="G230">
        <v>15837</v>
      </c>
      <c r="H230">
        <v>8149</v>
      </c>
      <c r="I230">
        <v>1650</v>
      </c>
      <c r="J230">
        <v>1095</v>
      </c>
      <c r="K230">
        <v>0.42199999999999999</v>
      </c>
      <c r="L230">
        <v>0.35799999999999998</v>
      </c>
      <c r="M230">
        <v>0.81200000000000006</v>
      </c>
      <c r="N230">
        <v>26</v>
      </c>
      <c r="O230">
        <v>7.9000000000000001E-2</v>
      </c>
      <c r="P230">
        <v>2013</v>
      </c>
      <c r="Q230">
        <v>27</v>
      </c>
      <c r="R230">
        <v>13.9</v>
      </c>
      <c r="S230">
        <v>2.8</v>
      </c>
      <c r="T230">
        <v>1.9</v>
      </c>
      <c r="U230">
        <v>1</v>
      </c>
      <c r="V230">
        <v>24</v>
      </c>
      <c r="W230">
        <f>IF(nba_draft[[#This Row],[years_played]]&gt;5,1,0)</f>
        <v>1</v>
      </c>
    </row>
    <row r="231" spans="1:23" x14ac:dyDescent="0.25">
      <c r="A231">
        <v>34</v>
      </c>
      <c r="B231" t="s">
        <v>104</v>
      </c>
      <c r="C231" t="s">
        <v>979</v>
      </c>
      <c r="D231" t="s">
        <v>97</v>
      </c>
      <c r="E231">
        <v>16</v>
      </c>
      <c r="F231">
        <v>849</v>
      </c>
      <c r="G231">
        <v>17284</v>
      </c>
      <c r="H231">
        <v>8108</v>
      </c>
      <c r="I231">
        <v>2011</v>
      </c>
      <c r="J231">
        <v>914</v>
      </c>
      <c r="K231">
        <v>0.41099999999999998</v>
      </c>
      <c r="L231">
        <v>0.35799999999999998</v>
      </c>
      <c r="M231">
        <v>0.80900000000000005</v>
      </c>
      <c r="N231">
        <v>30.1</v>
      </c>
      <c r="O231">
        <v>8.4000000000000005E-2</v>
      </c>
      <c r="P231">
        <v>2005</v>
      </c>
      <c r="Q231">
        <v>20.399999999999999</v>
      </c>
      <c r="R231">
        <v>9.6</v>
      </c>
      <c r="S231">
        <v>2.4</v>
      </c>
      <c r="T231">
        <v>1.1000000000000001</v>
      </c>
      <c r="U231">
        <v>2</v>
      </c>
      <c r="V231">
        <v>4</v>
      </c>
      <c r="W231">
        <f>IF(nba_draft[[#This Row],[years_played]]&gt;5,1,0)</f>
        <v>1</v>
      </c>
    </row>
    <row r="232" spans="1:23" x14ac:dyDescent="0.25">
      <c r="A232">
        <v>4</v>
      </c>
      <c r="B232" t="s">
        <v>31</v>
      </c>
      <c r="C232" t="s">
        <v>32</v>
      </c>
      <c r="D232" t="s">
        <v>33</v>
      </c>
      <c r="E232">
        <v>10</v>
      </c>
      <c r="F232">
        <v>629</v>
      </c>
      <c r="G232">
        <v>17983</v>
      </c>
      <c r="H232">
        <v>8094</v>
      </c>
      <c r="I232">
        <v>1774</v>
      </c>
      <c r="J232">
        <v>1296</v>
      </c>
      <c r="K232">
        <v>0.41699999999999998</v>
      </c>
      <c r="L232">
        <v>0.39700000000000002</v>
      </c>
      <c r="M232">
        <v>0.79300000000000004</v>
      </c>
      <c r="N232">
        <v>33.4</v>
      </c>
      <c r="O232">
        <v>8.8999999999999996E-2</v>
      </c>
      <c r="P232">
        <v>1990</v>
      </c>
      <c r="Q232">
        <v>28.6</v>
      </c>
      <c r="R232">
        <v>12.9</v>
      </c>
      <c r="S232">
        <v>2.8</v>
      </c>
      <c r="T232">
        <v>2.1</v>
      </c>
      <c r="U232">
        <v>1</v>
      </c>
      <c r="V232">
        <v>4</v>
      </c>
      <c r="W232">
        <f>IF(nba_draft[[#This Row],[years_played]]&gt;5,1,0)</f>
        <v>1</v>
      </c>
    </row>
    <row r="233" spans="1:23" x14ac:dyDescent="0.25">
      <c r="A233">
        <v>18</v>
      </c>
      <c r="B233" t="s">
        <v>43</v>
      </c>
      <c r="C233" t="s">
        <v>700</v>
      </c>
      <c r="D233" t="s">
        <v>701</v>
      </c>
      <c r="E233">
        <v>13</v>
      </c>
      <c r="F233">
        <v>783</v>
      </c>
      <c r="G233">
        <v>20785</v>
      </c>
      <c r="H233">
        <v>8032</v>
      </c>
      <c r="I233">
        <v>3666</v>
      </c>
      <c r="J233">
        <v>1138</v>
      </c>
      <c r="K233">
        <v>0.39700000000000002</v>
      </c>
      <c r="L233">
        <v>0.35499999999999998</v>
      </c>
      <c r="M233">
        <v>0.71799999999999997</v>
      </c>
      <c r="N233">
        <v>32.799999999999997</v>
      </c>
      <c r="O233">
        <v>7.5999999999999998E-2</v>
      </c>
      <c r="P233">
        <v>2000</v>
      </c>
      <c r="Q233">
        <v>26.5</v>
      </c>
      <c r="R233">
        <v>10.3</v>
      </c>
      <c r="S233">
        <v>4.7</v>
      </c>
      <c r="T233">
        <v>1.5</v>
      </c>
      <c r="U233">
        <v>1</v>
      </c>
      <c r="V233">
        <v>18</v>
      </c>
      <c r="W233">
        <f>IF(nba_draft[[#This Row],[years_played]]&gt;5,1,0)</f>
        <v>1</v>
      </c>
    </row>
    <row r="234" spans="1:23" x14ac:dyDescent="0.25">
      <c r="A234">
        <v>15</v>
      </c>
      <c r="B234" t="s">
        <v>90</v>
      </c>
      <c r="C234" t="s">
        <v>234</v>
      </c>
      <c r="D234" t="s">
        <v>151</v>
      </c>
      <c r="E234">
        <v>13</v>
      </c>
      <c r="F234">
        <v>827</v>
      </c>
      <c r="G234">
        <v>20464</v>
      </c>
      <c r="H234">
        <v>8017</v>
      </c>
      <c r="I234">
        <v>2136</v>
      </c>
      <c r="J234">
        <v>1956</v>
      </c>
      <c r="K234">
        <v>0.42699999999999999</v>
      </c>
      <c r="L234">
        <v>0.38400000000000001</v>
      </c>
      <c r="M234">
        <v>0.79900000000000004</v>
      </c>
      <c r="N234">
        <v>30.7</v>
      </c>
      <c r="O234">
        <v>7.1999999999999995E-2</v>
      </c>
      <c r="P234">
        <v>1992</v>
      </c>
      <c r="Q234">
        <v>24.7</v>
      </c>
      <c r="R234">
        <v>9.6999999999999993</v>
      </c>
      <c r="S234">
        <v>2.6</v>
      </c>
      <c r="T234">
        <v>2.4</v>
      </c>
      <c r="U234">
        <v>1</v>
      </c>
      <c r="V234">
        <v>15</v>
      </c>
      <c r="W234">
        <f>IF(nba_draft[[#This Row],[years_played]]&gt;5,1,0)</f>
        <v>1</v>
      </c>
    </row>
    <row r="235" spans="1:23" x14ac:dyDescent="0.25">
      <c r="A235">
        <v>26</v>
      </c>
      <c r="B235" t="s">
        <v>95</v>
      </c>
      <c r="C235" t="s">
        <v>1189</v>
      </c>
      <c r="D235" t="s">
        <v>230</v>
      </c>
      <c r="E235">
        <v>13</v>
      </c>
      <c r="F235">
        <v>883</v>
      </c>
      <c r="G235">
        <v>21742</v>
      </c>
      <c r="H235">
        <v>8012</v>
      </c>
      <c r="I235">
        <v>5423</v>
      </c>
      <c r="J235">
        <v>873</v>
      </c>
      <c r="K235">
        <v>0.51800000000000002</v>
      </c>
      <c r="L235">
        <v>0.23899999999999999</v>
      </c>
      <c r="M235">
        <v>0.71099999999999997</v>
      </c>
      <c r="N235">
        <v>57.9</v>
      </c>
      <c r="O235">
        <v>0.128</v>
      </c>
      <c r="P235">
        <v>2009</v>
      </c>
      <c r="Q235">
        <v>24.6</v>
      </c>
      <c r="R235">
        <v>9.1</v>
      </c>
      <c r="S235">
        <v>6.1</v>
      </c>
      <c r="T235">
        <v>1</v>
      </c>
      <c r="U235">
        <v>1</v>
      </c>
      <c r="V235">
        <v>26</v>
      </c>
      <c r="W235">
        <f>IF(nba_draft[[#This Row],[years_played]]&gt;5,1,0)</f>
        <v>1</v>
      </c>
    </row>
    <row r="236" spans="1:23" x14ac:dyDescent="0.25">
      <c r="A236">
        <v>21</v>
      </c>
      <c r="B236" t="s">
        <v>22</v>
      </c>
      <c r="C236" t="s">
        <v>1129</v>
      </c>
      <c r="D236" t="s">
        <v>336</v>
      </c>
      <c r="E236">
        <v>12</v>
      </c>
      <c r="F236">
        <v>649</v>
      </c>
      <c r="G236">
        <v>16769</v>
      </c>
      <c r="H236">
        <v>8001</v>
      </c>
      <c r="I236">
        <v>3413</v>
      </c>
      <c r="J236">
        <v>586</v>
      </c>
      <c r="K236">
        <v>0.42199999999999999</v>
      </c>
      <c r="L236">
        <v>0.38</v>
      </c>
      <c r="M236">
        <v>0.85399999999999998</v>
      </c>
      <c r="N236">
        <v>46.7</v>
      </c>
      <c r="O236">
        <v>0.13400000000000001</v>
      </c>
      <c r="P236">
        <v>2008</v>
      </c>
      <c r="Q236">
        <v>25.8</v>
      </c>
      <c r="R236">
        <v>12.3</v>
      </c>
      <c r="S236">
        <v>5.3</v>
      </c>
      <c r="T236">
        <v>0.9</v>
      </c>
      <c r="U236">
        <v>1</v>
      </c>
      <c r="V236">
        <v>21</v>
      </c>
      <c r="W236">
        <f>IF(nba_draft[[#This Row],[years_played]]&gt;5,1,0)</f>
        <v>1</v>
      </c>
    </row>
    <row r="237" spans="1:23" x14ac:dyDescent="0.25">
      <c r="A237">
        <v>9</v>
      </c>
      <c r="B237" t="s">
        <v>49</v>
      </c>
      <c r="C237" t="s">
        <v>155</v>
      </c>
      <c r="D237" t="s">
        <v>142</v>
      </c>
      <c r="E237">
        <v>15</v>
      </c>
      <c r="F237">
        <v>1001</v>
      </c>
      <c r="G237">
        <v>21658</v>
      </c>
      <c r="H237">
        <v>7990</v>
      </c>
      <c r="I237">
        <v>3216</v>
      </c>
      <c r="J237">
        <v>1561</v>
      </c>
      <c r="K237">
        <v>0.46899999999999997</v>
      </c>
      <c r="L237">
        <v>0.152</v>
      </c>
      <c r="M237">
        <v>0.72799999999999998</v>
      </c>
      <c r="N237">
        <v>43.8</v>
      </c>
      <c r="O237">
        <v>9.7000000000000003E-2</v>
      </c>
      <c r="P237">
        <v>1991</v>
      </c>
      <c r="Q237">
        <v>21.6</v>
      </c>
      <c r="R237">
        <v>8</v>
      </c>
      <c r="S237">
        <v>3.2</v>
      </c>
      <c r="T237">
        <v>1.6</v>
      </c>
      <c r="U237">
        <v>1</v>
      </c>
      <c r="V237">
        <v>9</v>
      </c>
      <c r="W237">
        <f>IF(nba_draft[[#This Row],[years_played]]&gt;5,1,0)</f>
        <v>1</v>
      </c>
    </row>
    <row r="238" spans="1:23" x14ac:dyDescent="0.25">
      <c r="A238">
        <v>10</v>
      </c>
      <c r="B238" t="s">
        <v>88</v>
      </c>
      <c r="C238" t="s">
        <v>290</v>
      </c>
      <c r="D238" t="s">
        <v>291</v>
      </c>
      <c r="E238">
        <v>17</v>
      </c>
      <c r="F238">
        <v>937</v>
      </c>
      <c r="G238">
        <v>23253</v>
      </c>
      <c r="H238">
        <v>7956</v>
      </c>
      <c r="I238">
        <v>2021</v>
      </c>
      <c r="J238">
        <v>2506</v>
      </c>
      <c r="K238">
        <v>0.38800000000000001</v>
      </c>
      <c r="L238">
        <v>0.36</v>
      </c>
      <c r="M238">
        <v>0.746</v>
      </c>
      <c r="N238">
        <v>32.9</v>
      </c>
      <c r="O238">
        <v>6.8000000000000005E-2</v>
      </c>
      <c r="P238">
        <v>1993</v>
      </c>
      <c r="Q238">
        <v>24.8</v>
      </c>
      <c r="R238">
        <v>8.5</v>
      </c>
      <c r="S238">
        <v>2.2000000000000002</v>
      </c>
      <c r="T238">
        <v>2.7</v>
      </c>
      <c r="U238">
        <v>1</v>
      </c>
      <c r="V238">
        <v>10</v>
      </c>
      <c r="W238">
        <f>IF(nba_draft[[#This Row],[years_played]]&gt;5,1,0)</f>
        <v>1</v>
      </c>
    </row>
    <row r="239" spans="1:23" x14ac:dyDescent="0.25">
      <c r="A239">
        <v>2</v>
      </c>
      <c r="B239" t="s">
        <v>31</v>
      </c>
      <c r="C239" t="s">
        <v>1388</v>
      </c>
      <c r="D239" t="s">
        <v>285</v>
      </c>
      <c r="E239">
        <v>8</v>
      </c>
      <c r="F239">
        <v>454</v>
      </c>
      <c r="G239">
        <v>14968</v>
      </c>
      <c r="H239">
        <v>7955</v>
      </c>
      <c r="I239">
        <v>2094</v>
      </c>
      <c r="J239">
        <v>1796</v>
      </c>
      <c r="K239">
        <v>0.438</v>
      </c>
      <c r="L239">
        <v>0.34699999999999998</v>
      </c>
      <c r="M239">
        <v>0.79100000000000004</v>
      </c>
      <c r="N239">
        <v>24.6</v>
      </c>
      <c r="O239">
        <v>7.9000000000000001E-2</v>
      </c>
      <c r="P239">
        <v>2013</v>
      </c>
      <c r="Q239">
        <v>33</v>
      </c>
      <c r="R239">
        <v>17.5</v>
      </c>
      <c r="S239">
        <v>4.5999999999999996</v>
      </c>
      <c r="T239">
        <v>4</v>
      </c>
      <c r="U239">
        <v>1</v>
      </c>
      <c r="V239">
        <v>2</v>
      </c>
      <c r="W239">
        <f>IF(nba_draft[[#This Row],[years_played]]&gt;5,1,0)</f>
        <v>1</v>
      </c>
    </row>
    <row r="240" spans="1:23" x14ac:dyDescent="0.25">
      <c r="A240">
        <v>57</v>
      </c>
      <c r="B240" t="s">
        <v>75</v>
      </c>
      <c r="C240" t="s">
        <v>1000</v>
      </c>
      <c r="D240" t="s">
        <v>97</v>
      </c>
      <c r="E240">
        <v>12</v>
      </c>
      <c r="F240">
        <v>806</v>
      </c>
      <c r="G240">
        <v>20691</v>
      </c>
      <c r="H240">
        <v>7951</v>
      </c>
      <c r="I240">
        <v>6407</v>
      </c>
      <c r="J240">
        <v>915</v>
      </c>
      <c r="K240">
        <v>0.55100000000000005</v>
      </c>
      <c r="L240">
        <v>0.15</v>
      </c>
      <c r="M240">
        <v>0.68</v>
      </c>
      <c r="N240">
        <v>61.3</v>
      </c>
      <c r="O240">
        <v>0.14199999999999999</v>
      </c>
      <c r="P240">
        <v>2005</v>
      </c>
      <c r="Q240">
        <v>25.7</v>
      </c>
      <c r="R240">
        <v>9.9</v>
      </c>
      <c r="S240">
        <v>7.9</v>
      </c>
      <c r="T240">
        <v>1.1000000000000001</v>
      </c>
      <c r="U240">
        <v>2</v>
      </c>
      <c r="V240">
        <v>27</v>
      </c>
      <c r="W240">
        <f>IF(nba_draft[[#This Row],[years_played]]&gt;5,1,0)</f>
        <v>1</v>
      </c>
    </row>
    <row r="241" spans="1:23" x14ac:dyDescent="0.25">
      <c r="A241">
        <v>8</v>
      </c>
      <c r="B241" t="s">
        <v>40</v>
      </c>
      <c r="C241" t="s">
        <v>342</v>
      </c>
      <c r="D241" t="s">
        <v>54</v>
      </c>
      <c r="E241">
        <v>12</v>
      </c>
      <c r="F241">
        <v>756</v>
      </c>
      <c r="G241">
        <v>21417</v>
      </c>
      <c r="H241">
        <v>7933</v>
      </c>
      <c r="I241">
        <v>5622</v>
      </c>
      <c r="J241">
        <v>923</v>
      </c>
      <c r="K241">
        <v>0.49</v>
      </c>
      <c r="L241">
        <v>0.214</v>
      </c>
      <c r="M241">
        <v>0.746</v>
      </c>
      <c r="N241">
        <v>54.5</v>
      </c>
      <c r="O241">
        <v>0.122</v>
      </c>
      <c r="P241">
        <v>1994</v>
      </c>
      <c r="Q241">
        <v>28.3</v>
      </c>
      <c r="R241">
        <v>10.5</v>
      </c>
      <c r="S241">
        <v>7.4</v>
      </c>
      <c r="T241">
        <v>1.2</v>
      </c>
      <c r="U241">
        <v>1</v>
      </c>
      <c r="V241">
        <v>8</v>
      </c>
      <c r="W241">
        <f>IF(nba_draft[[#This Row],[years_played]]&gt;5,1,0)</f>
        <v>1</v>
      </c>
    </row>
    <row r="242" spans="1:23" x14ac:dyDescent="0.25">
      <c r="A242">
        <v>1</v>
      </c>
      <c r="B242" t="s">
        <v>395</v>
      </c>
      <c r="C242" t="s">
        <v>1003</v>
      </c>
      <c r="D242" t="s">
        <v>97</v>
      </c>
      <c r="E242">
        <v>10</v>
      </c>
      <c r="F242">
        <v>550</v>
      </c>
      <c r="G242">
        <v>15806</v>
      </c>
      <c r="H242">
        <v>7873</v>
      </c>
      <c r="I242">
        <v>2541</v>
      </c>
      <c r="J242">
        <v>653</v>
      </c>
      <c r="K242">
        <v>0.439</v>
      </c>
      <c r="L242">
        <v>0.35399999999999998</v>
      </c>
      <c r="M242">
        <v>0.82399999999999995</v>
      </c>
      <c r="N242">
        <v>18.899999999999999</v>
      </c>
      <c r="O242">
        <v>5.7000000000000002E-2</v>
      </c>
      <c r="P242">
        <v>2006</v>
      </c>
      <c r="Q242">
        <v>28.7</v>
      </c>
      <c r="R242">
        <v>14.3</v>
      </c>
      <c r="S242">
        <v>4.5999999999999996</v>
      </c>
      <c r="T242">
        <v>1.2</v>
      </c>
      <c r="U242">
        <v>1</v>
      </c>
      <c r="V242">
        <v>1</v>
      </c>
      <c r="W242">
        <f>IF(nba_draft[[#This Row],[years_played]]&gt;5,1,0)</f>
        <v>1</v>
      </c>
    </row>
    <row r="243" spans="1:23" x14ac:dyDescent="0.25">
      <c r="A243">
        <v>14</v>
      </c>
      <c r="B243" t="s">
        <v>52</v>
      </c>
      <c r="C243" t="s">
        <v>754</v>
      </c>
      <c r="D243" t="s">
        <v>218</v>
      </c>
      <c r="E243">
        <v>12</v>
      </c>
      <c r="F243">
        <v>729</v>
      </c>
      <c r="G243">
        <v>19921</v>
      </c>
      <c r="H243">
        <v>7860</v>
      </c>
      <c r="I243">
        <v>5708</v>
      </c>
      <c r="J243">
        <v>1088</v>
      </c>
      <c r="K243">
        <v>0.44500000000000001</v>
      </c>
      <c r="L243">
        <v>0.38800000000000001</v>
      </c>
      <c r="M243">
        <v>0.78500000000000003</v>
      </c>
      <c r="N243">
        <v>50.3</v>
      </c>
      <c r="O243">
        <v>0.121</v>
      </c>
      <c r="P243">
        <v>2001</v>
      </c>
      <c r="Q243">
        <v>27.3</v>
      </c>
      <c r="R243">
        <v>10.8</v>
      </c>
      <c r="S243">
        <v>7.8</v>
      </c>
      <c r="T243">
        <v>1.5</v>
      </c>
      <c r="U243">
        <v>1</v>
      </c>
      <c r="V243">
        <v>14</v>
      </c>
      <c r="W243">
        <f>IF(nba_draft[[#This Row],[years_played]]&gt;5,1,0)</f>
        <v>1</v>
      </c>
    </row>
    <row r="244" spans="1:23" x14ac:dyDescent="0.25">
      <c r="A244">
        <v>6</v>
      </c>
      <c r="B244" t="s">
        <v>109</v>
      </c>
      <c r="C244" t="s">
        <v>284</v>
      </c>
      <c r="D244" t="s">
        <v>285</v>
      </c>
      <c r="E244">
        <v>13</v>
      </c>
      <c r="F244">
        <v>825</v>
      </c>
      <c r="G244">
        <v>22007</v>
      </c>
      <c r="H244">
        <v>7826</v>
      </c>
      <c r="I244">
        <v>2610</v>
      </c>
      <c r="J244">
        <v>1398</v>
      </c>
      <c r="K244">
        <v>0.46600000000000003</v>
      </c>
      <c r="L244">
        <v>0.29799999999999999</v>
      </c>
      <c r="M244">
        <v>0.69099999999999995</v>
      </c>
      <c r="N244">
        <v>23.1</v>
      </c>
      <c r="O244">
        <v>0.05</v>
      </c>
      <c r="P244">
        <v>1993</v>
      </c>
      <c r="Q244">
        <v>26.7</v>
      </c>
      <c r="R244">
        <v>9.5</v>
      </c>
      <c r="S244">
        <v>3.2</v>
      </c>
      <c r="T244">
        <v>1.7</v>
      </c>
      <c r="U244">
        <v>1</v>
      </c>
      <c r="V244">
        <v>6</v>
      </c>
      <c r="W244">
        <f>IF(nba_draft[[#This Row],[years_played]]&gt;5,1,0)</f>
        <v>1</v>
      </c>
    </row>
    <row r="245" spans="1:23" x14ac:dyDescent="0.25">
      <c r="A245">
        <v>3</v>
      </c>
      <c r="B245" t="s">
        <v>102</v>
      </c>
      <c r="C245" t="s">
        <v>1444</v>
      </c>
      <c r="D245" t="s">
        <v>108</v>
      </c>
      <c r="E245">
        <v>6</v>
      </c>
      <c r="F245">
        <v>306</v>
      </c>
      <c r="G245">
        <v>9458</v>
      </c>
      <c r="H245">
        <v>7817</v>
      </c>
      <c r="I245">
        <v>3450</v>
      </c>
      <c r="J245">
        <v>1003</v>
      </c>
      <c r="K245">
        <v>0.48799999999999999</v>
      </c>
      <c r="L245">
        <v>0.33500000000000002</v>
      </c>
      <c r="M245">
        <v>0.80900000000000005</v>
      </c>
      <c r="N245">
        <v>39.9</v>
      </c>
      <c r="O245">
        <v>0.20200000000000001</v>
      </c>
      <c r="P245">
        <v>2014</v>
      </c>
      <c r="Q245">
        <v>30.9</v>
      </c>
      <c r="R245">
        <v>25.5</v>
      </c>
      <c r="S245">
        <v>11.3</v>
      </c>
      <c r="T245">
        <v>3.3</v>
      </c>
      <c r="U245">
        <v>1</v>
      </c>
      <c r="V245">
        <v>3</v>
      </c>
      <c r="W245">
        <f>IF(nba_draft[[#This Row],[years_played]]&gt;5,1,0)</f>
        <v>1</v>
      </c>
    </row>
    <row r="246" spans="1:23" x14ac:dyDescent="0.25">
      <c r="A246">
        <v>10</v>
      </c>
      <c r="B246" t="s">
        <v>63</v>
      </c>
      <c r="C246" t="s">
        <v>1172</v>
      </c>
      <c r="D246" t="s">
        <v>97</v>
      </c>
      <c r="E246">
        <v>9</v>
      </c>
      <c r="F246">
        <v>555</v>
      </c>
      <c r="G246">
        <v>16844</v>
      </c>
      <c r="H246">
        <v>7801</v>
      </c>
      <c r="I246">
        <v>1659</v>
      </c>
      <c r="J246">
        <v>3151</v>
      </c>
      <c r="K246">
        <v>0.38700000000000001</v>
      </c>
      <c r="L246">
        <v>0.34499999999999997</v>
      </c>
      <c r="M246">
        <v>0.79600000000000004</v>
      </c>
      <c r="N246">
        <v>29.9</v>
      </c>
      <c r="O246">
        <v>8.5000000000000006E-2</v>
      </c>
      <c r="P246">
        <v>2009</v>
      </c>
      <c r="Q246">
        <v>30.3</v>
      </c>
      <c r="R246">
        <v>14.1</v>
      </c>
      <c r="S246">
        <v>3</v>
      </c>
      <c r="T246">
        <v>5.7</v>
      </c>
      <c r="U246">
        <v>1</v>
      </c>
      <c r="V246">
        <v>10</v>
      </c>
      <c r="W246">
        <f>IF(nba_draft[[#This Row],[years_played]]&gt;5,1,0)</f>
        <v>1</v>
      </c>
    </row>
    <row r="247" spans="1:23" x14ac:dyDescent="0.25">
      <c r="A247">
        <v>8</v>
      </c>
      <c r="B247" t="s">
        <v>65</v>
      </c>
      <c r="C247" t="s">
        <v>953</v>
      </c>
      <c r="D247" t="s">
        <v>117</v>
      </c>
      <c r="E247">
        <v>13</v>
      </c>
      <c r="F247">
        <v>890</v>
      </c>
      <c r="G247">
        <v>19772</v>
      </c>
      <c r="H247">
        <v>7786</v>
      </c>
      <c r="I247">
        <v>4002</v>
      </c>
      <c r="J247">
        <v>864</v>
      </c>
      <c r="K247">
        <v>0.44</v>
      </c>
      <c r="L247">
        <v>0.38800000000000001</v>
      </c>
      <c r="M247">
        <v>0.82199999999999995</v>
      </c>
      <c r="N247">
        <v>38.9</v>
      </c>
      <c r="O247">
        <v>9.4E-2</v>
      </c>
      <c r="P247">
        <v>2005</v>
      </c>
      <c r="Q247">
        <v>22.2</v>
      </c>
      <c r="R247">
        <v>8.6999999999999993</v>
      </c>
      <c r="S247">
        <v>4.5</v>
      </c>
      <c r="T247">
        <v>1</v>
      </c>
      <c r="U247">
        <v>1</v>
      </c>
      <c r="V247">
        <v>8</v>
      </c>
      <c r="W247">
        <f>IF(nba_draft[[#This Row],[years_played]]&gt;5,1,0)</f>
        <v>1</v>
      </c>
    </row>
    <row r="248" spans="1:23" x14ac:dyDescent="0.25">
      <c r="A248">
        <v>13</v>
      </c>
      <c r="B248" t="s">
        <v>75</v>
      </c>
      <c r="C248" t="s">
        <v>1281</v>
      </c>
      <c r="D248" t="s">
        <v>108</v>
      </c>
      <c r="E248">
        <v>11</v>
      </c>
      <c r="F248">
        <v>708</v>
      </c>
      <c r="G248">
        <v>17613</v>
      </c>
      <c r="H248">
        <v>7770</v>
      </c>
      <c r="I248">
        <v>3697</v>
      </c>
      <c r="J248">
        <v>1144</v>
      </c>
      <c r="K248">
        <v>0.44600000000000001</v>
      </c>
      <c r="L248">
        <v>0.34100000000000003</v>
      </c>
      <c r="M248">
        <v>0.77700000000000002</v>
      </c>
      <c r="N248">
        <v>27</v>
      </c>
      <c r="O248">
        <v>7.2999999999999995E-2</v>
      </c>
      <c r="P248">
        <v>2011</v>
      </c>
      <c r="Q248">
        <v>24.9</v>
      </c>
      <c r="R248">
        <v>11</v>
      </c>
      <c r="S248">
        <v>5.2</v>
      </c>
      <c r="T248">
        <v>1.6</v>
      </c>
      <c r="U248">
        <v>1</v>
      </c>
      <c r="V248">
        <v>13</v>
      </c>
      <c r="W248">
        <f>IF(nba_draft[[#This Row],[years_played]]&gt;5,1,0)</f>
        <v>1</v>
      </c>
    </row>
    <row r="249" spans="1:23" x14ac:dyDescent="0.25">
      <c r="A249">
        <v>17</v>
      </c>
      <c r="B249" t="s">
        <v>25</v>
      </c>
      <c r="C249" t="s">
        <v>699</v>
      </c>
      <c r="D249" t="s">
        <v>206</v>
      </c>
      <c r="E249">
        <v>10</v>
      </c>
      <c r="F249">
        <v>643</v>
      </c>
      <c r="G249">
        <v>19641</v>
      </c>
      <c r="H249">
        <v>7767</v>
      </c>
      <c r="I249">
        <v>2863</v>
      </c>
      <c r="J249">
        <v>1049</v>
      </c>
      <c r="K249">
        <v>0.44900000000000001</v>
      </c>
      <c r="L249">
        <v>0.26</v>
      </c>
      <c r="M249">
        <v>0.74</v>
      </c>
      <c r="N249">
        <v>23.1</v>
      </c>
      <c r="O249">
        <v>5.6000000000000001E-2</v>
      </c>
      <c r="P249">
        <v>2000</v>
      </c>
      <c r="Q249">
        <v>30.5</v>
      </c>
      <c r="R249">
        <v>12.1</v>
      </c>
      <c r="S249">
        <v>4.5</v>
      </c>
      <c r="T249">
        <v>1.6</v>
      </c>
      <c r="U249">
        <v>1</v>
      </c>
      <c r="V249">
        <v>17</v>
      </c>
      <c r="W249">
        <f>IF(nba_draft[[#This Row],[years_played]]&gt;5,1,0)</f>
        <v>1</v>
      </c>
    </row>
    <row r="250" spans="1:23" x14ac:dyDescent="0.25">
      <c r="A250">
        <v>22</v>
      </c>
      <c r="B250" t="s">
        <v>31</v>
      </c>
      <c r="C250" t="s">
        <v>1130</v>
      </c>
      <c r="D250" t="s">
        <v>321</v>
      </c>
      <c r="E250">
        <v>12</v>
      </c>
      <c r="F250">
        <v>811</v>
      </c>
      <c r="G250">
        <v>21938</v>
      </c>
      <c r="H250">
        <v>7765</v>
      </c>
      <c r="I250">
        <v>2127</v>
      </c>
      <c r="J250">
        <v>1353</v>
      </c>
      <c r="K250">
        <v>0.45100000000000001</v>
      </c>
      <c r="L250">
        <v>0.38800000000000001</v>
      </c>
      <c r="M250">
        <v>0.85299999999999998</v>
      </c>
      <c r="N250">
        <v>39.299999999999997</v>
      </c>
      <c r="O250">
        <v>8.5999999999999993E-2</v>
      </c>
      <c r="P250">
        <v>2008</v>
      </c>
      <c r="Q250">
        <v>27.1</v>
      </c>
      <c r="R250">
        <v>9.6</v>
      </c>
      <c r="S250">
        <v>2.6</v>
      </c>
      <c r="T250">
        <v>1.7</v>
      </c>
      <c r="U250">
        <v>1</v>
      </c>
      <c r="V250">
        <v>22</v>
      </c>
      <c r="W250">
        <f>IF(nba_draft[[#This Row],[years_played]]&gt;5,1,0)</f>
        <v>1</v>
      </c>
    </row>
    <row r="251" spans="1:23" x14ac:dyDescent="0.25">
      <c r="A251">
        <v>14</v>
      </c>
      <c r="B251" t="s">
        <v>25</v>
      </c>
      <c r="C251" t="s">
        <v>859</v>
      </c>
      <c r="D251" t="s">
        <v>158</v>
      </c>
      <c r="E251">
        <v>12</v>
      </c>
      <c r="F251">
        <v>830</v>
      </c>
      <c r="G251">
        <v>21623</v>
      </c>
      <c r="H251">
        <v>7740</v>
      </c>
      <c r="I251">
        <v>1877</v>
      </c>
      <c r="J251">
        <v>3713</v>
      </c>
      <c r="K251">
        <v>0.43099999999999999</v>
      </c>
      <c r="L251">
        <v>0.34899999999999998</v>
      </c>
      <c r="M251">
        <v>0.86199999999999999</v>
      </c>
      <c r="N251">
        <v>36</v>
      </c>
      <c r="O251">
        <v>0.08</v>
      </c>
      <c r="P251">
        <v>2003</v>
      </c>
      <c r="Q251">
        <v>26.1</v>
      </c>
      <c r="R251">
        <v>9.3000000000000007</v>
      </c>
      <c r="S251">
        <v>2.2999999999999998</v>
      </c>
      <c r="T251">
        <v>4.5</v>
      </c>
      <c r="U251">
        <v>1</v>
      </c>
      <c r="V251">
        <v>14</v>
      </c>
      <c r="W251">
        <f>IF(nba_draft[[#This Row],[years_played]]&gt;5,1,0)</f>
        <v>1</v>
      </c>
    </row>
    <row r="252" spans="1:23" x14ac:dyDescent="0.25">
      <c r="A252">
        <v>7</v>
      </c>
      <c r="B252" t="s">
        <v>70</v>
      </c>
      <c r="C252" t="s">
        <v>1009</v>
      </c>
      <c r="D252" t="s">
        <v>458</v>
      </c>
      <c r="E252">
        <v>11</v>
      </c>
      <c r="F252">
        <v>752</v>
      </c>
      <c r="G252">
        <v>19279</v>
      </c>
      <c r="H252">
        <v>7729</v>
      </c>
      <c r="I252">
        <v>1686</v>
      </c>
      <c r="J252">
        <v>2112</v>
      </c>
      <c r="K252">
        <v>0.40100000000000002</v>
      </c>
      <c r="L252">
        <v>0.36599999999999999</v>
      </c>
      <c r="M252">
        <v>0.85199999999999998</v>
      </c>
      <c r="N252">
        <v>23.5</v>
      </c>
      <c r="O252">
        <v>5.8000000000000003E-2</v>
      </c>
      <c r="P252">
        <v>2006</v>
      </c>
      <c r="Q252">
        <v>25.6</v>
      </c>
      <c r="R252">
        <v>10.3</v>
      </c>
      <c r="S252">
        <v>2.2000000000000002</v>
      </c>
      <c r="T252">
        <v>2.8</v>
      </c>
      <c r="U252">
        <v>1</v>
      </c>
      <c r="V252">
        <v>7</v>
      </c>
      <c r="W252">
        <f>IF(nba_draft[[#This Row],[years_played]]&gt;5,1,0)</f>
        <v>1</v>
      </c>
    </row>
    <row r="253" spans="1:23" x14ac:dyDescent="0.25">
      <c r="A253">
        <v>11</v>
      </c>
      <c r="B253" t="s">
        <v>55</v>
      </c>
      <c r="C253" t="s">
        <v>227</v>
      </c>
      <c r="D253" t="s">
        <v>228</v>
      </c>
      <c r="E253">
        <v>16</v>
      </c>
      <c r="F253">
        <v>1107</v>
      </c>
      <c r="G253">
        <v>27069</v>
      </c>
      <c r="H253">
        <v>7715</v>
      </c>
      <c r="I253">
        <v>5269</v>
      </c>
      <c r="J253">
        <v>2343</v>
      </c>
      <c r="K253">
        <v>0.42499999999999999</v>
      </c>
      <c r="L253">
        <v>0.34100000000000003</v>
      </c>
      <c r="M253">
        <v>0.72599999999999998</v>
      </c>
      <c r="N253">
        <v>66.3</v>
      </c>
      <c r="O253">
        <v>0.11799999999999999</v>
      </c>
      <c r="P253">
        <v>1992</v>
      </c>
      <c r="Q253">
        <v>24.5</v>
      </c>
      <c r="R253">
        <v>7</v>
      </c>
      <c r="S253">
        <v>4.8</v>
      </c>
      <c r="T253">
        <v>2.1</v>
      </c>
      <c r="U253">
        <v>1</v>
      </c>
      <c r="V253">
        <v>11</v>
      </c>
      <c r="W253">
        <f>IF(nba_draft[[#This Row],[years_played]]&gt;5,1,0)</f>
        <v>1</v>
      </c>
    </row>
    <row r="254" spans="1:23" x14ac:dyDescent="0.25">
      <c r="A254">
        <v>13</v>
      </c>
      <c r="B254" t="s">
        <v>28</v>
      </c>
      <c r="C254" t="s">
        <v>1608</v>
      </c>
      <c r="D254" t="s">
        <v>39</v>
      </c>
      <c r="E254">
        <v>5</v>
      </c>
      <c r="F254">
        <v>324</v>
      </c>
      <c r="G254">
        <v>10906</v>
      </c>
      <c r="H254">
        <v>7685</v>
      </c>
      <c r="I254">
        <v>1345</v>
      </c>
      <c r="J254">
        <v>1423</v>
      </c>
      <c r="K254">
        <v>0.441</v>
      </c>
      <c r="L254">
        <v>0.36</v>
      </c>
      <c r="M254">
        <v>0.83499999999999996</v>
      </c>
      <c r="N254">
        <v>27.3</v>
      </c>
      <c r="O254">
        <v>0.12</v>
      </c>
      <c r="P254">
        <v>2017</v>
      </c>
      <c r="Q254">
        <v>33.700000000000003</v>
      </c>
      <c r="R254">
        <v>23.7</v>
      </c>
      <c r="S254">
        <v>4.2</v>
      </c>
      <c r="T254">
        <v>4.4000000000000004</v>
      </c>
      <c r="U254">
        <v>1</v>
      </c>
      <c r="V254">
        <v>13</v>
      </c>
      <c r="W254">
        <f>IF(nba_draft[[#This Row],[years_played]]&gt;5,1,0)</f>
        <v>0</v>
      </c>
    </row>
    <row r="255" spans="1:23" x14ac:dyDescent="0.25">
      <c r="A255">
        <v>15</v>
      </c>
      <c r="B255" t="s">
        <v>31</v>
      </c>
      <c r="C255" t="s">
        <v>579</v>
      </c>
      <c r="D255" t="s">
        <v>33</v>
      </c>
      <c r="E255">
        <v>11</v>
      </c>
      <c r="F255">
        <v>665</v>
      </c>
      <c r="G255">
        <v>17584</v>
      </c>
      <c r="H255">
        <v>7645</v>
      </c>
      <c r="I255">
        <v>3366</v>
      </c>
      <c r="J255">
        <v>907</v>
      </c>
      <c r="K255">
        <v>0.48099999999999998</v>
      </c>
      <c r="L255">
        <v>0.33300000000000002</v>
      </c>
      <c r="M255">
        <v>0.753</v>
      </c>
      <c r="N255">
        <v>41.9</v>
      </c>
      <c r="O255">
        <v>0.114</v>
      </c>
      <c r="P255">
        <v>1998</v>
      </c>
      <c r="Q255">
        <v>26.4</v>
      </c>
      <c r="R255">
        <v>11.5</v>
      </c>
      <c r="S255">
        <v>5.0999999999999996</v>
      </c>
      <c r="T255">
        <v>1.4</v>
      </c>
      <c r="U255">
        <v>1</v>
      </c>
      <c r="V255">
        <v>15</v>
      </c>
      <c r="W255">
        <f>IF(nba_draft[[#This Row],[years_played]]&gt;5,1,0)</f>
        <v>1</v>
      </c>
    </row>
    <row r="256" spans="1:23" x14ac:dyDescent="0.25">
      <c r="A256">
        <v>21</v>
      </c>
      <c r="B256" t="s">
        <v>395</v>
      </c>
      <c r="C256" t="s">
        <v>705</v>
      </c>
      <c r="D256" t="s">
        <v>148</v>
      </c>
      <c r="E256">
        <v>11</v>
      </c>
      <c r="F256">
        <v>711</v>
      </c>
      <c r="G256">
        <v>19366</v>
      </c>
      <c r="H256">
        <v>7628</v>
      </c>
      <c r="I256">
        <v>2483</v>
      </c>
      <c r="J256">
        <v>1090</v>
      </c>
      <c r="K256">
        <v>0.41799999999999998</v>
      </c>
      <c r="L256">
        <v>0.373</v>
      </c>
      <c r="M256">
        <v>0.77300000000000002</v>
      </c>
      <c r="N256">
        <v>35.700000000000003</v>
      </c>
      <c r="O256">
        <v>8.8999999999999996E-2</v>
      </c>
      <c r="P256">
        <v>2000</v>
      </c>
      <c r="Q256">
        <v>27.2</v>
      </c>
      <c r="R256">
        <v>10.7</v>
      </c>
      <c r="S256">
        <v>3.5</v>
      </c>
      <c r="T256">
        <v>1.5</v>
      </c>
      <c r="U256">
        <v>1</v>
      </c>
      <c r="V256">
        <v>21</v>
      </c>
      <c r="W256">
        <f>IF(nba_draft[[#This Row],[years_played]]&gt;5,1,0)</f>
        <v>1</v>
      </c>
    </row>
    <row r="257" spans="1:23" x14ac:dyDescent="0.25">
      <c r="A257">
        <v>46</v>
      </c>
      <c r="B257" t="s">
        <v>393</v>
      </c>
      <c r="C257" t="s">
        <v>833</v>
      </c>
      <c r="D257" t="s">
        <v>113</v>
      </c>
      <c r="E257">
        <v>14</v>
      </c>
      <c r="F257">
        <v>929</v>
      </c>
      <c r="G257">
        <v>21967</v>
      </c>
      <c r="H257">
        <v>7589</v>
      </c>
      <c r="I257">
        <v>4281</v>
      </c>
      <c r="J257">
        <v>1691</v>
      </c>
      <c r="K257">
        <v>0.436</v>
      </c>
      <c r="L257">
        <v>0.33500000000000002</v>
      </c>
      <c r="M257">
        <v>0.745</v>
      </c>
      <c r="N257">
        <v>42.8</v>
      </c>
      <c r="O257">
        <v>9.2999999999999999E-2</v>
      </c>
      <c r="P257">
        <v>2002</v>
      </c>
      <c r="Q257">
        <v>23.6</v>
      </c>
      <c r="R257">
        <v>8.1999999999999993</v>
      </c>
      <c r="S257">
        <v>4.5999999999999996</v>
      </c>
      <c r="T257">
        <v>1.8</v>
      </c>
      <c r="U257">
        <v>2</v>
      </c>
      <c r="V257">
        <v>17</v>
      </c>
      <c r="W257">
        <f>IF(nba_draft[[#This Row],[years_played]]&gt;5,1,0)</f>
        <v>1</v>
      </c>
    </row>
    <row r="258" spans="1:23" x14ac:dyDescent="0.25">
      <c r="A258">
        <v>3</v>
      </c>
      <c r="B258" t="s">
        <v>37</v>
      </c>
      <c r="C258" t="s">
        <v>1109</v>
      </c>
      <c r="D258" t="s">
        <v>230</v>
      </c>
      <c r="E258">
        <v>8</v>
      </c>
      <c r="F258">
        <v>547</v>
      </c>
      <c r="G258">
        <v>16919</v>
      </c>
      <c r="H258">
        <v>7574</v>
      </c>
      <c r="I258">
        <v>1706</v>
      </c>
      <c r="J258">
        <v>1607</v>
      </c>
      <c r="K258">
        <v>0.42899999999999999</v>
      </c>
      <c r="L258">
        <v>0.373</v>
      </c>
      <c r="M258">
        <v>0.82</v>
      </c>
      <c r="N258">
        <v>21.8</v>
      </c>
      <c r="O258">
        <v>6.2E-2</v>
      </c>
      <c r="P258">
        <v>2008</v>
      </c>
      <c r="Q258">
        <v>30.9</v>
      </c>
      <c r="R258">
        <v>13.8</v>
      </c>
      <c r="S258">
        <v>3.1</v>
      </c>
      <c r="T258">
        <v>2.9</v>
      </c>
      <c r="U258">
        <v>1</v>
      </c>
      <c r="V258">
        <v>3</v>
      </c>
      <c r="W258">
        <f>IF(nba_draft[[#This Row],[years_played]]&gt;5,1,0)</f>
        <v>1</v>
      </c>
    </row>
    <row r="259" spans="1:23" x14ac:dyDescent="0.25">
      <c r="A259">
        <v>2</v>
      </c>
      <c r="B259" t="s">
        <v>46</v>
      </c>
      <c r="C259" t="s">
        <v>1108</v>
      </c>
      <c r="D259" t="s">
        <v>126</v>
      </c>
      <c r="E259">
        <v>11</v>
      </c>
      <c r="F259">
        <v>609</v>
      </c>
      <c r="G259">
        <v>13903</v>
      </c>
      <c r="H259">
        <v>7568</v>
      </c>
      <c r="I259">
        <v>2861</v>
      </c>
      <c r="J259">
        <v>788</v>
      </c>
      <c r="K259">
        <v>0.46500000000000002</v>
      </c>
      <c r="L259">
        <v>0.34899999999999998</v>
      </c>
      <c r="M259">
        <v>0.75900000000000001</v>
      </c>
      <c r="N259">
        <v>15.6</v>
      </c>
      <c r="O259">
        <v>5.3999999999999999E-2</v>
      </c>
      <c r="P259">
        <v>2008</v>
      </c>
      <c r="Q259">
        <v>22.8</v>
      </c>
      <c r="R259">
        <v>12.4</v>
      </c>
      <c r="S259">
        <v>4.7</v>
      </c>
      <c r="T259">
        <v>1.3</v>
      </c>
      <c r="U259">
        <v>1</v>
      </c>
      <c r="V259">
        <v>2</v>
      </c>
      <c r="W259">
        <f>IF(nba_draft[[#This Row],[years_played]]&gt;5,1,0)</f>
        <v>1</v>
      </c>
    </row>
    <row r="260" spans="1:23" x14ac:dyDescent="0.25">
      <c r="A260">
        <v>11</v>
      </c>
      <c r="B260" t="s">
        <v>52</v>
      </c>
      <c r="C260" t="s">
        <v>53</v>
      </c>
      <c r="D260" t="s">
        <v>54</v>
      </c>
      <c r="E260">
        <v>14</v>
      </c>
      <c r="F260">
        <v>801</v>
      </c>
      <c r="G260">
        <v>22388</v>
      </c>
      <c r="H260">
        <v>7532</v>
      </c>
      <c r="I260">
        <v>6854</v>
      </c>
      <c r="J260">
        <v>647</v>
      </c>
      <c r="K260">
        <v>0.502</v>
      </c>
      <c r="L260">
        <v>0</v>
      </c>
      <c r="M260">
        <v>0.64300000000000002</v>
      </c>
      <c r="N260">
        <v>56.2</v>
      </c>
      <c r="O260">
        <v>0.12</v>
      </c>
      <c r="P260">
        <v>1990</v>
      </c>
      <c r="Q260">
        <v>28</v>
      </c>
      <c r="R260">
        <v>9.4</v>
      </c>
      <c r="S260">
        <v>8.6</v>
      </c>
      <c r="T260">
        <v>0.8</v>
      </c>
      <c r="U260">
        <v>1</v>
      </c>
      <c r="V260">
        <v>11</v>
      </c>
      <c r="W260">
        <f>IF(nba_draft[[#This Row],[years_played]]&gt;5,1,0)</f>
        <v>1</v>
      </c>
    </row>
    <row r="261" spans="1:23" x14ac:dyDescent="0.25">
      <c r="A261">
        <v>8</v>
      </c>
      <c r="B261" t="s">
        <v>88</v>
      </c>
      <c r="C261" t="s">
        <v>1394</v>
      </c>
      <c r="D261" t="s">
        <v>57</v>
      </c>
      <c r="E261">
        <v>9</v>
      </c>
      <c r="F261">
        <v>661</v>
      </c>
      <c r="G261">
        <v>19263</v>
      </c>
      <c r="H261">
        <v>7530</v>
      </c>
      <c r="I261">
        <v>2076</v>
      </c>
      <c r="J261">
        <v>1098</v>
      </c>
      <c r="K261">
        <v>0.41799999999999998</v>
      </c>
      <c r="L261">
        <v>0.35799999999999998</v>
      </c>
      <c r="M261">
        <v>0.80900000000000005</v>
      </c>
      <c r="N261">
        <v>33.299999999999997</v>
      </c>
      <c r="O261">
        <v>8.3000000000000004E-2</v>
      </c>
      <c r="P261">
        <v>2013</v>
      </c>
      <c r="Q261">
        <v>29.1</v>
      </c>
      <c r="R261">
        <v>11.4</v>
      </c>
      <c r="S261">
        <v>3.1</v>
      </c>
      <c r="T261">
        <v>1.7</v>
      </c>
      <c r="U261">
        <v>1</v>
      </c>
      <c r="V261">
        <v>8</v>
      </c>
      <c r="W261">
        <f>IF(nba_draft[[#This Row],[years_played]]&gt;5,1,0)</f>
        <v>1</v>
      </c>
    </row>
    <row r="262" spans="1:23" x14ac:dyDescent="0.25">
      <c r="A262">
        <v>8</v>
      </c>
      <c r="B262" t="s">
        <v>395</v>
      </c>
      <c r="C262" t="s">
        <v>1335</v>
      </c>
      <c r="D262" t="s">
        <v>325</v>
      </c>
      <c r="E262">
        <v>10</v>
      </c>
      <c r="F262">
        <v>658</v>
      </c>
      <c r="G262">
        <v>16412</v>
      </c>
      <c r="H262">
        <v>7436</v>
      </c>
      <c r="I262">
        <v>1875</v>
      </c>
      <c r="J262">
        <v>826</v>
      </c>
      <c r="K262">
        <v>0.41799999999999998</v>
      </c>
      <c r="L262">
        <v>0.36399999999999999</v>
      </c>
      <c r="M262">
        <v>0.83899999999999997</v>
      </c>
      <c r="N262">
        <v>23.5</v>
      </c>
      <c r="O262">
        <v>6.9000000000000006E-2</v>
      </c>
      <c r="P262">
        <v>2012</v>
      </c>
      <c r="Q262">
        <v>24.9</v>
      </c>
      <c r="R262">
        <v>11.3</v>
      </c>
      <c r="S262">
        <v>2.8</v>
      </c>
      <c r="T262">
        <v>1.3</v>
      </c>
      <c r="U262">
        <v>1</v>
      </c>
      <c r="V262">
        <v>8</v>
      </c>
      <c r="W262">
        <f>IF(nba_draft[[#This Row],[years_played]]&gt;5,1,0)</f>
        <v>1</v>
      </c>
    </row>
    <row r="263" spans="1:23" x14ac:dyDescent="0.25">
      <c r="A263">
        <v>18</v>
      </c>
      <c r="B263" t="s">
        <v>28</v>
      </c>
      <c r="C263" t="s">
        <v>647</v>
      </c>
      <c r="D263" t="s">
        <v>54</v>
      </c>
      <c r="E263">
        <v>12</v>
      </c>
      <c r="F263">
        <v>864</v>
      </c>
      <c r="G263">
        <v>23260</v>
      </c>
      <c r="H263">
        <v>7419</v>
      </c>
      <c r="I263">
        <v>4061</v>
      </c>
      <c r="J263">
        <v>1413</v>
      </c>
      <c r="K263">
        <v>0.41</v>
      </c>
      <c r="L263">
        <v>0.34899999999999998</v>
      </c>
      <c r="M263">
        <v>0.82</v>
      </c>
      <c r="N263">
        <v>51.6</v>
      </c>
      <c r="O263">
        <v>0.107</v>
      </c>
      <c r="P263">
        <v>1999</v>
      </c>
      <c r="Q263">
        <v>26.9</v>
      </c>
      <c r="R263">
        <v>8.6</v>
      </c>
      <c r="S263">
        <v>4.7</v>
      </c>
      <c r="T263">
        <v>1.6</v>
      </c>
      <c r="U263">
        <v>1</v>
      </c>
      <c r="V263">
        <v>18</v>
      </c>
      <c r="W263">
        <f>IF(nba_draft[[#This Row],[years_played]]&gt;5,1,0)</f>
        <v>1</v>
      </c>
    </row>
    <row r="264" spans="1:23" x14ac:dyDescent="0.25">
      <c r="A264">
        <v>42</v>
      </c>
      <c r="B264" t="s">
        <v>31</v>
      </c>
      <c r="C264" t="s">
        <v>887</v>
      </c>
      <c r="D264" t="s">
        <v>97</v>
      </c>
      <c r="E264">
        <v>16</v>
      </c>
      <c r="F264">
        <v>1098</v>
      </c>
      <c r="G264">
        <v>22240</v>
      </c>
      <c r="H264">
        <v>7414</v>
      </c>
      <c r="I264">
        <v>6315</v>
      </c>
      <c r="J264">
        <v>1433</v>
      </c>
      <c r="K264">
        <v>0.46899999999999997</v>
      </c>
      <c r="L264">
        <v>0</v>
      </c>
      <c r="M264">
        <v>0.751</v>
      </c>
      <c r="N264">
        <v>52.7</v>
      </c>
      <c r="O264">
        <v>0.114</v>
      </c>
      <c r="P264">
        <v>2003</v>
      </c>
      <c r="Q264">
        <v>20.3</v>
      </c>
      <c r="R264">
        <v>6.8</v>
      </c>
      <c r="S264">
        <v>5.8</v>
      </c>
      <c r="T264">
        <v>1.3</v>
      </c>
      <c r="U264">
        <v>2</v>
      </c>
      <c r="V264">
        <v>13</v>
      </c>
      <c r="W264">
        <f>IF(nba_draft[[#This Row],[years_played]]&gt;5,1,0)</f>
        <v>1</v>
      </c>
    </row>
    <row r="265" spans="1:23" x14ac:dyDescent="0.25">
      <c r="A265">
        <v>5</v>
      </c>
      <c r="B265" t="s">
        <v>28</v>
      </c>
      <c r="C265" t="s">
        <v>217</v>
      </c>
      <c r="D265" t="s">
        <v>218</v>
      </c>
      <c r="E265">
        <v>11</v>
      </c>
      <c r="F265">
        <v>624</v>
      </c>
      <c r="G265">
        <v>17616</v>
      </c>
      <c r="H265">
        <v>7410</v>
      </c>
      <c r="I265">
        <v>4032</v>
      </c>
      <c r="J265">
        <v>981</v>
      </c>
      <c r="K265">
        <v>0.45200000000000001</v>
      </c>
      <c r="L265">
        <v>0.30199999999999999</v>
      </c>
      <c r="M265">
        <v>0.73</v>
      </c>
      <c r="N265">
        <v>32.799999999999997</v>
      </c>
      <c r="O265">
        <v>8.8999999999999996E-2</v>
      </c>
      <c r="P265">
        <v>1992</v>
      </c>
      <c r="Q265">
        <v>28.2</v>
      </c>
      <c r="R265">
        <v>11.9</v>
      </c>
      <c r="S265">
        <v>6.5</v>
      </c>
      <c r="T265">
        <v>1.6</v>
      </c>
      <c r="U265">
        <v>1</v>
      </c>
      <c r="V265">
        <v>5</v>
      </c>
      <c r="W265">
        <f>IF(nba_draft[[#This Row],[years_played]]&gt;5,1,0)</f>
        <v>1</v>
      </c>
    </row>
    <row r="266" spans="1:23" x14ac:dyDescent="0.25">
      <c r="A266">
        <v>5</v>
      </c>
      <c r="B266" t="s">
        <v>37</v>
      </c>
      <c r="C266" t="s">
        <v>1166</v>
      </c>
      <c r="D266" t="s">
        <v>97</v>
      </c>
      <c r="E266">
        <v>11</v>
      </c>
      <c r="F266">
        <v>665</v>
      </c>
      <c r="G266">
        <v>20128</v>
      </c>
      <c r="H266">
        <v>7399</v>
      </c>
      <c r="I266">
        <v>2760</v>
      </c>
      <c r="J266">
        <v>5045</v>
      </c>
      <c r="K266">
        <v>0.38900000000000001</v>
      </c>
      <c r="L266">
        <v>0.32600000000000001</v>
      </c>
      <c r="M266">
        <v>0.84299999999999997</v>
      </c>
      <c r="N266">
        <v>42</v>
      </c>
      <c r="O266">
        <v>0.1</v>
      </c>
      <c r="P266">
        <v>2009</v>
      </c>
      <c r="Q266">
        <v>30.3</v>
      </c>
      <c r="R266">
        <v>11.1</v>
      </c>
      <c r="S266">
        <v>4.2</v>
      </c>
      <c r="T266">
        <v>7.6</v>
      </c>
      <c r="U266">
        <v>1</v>
      </c>
      <c r="V266">
        <v>5</v>
      </c>
      <c r="W266">
        <f>IF(nba_draft[[#This Row],[years_played]]&gt;5,1,0)</f>
        <v>1</v>
      </c>
    </row>
    <row r="267" spans="1:23" x14ac:dyDescent="0.25">
      <c r="A267">
        <v>55</v>
      </c>
      <c r="B267" t="s">
        <v>85</v>
      </c>
      <c r="C267" t="s">
        <v>1213</v>
      </c>
      <c r="D267" t="s">
        <v>1214</v>
      </c>
      <c r="E267">
        <v>13</v>
      </c>
      <c r="F267">
        <v>797</v>
      </c>
      <c r="G267">
        <v>16471</v>
      </c>
      <c r="H267">
        <v>7372</v>
      </c>
      <c r="I267">
        <v>1361</v>
      </c>
      <c r="J267">
        <v>1861</v>
      </c>
      <c r="K267">
        <v>0.42799999999999999</v>
      </c>
      <c r="L267">
        <v>0.39100000000000001</v>
      </c>
      <c r="M267">
        <v>0.85699999999999998</v>
      </c>
      <c r="N267">
        <v>35.5</v>
      </c>
      <c r="O267">
        <v>0.104</v>
      </c>
      <c r="P267">
        <v>2009</v>
      </c>
      <c r="Q267">
        <v>20.7</v>
      </c>
      <c r="R267">
        <v>9.1999999999999993</v>
      </c>
      <c r="S267">
        <v>1.7</v>
      </c>
      <c r="T267">
        <v>2.2999999999999998</v>
      </c>
      <c r="U267">
        <v>2</v>
      </c>
      <c r="V267">
        <v>25</v>
      </c>
      <c r="W267">
        <f>IF(nba_draft[[#This Row],[years_played]]&gt;5,1,0)</f>
        <v>1</v>
      </c>
    </row>
    <row r="268" spans="1:23" x14ac:dyDescent="0.25">
      <c r="A268">
        <v>2</v>
      </c>
      <c r="B268" t="s">
        <v>34</v>
      </c>
      <c r="C268" t="s">
        <v>897</v>
      </c>
      <c r="D268" t="s">
        <v>79</v>
      </c>
      <c r="E268">
        <v>10</v>
      </c>
      <c r="F268">
        <v>616</v>
      </c>
      <c r="G268">
        <v>19055</v>
      </c>
      <c r="H268">
        <v>7370</v>
      </c>
      <c r="I268">
        <v>5967</v>
      </c>
      <c r="J268">
        <v>520</v>
      </c>
      <c r="K268">
        <v>0.51200000000000001</v>
      </c>
      <c r="L268">
        <v>0</v>
      </c>
      <c r="M268">
        <v>0.58599999999999997</v>
      </c>
      <c r="N268">
        <v>45.3</v>
      </c>
      <c r="O268">
        <v>0.114</v>
      </c>
      <c r="P268">
        <v>2004</v>
      </c>
      <c r="Q268">
        <v>30.9</v>
      </c>
      <c r="R268">
        <v>12</v>
      </c>
      <c r="S268">
        <v>9.6999999999999993</v>
      </c>
      <c r="T268">
        <v>0.8</v>
      </c>
      <c r="U268">
        <v>1</v>
      </c>
      <c r="V268">
        <v>2</v>
      </c>
      <c r="W268">
        <f>IF(nba_draft[[#This Row],[years_played]]&gt;5,1,0)</f>
        <v>1</v>
      </c>
    </row>
    <row r="269" spans="1:23" x14ac:dyDescent="0.25">
      <c r="A269">
        <v>13</v>
      </c>
      <c r="B269" t="s">
        <v>138</v>
      </c>
      <c r="C269" t="s">
        <v>521</v>
      </c>
      <c r="D269" t="s">
        <v>282</v>
      </c>
      <c r="E269">
        <v>11</v>
      </c>
      <c r="F269">
        <v>615</v>
      </c>
      <c r="G269">
        <v>17975</v>
      </c>
      <c r="H269">
        <v>7357</v>
      </c>
      <c r="I269">
        <v>1988</v>
      </c>
      <c r="J269">
        <v>2083</v>
      </c>
      <c r="K269">
        <v>0.40799999999999997</v>
      </c>
      <c r="L269">
        <v>0.34100000000000003</v>
      </c>
      <c r="M269">
        <v>0.85299999999999998</v>
      </c>
      <c r="N269">
        <v>43.9</v>
      </c>
      <c r="O269">
        <v>0.11700000000000001</v>
      </c>
      <c r="P269">
        <v>1997</v>
      </c>
      <c r="Q269">
        <v>29.2</v>
      </c>
      <c r="R269">
        <v>12</v>
      </c>
      <c r="S269">
        <v>3.2</v>
      </c>
      <c r="T269">
        <v>3.4</v>
      </c>
      <c r="U269">
        <v>1</v>
      </c>
      <c r="V269">
        <v>13</v>
      </c>
      <c r="W269">
        <f>IF(nba_draft[[#This Row],[years_played]]&gt;5,1,0)</f>
        <v>1</v>
      </c>
    </row>
    <row r="270" spans="1:23" x14ac:dyDescent="0.25">
      <c r="A270">
        <v>23</v>
      </c>
      <c r="B270" t="s">
        <v>25</v>
      </c>
      <c r="C270" t="s">
        <v>533</v>
      </c>
      <c r="D270" t="s">
        <v>48</v>
      </c>
      <c r="E270">
        <v>12</v>
      </c>
      <c r="F270">
        <v>755</v>
      </c>
      <c r="G270">
        <v>16790</v>
      </c>
      <c r="H270">
        <v>7344</v>
      </c>
      <c r="I270">
        <v>2347</v>
      </c>
      <c r="J270">
        <v>1945</v>
      </c>
      <c r="K270">
        <v>0.41699999999999998</v>
      </c>
      <c r="L270">
        <v>0.35399999999999998</v>
      </c>
      <c r="M270">
        <v>0.79300000000000004</v>
      </c>
      <c r="N270">
        <v>31.4</v>
      </c>
      <c r="O270">
        <v>0.09</v>
      </c>
      <c r="P270">
        <v>1997</v>
      </c>
      <c r="Q270">
        <v>22.2</v>
      </c>
      <c r="R270">
        <v>9.6999999999999993</v>
      </c>
      <c r="S270">
        <v>3.1</v>
      </c>
      <c r="T270">
        <v>2.6</v>
      </c>
      <c r="U270">
        <v>1</v>
      </c>
      <c r="V270">
        <v>23</v>
      </c>
      <c r="W270">
        <f>IF(nba_draft[[#This Row],[years_played]]&gt;5,1,0)</f>
        <v>1</v>
      </c>
    </row>
    <row r="271" spans="1:23" x14ac:dyDescent="0.25">
      <c r="A271">
        <v>10</v>
      </c>
      <c r="B271" t="s">
        <v>127</v>
      </c>
      <c r="C271" t="s">
        <v>460</v>
      </c>
      <c r="D271" t="s">
        <v>461</v>
      </c>
      <c r="E271">
        <v>16</v>
      </c>
      <c r="F271">
        <v>987</v>
      </c>
      <c r="G271">
        <v>24003</v>
      </c>
      <c r="H271">
        <v>7309</v>
      </c>
      <c r="I271">
        <v>7005</v>
      </c>
      <c r="J271">
        <v>817</v>
      </c>
      <c r="K271">
        <v>0.498</v>
      </c>
      <c r="L271">
        <v>0.125</v>
      </c>
      <c r="M271">
        <v>0.626</v>
      </c>
      <c r="N271">
        <v>52.7</v>
      </c>
      <c r="O271">
        <v>0.105</v>
      </c>
      <c r="P271">
        <v>1996</v>
      </c>
      <c r="Q271">
        <v>24.3</v>
      </c>
      <c r="R271">
        <v>7.4</v>
      </c>
      <c r="S271">
        <v>7.1</v>
      </c>
      <c r="T271">
        <v>0.8</v>
      </c>
      <c r="U271">
        <v>1</v>
      </c>
      <c r="V271">
        <v>10</v>
      </c>
      <c r="W271">
        <f>IF(nba_draft[[#This Row],[years_played]]&gt;5,1,0)</f>
        <v>1</v>
      </c>
    </row>
    <row r="272" spans="1:23" x14ac:dyDescent="0.25">
      <c r="A272">
        <v>29</v>
      </c>
      <c r="B272" t="s">
        <v>149</v>
      </c>
      <c r="C272" t="s">
        <v>875</v>
      </c>
      <c r="D272" t="s">
        <v>269</v>
      </c>
      <c r="E272">
        <v>10</v>
      </c>
      <c r="F272">
        <v>507</v>
      </c>
      <c r="G272">
        <v>15350</v>
      </c>
      <c r="H272">
        <v>7270</v>
      </c>
      <c r="I272">
        <v>2886</v>
      </c>
      <c r="J272">
        <v>817</v>
      </c>
      <c r="K272">
        <v>0.44800000000000001</v>
      </c>
      <c r="L272">
        <v>0.33200000000000002</v>
      </c>
      <c r="M272">
        <v>0.77</v>
      </c>
      <c r="N272">
        <v>38</v>
      </c>
      <c r="O272">
        <v>0.11899999999999999</v>
      </c>
      <c r="P272">
        <v>2003</v>
      </c>
      <c r="Q272">
        <v>30.3</v>
      </c>
      <c r="R272">
        <v>14.3</v>
      </c>
      <c r="S272">
        <v>5.7</v>
      </c>
      <c r="T272">
        <v>1.6</v>
      </c>
      <c r="U272">
        <v>1</v>
      </c>
      <c r="V272">
        <v>29</v>
      </c>
      <c r="W272">
        <f>IF(nba_draft[[#This Row],[years_played]]&gt;5,1,0)</f>
        <v>1</v>
      </c>
    </row>
    <row r="273" spans="1:23" x14ac:dyDescent="0.25">
      <c r="A273">
        <v>27</v>
      </c>
      <c r="B273" t="s">
        <v>28</v>
      </c>
      <c r="C273" t="s">
        <v>1414</v>
      </c>
      <c r="D273" t="s">
        <v>97</v>
      </c>
      <c r="E273">
        <v>9</v>
      </c>
      <c r="F273">
        <v>589</v>
      </c>
      <c r="G273">
        <v>17595</v>
      </c>
      <c r="H273">
        <v>7254</v>
      </c>
      <c r="I273">
        <v>6802</v>
      </c>
      <c r="J273">
        <v>786</v>
      </c>
      <c r="K273">
        <v>0.65100000000000002</v>
      </c>
      <c r="L273">
        <v>0</v>
      </c>
      <c r="M273">
        <v>0.63500000000000001</v>
      </c>
      <c r="N273">
        <v>82.9</v>
      </c>
      <c r="O273">
        <v>0.22600000000000001</v>
      </c>
      <c r="P273">
        <v>2013</v>
      </c>
      <c r="Q273">
        <v>29.9</v>
      </c>
      <c r="R273">
        <v>12.3</v>
      </c>
      <c r="S273">
        <v>11.5</v>
      </c>
      <c r="T273">
        <v>1.3</v>
      </c>
      <c r="U273">
        <v>1</v>
      </c>
      <c r="V273">
        <v>27</v>
      </c>
      <c r="W273">
        <f>IF(nba_draft[[#This Row],[years_played]]&gt;5,1,0)</f>
        <v>1</v>
      </c>
    </row>
    <row r="274" spans="1:23" x14ac:dyDescent="0.25">
      <c r="A274">
        <v>16</v>
      </c>
      <c r="B274" t="s">
        <v>52</v>
      </c>
      <c r="C274" t="s">
        <v>165</v>
      </c>
      <c r="D274" t="s">
        <v>166</v>
      </c>
      <c r="E274">
        <v>11</v>
      </c>
      <c r="F274">
        <v>700</v>
      </c>
      <c r="G274">
        <v>13760</v>
      </c>
      <c r="H274">
        <v>7232</v>
      </c>
      <c r="I274">
        <v>3741</v>
      </c>
      <c r="J274">
        <v>461</v>
      </c>
      <c r="K274">
        <v>0.51300000000000001</v>
      </c>
      <c r="L274">
        <v>0.249</v>
      </c>
      <c r="M274">
        <v>0.66</v>
      </c>
      <c r="N274">
        <v>32.1</v>
      </c>
      <c r="O274">
        <v>0.112</v>
      </c>
      <c r="P274">
        <v>1991</v>
      </c>
      <c r="Q274">
        <v>19.7</v>
      </c>
      <c r="R274">
        <v>10.3</v>
      </c>
      <c r="S274">
        <v>5.3</v>
      </c>
      <c r="T274">
        <v>0.7</v>
      </c>
      <c r="U274">
        <v>1</v>
      </c>
      <c r="V274">
        <v>16</v>
      </c>
      <c r="W274">
        <f>IF(nba_draft[[#This Row],[years_played]]&gt;5,1,0)</f>
        <v>1</v>
      </c>
    </row>
    <row r="275" spans="1:23" x14ac:dyDescent="0.25">
      <c r="A275">
        <v>19</v>
      </c>
      <c r="B275" t="s">
        <v>70</v>
      </c>
      <c r="C275" t="s">
        <v>1236</v>
      </c>
      <c r="D275" t="s">
        <v>60</v>
      </c>
      <c r="E275">
        <v>12</v>
      </c>
      <c r="F275">
        <v>647</v>
      </c>
      <c r="G275">
        <v>17910</v>
      </c>
      <c r="H275">
        <v>7210</v>
      </c>
      <c r="I275">
        <v>1840</v>
      </c>
      <c r="J275">
        <v>1099</v>
      </c>
      <c r="K275">
        <v>0.434</v>
      </c>
      <c r="L275">
        <v>0.36399999999999999</v>
      </c>
      <c r="M275">
        <v>0.78200000000000003</v>
      </c>
      <c r="N275">
        <v>17</v>
      </c>
      <c r="O275">
        <v>4.5999999999999999E-2</v>
      </c>
      <c r="P275">
        <v>2010</v>
      </c>
      <c r="Q275">
        <v>27.7</v>
      </c>
      <c r="R275">
        <v>11.1</v>
      </c>
      <c r="S275">
        <v>2.8</v>
      </c>
      <c r="T275">
        <v>1.7</v>
      </c>
      <c r="U275">
        <v>1</v>
      </c>
      <c r="V275">
        <v>19</v>
      </c>
      <c r="W275">
        <f>IF(nba_draft[[#This Row],[years_played]]&gt;5,1,0)</f>
        <v>1</v>
      </c>
    </row>
    <row r="276" spans="1:23" x14ac:dyDescent="0.25">
      <c r="A276">
        <v>16</v>
      </c>
      <c r="B276" t="s">
        <v>63</v>
      </c>
      <c r="C276" t="s">
        <v>64</v>
      </c>
      <c r="D276" t="s">
        <v>51</v>
      </c>
      <c r="E276">
        <v>11</v>
      </c>
      <c r="F276">
        <v>678</v>
      </c>
      <c r="G276">
        <v>16422</v>
      </c>
      <c r="H276">
        <v>7175</v>
      </c>
      <c r="I276">
        <v>3680</v>
      </c>
      <c r="J276">
        <v>891</v>
      </c>
      <c r="K276">
        <v>0.45700000000000002</v>
      </c>
      <c r="L276">
        <v>0.38400000000000001</v>
      </c>
      <c r="M276">
        <v>0.78100000000000003</v>
      </c>
      <c r="N276">
        <v>33.299999999999997</v>
      </c>
      <c r="O276">
        <v>9.7000000000000003E-2</v>
      </c>
      <c r="P276">
        <v>1990</v>
      </c>
      <c r="Q276">
        <v>24.2</v>
      </c>
      <c r="R276">
        <v>10.6</v>
      </c>
      <c r="S276">
        <v>5.4</v>
      </c>
      <c r="T276">
        <v>1.3</v>
      </c>
      <c r="U276">
        <v>1</v>
      </c>
      <c r="V276">
        <v>16</v>
      </c>
      <c r="W276">
        <f>IF(nba_draft[[#This Row],[years_played]]&gt;5,1,0)</f>
        <v>1</v>
      </c>
    </row>
    <row r="277" spans="1:23" x14ac:dyDescent="0.25">
      <c r="A277">
        <v>2</v>
      </c>
      <c r="B277" t="s">
        <v>90</v>
      </c>
      <c r="C277" t="s">
        <v>1497</v>
      </c>
      <c r="D277" t="s">
        <v>216</v>
      </c>
      <c r="E277">
        <v>7</v>
      </c>
      <c r="F277">
        <v>404</v>
      </c>
      <c r="G277">
        <v>11849</v>
      </c>
      <c r="H277">
        <v>7175</v>
      </c>
      <c r="I277">
        <v>1444</v>
      </c>
      <c r="J277">
        <v>2225</v>
      </c>
      <c r="K277">
        <v>0.42</v>
      </c>
      <c r="L277">
        <v>0.35899999999999999</v>
      </c>
      <c r="M277">
        <v>0.77500000000000002</v>
      </c>
      <c r="N277">
        <v>13.2</v>
      </c>
      <c r="O277">
        <v>5.2999999999999999E-2</v>
      </c>
      <c r="P277">
        <v>2015</v>
      </c>
      <c r="Q277">
        <v>29.3</v>
      </c>
      <c r="R277">
        <v>17.8</v>
      </c>
      <c r="S277">
        <v>3.6</v>
      </c>
      <c r="T277">
        <v>5.5</v>
      </c>
      <c r="U277">
        <v>1</v>
      </c>
      <c r="V277">
        <v>2</v>
      </c>
      <c r="W277">
        <f>IF(nba_draft[[#This Row],[years_played]]&gt;5,1,0)</f>
        <v>1</v>
      </c>
    </row>
    <row r="278" spans="1:23" x14ac:dyDescent="0.25">
      <c r="A278">
        <v>8</v>
      </c>
      <c r="B278" t="s">
        <v>22</v>
      </c>
      <c r="C278" t="s">
        <v>457</v>
      </c>
      <c r="D278" t="s">
        <v>458</v>
      </c>
      <c r="E278">
        <v>8</v>
      </c>
      <c r="F278">
        <v>507</v>
      </c>
      <c r="G278">
        <v>16929</v>
      </c>
      <c r="H278">
        <v>7165</v>
      </c>
      <c r="I278">
        <v>1983</v>
      </c>
      <c r="J278">
        <v>1295</v>
      </c>
      <c r="K278">
        <v>0.439</v>
      </c>
      <c r="L278">
        <v>0.378</v>
      </c>
      <c r="M278">
        <v>0.78</v>
      </c>
      <c r="N278">
        <v>44.8</v>
      </c>
      <c r="O278">
        <v>0.127</v>
      </c>
      <c r="P278">
        <v>1996</v>
      </c>
      <c r="Q278">
        <v>33.4</v>
      </c>
      <c r="R278">
        <v>14.1</v>
      </c>
      <c r="S278">
        <v>3.9</v>
      </c>
      <c r="T278">
        <v>2.6</v>
      </c>
      <c r="U278">
        <v>1</v>
      </c>
      <c r="V278">
        <v>8</v>
      </c>
      <c r="W278">
        <f>IF(nba_draft[[#This Row],[years_played]]&gt;5,1,0)</f>
        <v>1</v>
      </c>
    </row>
    <row r="279" spans="1:23" x14ac:dyDescent="0.25">
      <c r="A279">
        <v>11</v>
      </c>
      <c r="B279" t="s">
        <v>88</v>
      </c>
      <c r="C279" t="s">
        <v>574</v>
      </c>
      <c r="D279" t="s">
        <v>575</v>
      </c>
      <c r="E279">
        <v>10</v>
      </c>
      <c r="F279">
        <v>591</v>
      </c>
      <c r="G279">
        <v>15133</v>
      </c>
      <c r="H279">
        <v>7147</v>
      </c>
      <c r="I279">
        <v>2737</v>
      </c>
      <c r="J279">
        <v>1249</v>
      </c>
      <c r="K279">
        <v>0.46</v>
      </c>
      <c r="L279">
        <v>0.32700000000000001</v>
      </c>
      <c r="M279">
        <v>0.69699999999999995</v>
      </c>
      <c r="N279">
        <v>29.4</v>
      </c>
      <c r="O279">
        <v>9.2999999999999999E-2</v>
      </c>
      <c r="P279">
        <v>1998</v>
      </c>
      <c r="Q279">
        <v>25.6</v>
      </c>
      <c r="R279">
        <v>12.1</v>
      </c>
      <c r="S279">
        <v>4.5999999999999996</v>
      </c>
      <c r="T279">
        <v>2.1</v>
      </c>
      <c r="U279">
        <v>1</v>
      </c>
      <c r="V279">
        <v>11</v>
      </c>
      <c r="W279">
        <f>IF(nba_draft[[#This Row],[years_played]]&gt;5,1,0)</f>
        <v>1</v>
      </c>
    </row>
    <row r="280" spans="1:23" x14ac:dyDescent="0.25">
      <c r="A280">
        <v>56</v>
      </c>
      <c r="B280" t="s">
        <v>63</v>
      </c>
      <c r="C280" t="s">
        <v>1105</v>
      </c>
      <c r="D280" t="s">
        <v>912</v>
      </c>
      <c r="E280">
        <v>11</v>
      </c>
      <c r="F280">
        <v>691</v>
      </c>
      <c r="G280">
        <v>16119</v>
      </c>
      <c r="H280">
        <v>7141</v>
      </c>
      <c r="I280">
        <v>1840</v>
      </c>
      <c r="J280">
        <v>2807</v>
      </c>
      <c r="K280">
        <v>0.434</v>
      </c>
      <c r="L280">
        <v>0.316</v>
      </c>
      <c r="M280">
        <v>0.79100000000000004</v>
      </c>
      <c r="N280">
        <v>28.8</v>
      </c>
      <c r="O280">
        <v>8.5999999999999993E-2</v>
      </c>
      <c r="P280">
        <v>2007</v>
      </c>
      <c r="Q280">
        <v>23.3</v>
      </c>
      <c r="R280">
        <v>10.3</v>
      </c>
      <c r="S280">
        <v>2.7</v>
      </c>
      <c r="T280">
        <v>4.0999999999999996</v>
      </c>
      <c r="U280">
        <v>2</v>
      </c>
      <c r="V280">
        <v>26</v>
      </c>
      <c r="W280">
        <f>IF(nba_draft[[#This Row],[years_played]]&gt;5,1,0)</f>
        <v>1</v>
      </c>
    </row>
    <row r="281" spans="1:23" x14ac:dyDescent="0.25">
      <c r="A281">
        <v>7</v>
      </c>
      <c r="B281" t="s">
        <v>37</v>
      </c>
      <c r="C281" t="s">
        <v>1062</v>
      </c>
      <c r="D281" t="s">
        <v>84</v>
      </c>
      <c r="E281">
        <v>13</v>
      </c>
      <c r="F281">
        <v>819</v>
      </c>
      <c r="G281">
        <v>18771</v>
      </c>
      <c r="H281">
        <v>7097</v>
      </c>
      <c r="I281">
        <v>2287</v>
      </c>
      <c r="J281">
        <v>1250</v>
      </c>
      <c r="K281">
        <v>0.42499999999999999</v>
      </c>
      <c r="L281">
        <v>0.28399999999999997</v>
      </c>
      <c r="M281">
        <v>0.71299999999999997</v>
      </c>
      <c r="N281">
        <v>22.5</v>
      </c>
      <c r="O281">
        <v>5.8000000000000003E-2</v>
      </c>
      <c r="P281">
        <v>2007</v>
      </c>
      <c r="Q281">
        <v>22.9</v>
      </c>
      <c r="R281">
        <v>8.6999999999999993</v>
      </c>
      <c r="S281">
        <v>2.8</v>
      </c>
      <c r="T281">
        <v>1.5</v>
      </c>
      <c r="U281">
        <v>1</v>
      </c>
      <c r="V281">
        <v>7</v>
      </c>
      <c r="W281">
        <f>IF(nba_draft[[#This Row],[years_played]]&gt;5,1,0)</f>
        <v>1</v>
      </c>
    </row>
    <row r="282" spans="1:23" x14ac:dyDescent="0.25">
      <c r="A282">
        <v>6</v>
      </c>
      <c r="B282" t="s">
        <v>863</v>
      </c>
      <c r="C282" t="s">
        <v>1546</v>
      </c>
      <c r="D282" t="s">
        <v>255</v>
      </c>
      <c r="E282">
        <v>6</v>
      </c>
      <c r="F282">
        <v>446</v>
      </c>
      <c r="G282">
        <v>12906</v>
      </c>
      <c r="H282">
        <v>7070</v>
      </c>
      <c r="I282">
        <v>1895</v>
      </c>
      <c r="J282">
        <v>1076</v>
      </c>
      <c r="K282">
        <v>0.42899999999999999</v>
      </c>
      <c r="L282">
        <v>0.39900000000000002</v>
      </c>
      <c r="M282">
        <v>0.86299999999999999</v>
      </c>
      <c r="N282">
        <v>16.5</v>
      </c>
      <c r="O282">
        <v>6.0999999999999999E-2</v>
      </c>
      <c r="P282">
        <v>2016</v>
      </c>
      <c r="Q282">
        <v>28.9</v>
      </c>
      <c r="R282">
        <v>15.9</v>
      </c>
      <c r="S282">
        <v>4.2</v>
      </c>
      <c r="T282">
        <v>2.4</v>
      </c>
      <c r="U282">
        <v>1</v>
      </c>
      <c r="V282">
        <v>6</v>
      </c>
      <c r="W282">
        <f>IF(nba_draft[[#This Row],[years_played]]&gt;5,1,0)</f>
        <v>1</v>
      </c>
    </row>
    <row r="283" spans="1:23" x14ac:dyDescent="0.25">
      <c r="A283">
        <v>46</v>
      </c>
      <c r="B283" t="s">
        <v>138</v>
      </c>
      <c r="C283" t="s">
        <v>1209</v>
      </c>
      <c r="D283" t="s">
        <v>179</v>
      </c>
      <c r="E283">
        <v>13</v>
      </c>
      <c r="F283">
        <v>797</v>
      </c>
      <c r="G283">
        <v>20311</v>
      </c>
      <c r="H283">
        <v>7034</v>
      </c>
      <c r="I283">
        <v>2750</v>
      </c>
      <c r="J283">
        <v>1247</v>
      </c>
      <c r="K283">
        <v>0.42199999999999999</v>
      </c>
      <c r="L283">
        <v>0.4</v>
      </c>
      <c r="M283">
        <v>0.80600000000000005</v>
      </c>
      <c r="N283">
        <v>48.4</v>
      </c>
      <c r="O283">
        <v>0.114</v>
      </c>
      <c r="P283">
        <v>2009</v>
      </c>
      <c r="Q283">
        <v>25.5</v>
      </c>
      <c r="R283">
        <v>8.8000000000000007</v>
      </c>
      <c r="S283">
        <v>3.5</v>
      </c>
      <c r="T283">
        <v>1.6</v>
      </c>
      <c r="U283">
        <v>2</v>
      </c>
      <c r="V283">
        <v>16</v>
      </c>
      <c r="W283">
        <f>IF(nba_draft[[#This Row],[years_played]]&gt;5,1,0)</f>
        <v>1</v>
      </c>
    </row>
    <row r="284" spans="1:23" x14ac:dyDescent="0.25">
      <c r="A284">
        <v>3</v>
      </c>
      <c r="B284" t="s">
        <v>70</v>
      </c>
      <c r="C284" t="s">
        <v>1598</v>
      </c>
      <c r="D284" t="s">
        <v>87</v>
      </c>
      <c r="E284">
        <v>5</v>
      </c>
      <c r="F284">
        <v>345</v>
      </c>
      <c r="G284">
        <v>11473</v>
      </c>
      <c r="H284">
        <v>7033</v>
      </c>
      <c r="I284">
        <v>2280</v>
      </c>
      <c r="J284">
        <v>1005</v>
      </c>
      <c r="K284">
        <v>0.45300000000000001</v>
      </c>
      <c r="L284">
        <v>0.38</v>
      </c>
      <c r="M284">
        <v>0.84199999999999997</v>
      </c>
      <c r="N284">
        <v>31.5</v>
      </c>
      <c r="O284">
        <v>0.13200000000000001</v>
      </c>
      <c r="P284">
        <v>2017</v>
      </c>
      <c r="Q284">
        <v>33.299999999999997</v>
      </c>
      <c r="R284">
        <v>20.399999999999999</v>
      </c>
      <c r="S284">
        <v>6.6</v>
      </c>
      <c r="T284">
        <v>2.9</v>
      </c>
      <c r="U284">
        <v>1</v>
      </c>
      <c r="V284">
        <v>3</v>
      </c>
      <c r="W284">
        <f>IF(nba_draft[[#This Row],[years_played]]&gt;5,1,0)</f>
        <v>0</v>
      </c>
    </row>
    <row r="285" spans="1:23" x14ac:dyDescent="0.25">
      <c r="A285">
        <v>3</v>
      </c>
      <c r="B285" t="s">
        <v>40</v>
      </c>
      <c r="C285" t="s">
        <v>144</v>
      </c>
      <c r="D285" t="s">
        <v>24</v>
      </c>
      <c r="E285">
        <v>10</v>
      </c>
      <c r="F285">
        <v>600</v>
      </c>
      <c r="G285">
        <v>17619</v>
      </c>
      <c r="H285">
        <v>7026</v>
      </c>
      <c r="I285">
        <v>4016</v>
      </c>
      <c r="J285">
        <v>1704</v>
      </c>
      <c r="K285">
        <v>0.48099999999999998</v>
      </c>
      <c r="L285">
        <v>0.29099999999999998</v>
      </c>
      <c r="M285">
        <v>0.629</v>
      </c>
      <c r="N285">
        <v>28.6</v>
      </c>
      <c r="O285">
        <v>7.8E-2</v>
      </c>
      <c r="P285">
        <v>1991</v>
      </c>
      <c r="Q285">
        <v>29.4</v>
      </c>
      <c r="R285">
        <v>11.7</v>
      </c>
      <c r="S285">
        <v>6.7</v>
      </c>
      <c r="T285">
        <v>2.8</v>
      </c>
      <c r="U285">
        <v>1</v>
      </c>
      <c r="V285">
        <v>3</v>
      </c>
      <c r="W285">
        <f>IF(nba_draft[[#This Row],[years_played]]&gt;5,1,0)</f>
        <v>1</v>
      </c>
    </row>
    <row r="286" spans="1:23" x14ac:dyDescent="0.25">
      <c r="A286">
        <v>13</v>
      </c>
      <c r="B286" t="s">
        <v>43</v>
      </c>
      <c r="C286" t="s">
        <v>58</v>
      </c>
      <c r="D286" t="s">
        <v>51</v>
      </c>
      <c r="E286">
        <v>11</v>
      </c>
      <c r="F286">
        <v>689</v>
      </c>
      <c r="G286">
        <v>16993</v>
      </c>
      <c r="H286">
        <v>6984</v>
      </c>
      <c r="I286">
        <v>4881</v>
      </c>
      <c r="J286">
        <v>652</v>
      </c>
      <c r="K286">
        <v>0.504</v>
      </c>
      <c r="L286">
        <v>0.24399999999999999</v>
      </c>
      <c r="M286">
        <v>0.71799999999999997</v>
      </c>
      <c r="N286">
        <v>35.799999999999997</v>
      </c>
      <c r="O286">
        <v>0.10100000000000001</v>
      </c>
      <c r="P286">
        <v>1990</v>
      </c>
      <c r="Q286">
        <v>24.7</v>
      </c>
      <c r="R286">
        <v>10.1</v>
      </c>
      <c r="S286">
        <v>7.1</v>
      </c>
      <c r="T286">
        <v>0.9</v>
      </c>
      <c r="U286">
        <v>1</v>
      </c>
      <c r="V286">
        <v>13</v>
      </c>
      <c r="W286">
        <f>IF(nba_draft[[#This Row],[years_played]]&gt;5,1,0)</f>
        <v>1</v>
      </c>
    </row>
    <row r="287" spans="1:23" x14ac:dyDescent="0.25">
      <c r="A287">
        <v>18</v>
      </c>
      <c r="B287" t="s">
        <v>37</v>
      </c>
      <c r="C287" t="s">
        <v>1180</v>
      </c>
      <c r="D287" t="s">
        <v>179</v>
      </c>
      <c r="E287">
        <v>8</v>
      </c>
      <c r="F287">
        <v>551</v>
      </c>
      <c r="G287">
        <v>16088</v>
      </c>
      <c r="H287">
        <v>6977</v>
      </c>
      <c r="I287">
        <v>1506</v>
      </c>
      <c r="J287">
        <v>3316</v>
      </c>
      <c r="K287">
        <v>0.46</v>
      </c>
      <c r="L287">
        <v>0.35899999999999999</v>
      </c>
      <c r="M287">
        <v>0.77</v>
      </c>
      <c r="N287">
        <v>42.1</v>
      </c>
      <c r="O287">
        <v>0.126</v>
      </c>
      <c r="P287">
        <v>2009</v>
      </c>
      <c r="Q287">
        <v>29.2</v>
      </c>
      <c r="R287">
        <v>12.7</v>
      </c>
      <c r="S287">
        <v>2.7</v>
      </c>
      <c r="T287">
        <v>6</v>
      </c>
      <c r="U287">
        <v>1</v>
      </c>
      <c r="V287">
        <v>18</v>
      </c>
      <c r="W287">
        <f>IF(nba_draft[[#This Row],[years_played]]&gt;5,1,0)</f>
        <v>1</v>
      </c>
    </row>
    <row r="288" spans="1:23" x14ac:dyDescent="0.25">
      <c r="A288">
        <v>40</v>
      </c>
      <c r="B288" t="s">
        <v>85</v>
      </c>
      <c r="C288" t="s">
        <v>1369</v>
      </c>
      <c r="D288" t="s">
        <v>196</v>
      </c>
      <c r="E288">
        <v>10</v>
      </c>
      <c r="F288">
        <v>603</v>
      </c>
      <c r="G288">
        <v>15495</v>
      </c>
      <c r="H288">
        <v>6976</v>
      </c>
      <c r="I288">
        <v>2568</v>
      </c>
      <c r="J288">
        <v>1629</v>
      </c>
      <c r="K288">
        <v>0.434</v>
      </c>
      <c r="L288">
        <v>0.35399999999999998</v>
      </c>
      <c r="M288">
        <v>0.78500000000000003</v>
      </c>
      <c r="N288">
        <v>25.4</v>
      </c>
      <c r="O288">
        <v>7.9000000000000001E-2</v>
      </c>
      <c r="P288">
        <v>2012</v>
      </c>
      <c r="Q288">
        <v>25.7</v>
      </c>
      <c r="R288">
        <v>11.6</v>
      </c>
      <c r="S288">
        <v>4.3</v>
      </c>
      <c r="T288">
        <v>2.7</v>
      </c>
      <c r="U288">
        <v>2</v>
      </c>
      <c r="V288">
        <v>10</v>
      </c>
      <c r="W288">
        <f>IF(nba_draft[[#This Row],[years_played]]&gt;5,1,0)</f>
        <v>1</v>
      </c>
    </row>
    <row r="289" spans="1:23" x14ac:dyDescent="0.25">
      <c r="A289">
        <v>31</v>
      </c>
      <c r="B289" t="s">
        <v>90</v>
      </c>
      <c r="C289" t="s">
        <v>597</v>
      </c>
      <c r="D289" t="s">
        <v>310</v>
      </c>
      <c r="E289">
        <v>10</v>
      </c>
      <c r="F289">
        <v>649</v>
      </c>
      <c r="G289">
        <v>15955</v>
      </c>
      <c r="H289">
        <v>6953</v>
      </c>
      <c r="I289">
        <v>2697</v>
      </c>
      <c r="J289">
        <v>1150</v>
      </c>
      <c r="K289">
        <v>0.51700000000000002</v>
      </c>
      <c r="L289">
        <v>0.17899999999999999</v>
      </c>
      <c r="M289">
        <v>0.64100000000000001</v>
      </c>
      <c r="N289">
        <v>35.1</v>
      </c>
      <c r="O289">
        <v>0.106</v>
      </c>
      <c r="P289">
        <v>1998</v>
      </c>
      <c r="Q289">
        <v>24.6</v>
      </c>
      <c r="R289">
        <v>10.7</v>
      </c>
      <c r="S289">
        <v>4.2</v>
      </c>
      <c r="T289">
        <v>1.8</v>
      </c>
      <c r="U289">
        <v>2</v>
      </c>
      <c r="V289">
        <v>2</v>
      </c>
      <c r="W289">
        <f>IF(nba_draft[[#This Row],[years_played]]&gt;5,1,0)</f>
        <v>1</v>
      </c>
    </row>
    <row r="290" spans="1:23" x14ac:dyDescent="0.25">
      <c r="A290">
        <v>28</v>
      </c>
      <c r="B290" t="s">
        <v>82</v>
      </c>
      <c r="C290" t="s">
        <v>925</v>
      </c>
      <c r="D290" t="s">
        <v>97</v>
      </c>
      <c r="E290">
        <v>13</v>
      </c>
      <c r="F290">
        <v>831</v>
      </c>
      <c r="G290">
        <v>18185</v>
      </c>
      <c r="H290">
        <v>6952</v>
      </c>
      <c r="I290">
        <v>1712</v>
      </c>
      <c r="J290">
        <v>2858</v>
      </c>
      <c r="K290">
        <v>0.46300000000000002</v>
      </c>
      <c r="L290">
        <v>0.34899999999999998</v>
      </c>
      <c r="M290">
        <v>0.83299999999999996</v>
      </c>
      <c r="N290">
        <v>31.4</v>
      </c>
      <c r="O290">
        <v>8.3000000000000004E-2</v>
      </c>
      <c r="P290">
        <v>2004</v>
      </c>
      <c r="Q290">
        <v>21.9</v>
      </c>
      <c r="R290">
        <v>8.4</v>
      </c>
      <c r="S290">
        <v>2.1</v>
      </c>
      <c r="T290">
        <v>3.4</v>
      </c>
      <c r="U290">
        <v>1</v>
      </c>
      <c r="V290">
        <v>28</v>
      </c>
      <c r="W290">
        <f>IF(nba_draft[[#This Row],[years_played]]&gt;5,1,0)</f>
        <v>1</v>
      </c>
    </row>
    <row r="291" spans="1:23" x14ac:dyDescent="0.25">
      <c r="A291">
        <v>34</v>
      </c>
      <c r="B291" t="s">
        <v>138</v>
      </c>
      <c r="C291" t="s">
        <v>1362</v>
      </c>
      <c r="D291" t="s">
        <v>137</v>
      </c>
      <c r="E291">
        <v>10</v>
      </c>
      <c r="F291">
        <v>716</v>
      </c>
      <c r="G291">
        <v>18030</v>
      </c>
      <c r="H291">
        <v>6849</v>
      </c>
      <c r="I291">
        <v>3042</v>
      </c>
      <c r="J291">
        <v>1131</v>
      </c>
      <c r="K291">
        <v>0.41799999999999998</v>
      </c>
      <c r="L291">
        <v>0.34499999999999997</v>
      </c>
      <c r="M291">
        <v>0.77800000000000002</v>
      </c>
      <c r="N291">
        <v>38.799999999999997</v>
      </c>
      <c r="O291">
        <v>0.10299999999999999</v>
      </c>
      <c r="P291">
        <v>2012</v>
      </c>
      <c r="Q291">
        <v>25.2</v>
      </c>
      <c r="R291">
        <v>9.6</v>
      </c>
      <c r="S291">
        <v>4.2</v>
      </c>
      <c r="T291">
        <v>1.6</v>
      </c>
      <c r="U291">
        <v>2</v>
      </c>
      <c r="V291">
        <v>4</v>
      </c>
      <c r="W291">
        <f>IF(nba_draft[[#This Row],[years_played]]&gt;5,1,0)</f>
        <v>1</v>
      </c>
    </row>
    <row r="292" spans="1:23" x14ac:dyDescent="0.25">
      <c r="A292">
        <v>2</v>
      </c>
      <c r="B292" t="s">
        <v>102</v>
      </c>
      <c r="C292" t="s">
        <v>1218</v>
      </c>
      <c r="D292" t="s">
        <v>216</v>
      </c>
      <c r="E292">
        <v>10</v>
      </c>
      <c r="F292">
        <v>705</v>
      </c>
      <c r="G292">
        <v>18938</v>
      </c>
      <c r="H292">
        <v>6824</v>
      </c>
      <c r="I292">
        <v>3278</v>
      </c>
      <c r="J292">
        <v>2462</v>
      </c>
      <c r="K292">
        <v>0.434</v>
      </c>
      <c r="L292">
        <v>0.29399999999999998</v>
      </c>
      <c r="M292">
        <v>0.78200000000000003</v>
      </c>
      <c r="N292">
        <v>20.2</v>
      </c>
      <c r="O292">
        <v>5.0999999999999997E-2</v>
      </c>
      <c r="P292">
        <v>2010</v>
      </c>
      <c r="Q292">
        <v>26.9</v>
      </c>
      <c r="R292">
        <v>9.6999999999999993</v>
      </c>
      <c r="S292">
        <v>4.5999999999999996</v>
      </c>
      <c r="T292">
        <v>3.5</v>
      </c>
      <c r="U292">
        <v>1</v>
      </c>
      <c r="V292">
        <v>2</v>
      </c>
      <c r="W292">
        <f>IF(nba_draft[[#This Row],[years_played]]&gt;5,1,0)</f>
        <v>1</v>
      </c>
    </row>
    <row r="293" spans="1:23" x14ac:dyDescent="0.25">
      <c r="A293">
        <v>4</v>
      </c>
      <c r="B293" t="s">
        <v>95</v>
      </c>
      <c r="C293" t="s">
        <v>743</v>
      </c>
      <c r="D293" t="s">
        <v>97</v>
      </c>
      <c r="E293">
        <v>11</v>
      </c>
      <c r="F293">
        <v>527</v>
      </c>
      <c r="G293">
        <v>13109</v>
      </c>
      <c r="H293">
        <v>6820</v>
      </c>
      <c r="I293">
        <v>2725</v>
      </c>
      <c r="J293">
        <v>287</v>
      </c>
      <c r="K293">
        <v>0.54500000000000004</v>
      </c>
      <c r="L293">
        <v>1</v>
      </c>
      <c r="M293">
        <v>0.64200000000000002</v>
      </c>
      <c r="N293">
        <v>21.7</v>
      </c>
      <c r="O293">
        <v>0.08</v>
      </c>
      <c r="P293">
        <v>2001</v>
      </c>
      <c r="Q293">
        <v>24.9</v>
      </c>
      <c r="R293">
        <v>12.9</v>
      </c>
      <c r="S293">
        <v>5.2</v>
      </c>
      <c r="T293">
        <v>0.5</v>
      </c>
      <c r="U293">
        <v>1</v>
      </c>
      <c r="V293">
        <v>4</v>
      </c>
      <c r="W293">
        <f>IF(nba_draft[[#This Row],[years_played]]&gt;5,1,0)</f>
        <v>1</v>
      </c>
    </row>
    <row r="294" spans="1:23" x14ac:dyDescent="0.25">
      <c r="A294">
        <v>26</v>
      </c>
      <c r="B294" t="s">
        <v>102</v>
      </c>
      <c r="C294" t="s">
        <v>767</v>
      </c>
      <c r="D294" t="s">
        <v>164</v>
      </c>
      <c r="E294">
        <v>13</v>
      </c>
      <c r="F294">
        <v>886</v>
      </c>
      <c r="G294">
        <v>21646</v>
      </c>
      <c r="H294">
        <v>6814</v>
      </c>
      <c r="I294">
        <v>6942</v>
      </c>
      <c r="J294">
        <v>465</v>
      </c>
      <c r="K294">
        <v>0.52100000000000002</v>
      </c>
      <c r="L294">
        <v>8.3000000000000004E-2</v>
      </c>
      <c r="M294">
        <v>0.70599999999999996</v>
      </c>
      <c r="N294">
        <v>51.3</v>
      </c>
      <c r="O294">
        <v>0.114</v>
      </c>
      <c r="P294">
        <v>2001</v>
      </c>
      <c r="Q294">
        <v>24.4</v>
      </c>
      <c r="R294">
        <v>7.7</v>
      </c>
      <c r="S294">
        <v>7.8</v>
      </c>
      <c r="T294">
        <v>0.5</v>
      </c>
      <c r="U294">
        <v>1</v>
      </c>
      <c r="V294">
        <v>26</v>
      </c>
      <c r="W294">
        <f>IF(nba_draft[[#This Row],[years_played]]&gt;5,1,0)</f>
        <v>1</v>
      </c>
    </row>
    <row r="295" spans="1:23" x14ac:dyDescent="0.25">
      <c r="A295">
        <v>1</v>
      </c>
      <c r="B295" t="s">
        <v>63</v>
      </c>
      <c r="C295" t="s">
        <v>946</v>
      </c>
      <c r="D295" t="s">
        <v>328</v>
      </c>
      <c r="E295">
        <v>14</v>
      </c>
      <c r="F295">
        <v>706</v>
      </c>
      <c r="G295">
        <v>19862</v>
      </c>
      <c r="H295">
        <v>6808</v>
      </c>
      <c r="I295">
        <v>6112</v>
      </c>
      <c r="J295">
        <v>1546</v>
      </c>
      <c r="K295">
        <v>0.53500000000000003</v>
      </c>
      <c r="L295">
        <v>0.12</v>
      </c>
      <c r="M295">
        <v>0.55700000000000005</v>
      </c>
      <c r="N295">
        <v>50.6</v>
      </c>
      <c r="O295">
        <v>0.122</v>
      </c>
      <c r="P295">
        <v>2005</v>
      </c>
      <c r="Q295">
        <v>28.1</v>
      </c>
      <c r="R295">
        <v>9.6</v>
      </c>
      <c r="S295">
        <v>8.6999999999999993</v>
      </c>
      <c r="T295">
        <v>2.2000000000000002</v>
      </c>
      <c r="U295">
        <v>1</v>
      </c>
      <c r="V295">
        <v>1</v>
      </c>
      <c r="W295">
        <f>IF(nba_draft[[#This Row],[years_played]]&gt;5,1,0)</f>
        <v>1</v>
      </c>
    </row>
    <row r="296" spans="1:23" x14ac:dyDescent="0.25">
      <c r="A296">
        <v>7</v>
      </c>
      <c r="B296" t="s">
        <v>395</v>
      </c>
      <c r="C296" t="s">
        <v>952</v>
      </c>
      <c r="D296" t="s">
        <v>79</v>
      </c>
      <c r="E296">
        <v>11</v>
      </c>
      <c r="F296">
        <v>656</v>
      </c>
      <c r="G296">
        <v>13578</v>
      </c>
      <c r="H296">
        <v>6808</v>
      </c>
      <c r="I296">
        <v>3019</v>
      </c>
      <c r="J296">
        <v>549</v>
      </c>
      <c r="K296">
        <v>0.435</v>
      </c>
      <c r="L296">
        <v>0.34100000000000003</v>
      </c>
      <c r="M296">
        <v>0.77200000000000002</v>
      </c>
      <c r="N296">
        <v>22.6</v>
      </c>
      <c r="O296">
        <v>0.08</v>
      </c>
      <c r="P296">
        <v>2005</v>
      </c>
      <c r="Q296">
        <v>20.7</v>
      </c>
      <c r="R296">
        <v>10.4</v>
      </c>
      <c r="S296">
        <v>4.5999999999999996</v>
      </c>
      <c r="T296">
        <v>0.8</v>
      </c>
      <c r="U296">
        <v>1</v>
      </c>
      <c r="V296">
        <v>7</v>
      </c>
      <c r="W296">
        <f>IF(nba_draft[[#This Row],[years_played]]&gt;5,1,0)</f>
        <v>1</v>
      </c>
    </row>
    <row r="297" spans="1:23" x14ac:dyDescent="0.25">
      <c r="A297">
        <v>21</v>
      </c>
      <c r="B297" t="s">
        <v>75</v>
      </c>
      <c r="C297" t="s">
        <v>966</v>
      </c>
      <c r="D297" t="s">
        <v>325</v>
      </c>
      <c r="E297">
        <v>11</v>
      </c>
      <c r="F297">
        <v>618</v>
      </c>
      <c r="G297">
        <v>13878</v>
      </c>
      <c r="H297">
        <v>6807</v>
      </c>
      <c r="I297">
        <v>1446</v>
      </c>
      <c r="J297">
        <v>1826</v>
      </c>
      <c r="K297">
        <v>0.42299999999999999</v>
      </c>
      <c r="L297">
        <v>0.36</v>
      </c>
      <c r="M297">
        <v>0.79600000000000004</v>
      </c>
      <c r="N297">
        <v>27.8</v>
      </c>
      <c r="O297">
        <v>9.6000000000000002E-2</v>
      </c>
      <c r="P297">
        <v>2005</v>
      </c>
      <c r="Q297">
        <v>22.5</v>
      </c>
      <c r="R297">
        <v>11</v>
      </c>
      <c r="S297">
        <v>2.2999999999999998</v>
      </c>
      <c r="T297">
        <v>3</v>
      </c>
      <c r="U297">
        <v>1</v>
      </c>
      <c r="V297">
        <v>21</v>
      </c>
      <c r="W297">
        <f>IF(nba_draft[[#This Row],[years_played]]&gt;5,1,0)</f>
        <v>1</v>
      </c>
    </row>
    <row r="298" spans="1:23" x14ac:dyDescent="0.25">
      <c r="A298">
        <v>39</v>
      </c>
      <c r="B298" t="s">
        <v>63</v>
      </c>
      <c r="C298" t="s">
        <v>608</v>
      </c>
      <c r="D298" t="s">
        <v>609</v>
      </c>
      <c r="E298">
        <v>11</v>
      </c>
      <c r="F298">
        <v>671</v>
      </c>
      <c r="G298">
        <v>19392</v>
      </c>
      <c r="H298">
        <v>6799</v>
      </c>
      <c r="I298">
        <v>1891</v>
      </c>
      <c r="J298">
        <v>3202</v>
      </c>
      <c r="K298">
        <v>0.38300000000000001</v>
      </c>
      <c r="L298">
        <v>0.35399999999999998</v>
      </c>
      <c r="M298">
        <v>0.72899999999999998</v>
      </c>
      <c r="N298">
        <v>32.9</v>
      </c>
      <c r="O298">
        <v>8.1000000000000003E-2</v>
      </c>
      <c r="P298">
        <v>1998</v>
      </c>
      <c r="Q298">
        <v>28.9</v>
      </c>
      <c r="R298">
        <v>10.1</v>
      </c>
      <c r="S298">
        <v>2.8</v>
      </c>
      <c r="T298">
        <v>4.8</v>
      </c>
      <c r="U298">
        <v>2</v>
      </c>
      <c r="V298">
        <v>10</v>
      </c>
      <c r="W298">
        <f>IF(nba_draft[[#This Row],[years_played]]&gt;5,1,0)</f>
        <v>1</v>
      </c>
    </row>
    <row r="299" spans="1:23" x14ac:dyDescent="0.25">
      <c r="A299">
        <v>19</v>
      </c>
      <c r="B299" t="s">
        <v>70</v>
      </c>
      <c r="C299" t="s">
        <v>71</v>
      </c>
      <c r="D299" t="s">
        <v>72</v>
      </c>
      <c r="E299">
        <v>12</v>
      </c>
      <c r="F299">
        <v>608</v>
      </c>
      <c r="G299">
        <v>16843</v>
      </c>
      <c r="H299">
        <v>6758</v>
      </c>
      <c r="I299">
        <v>1569</v>
      </c>
      <c r="J299">
        <v>2227</v>
      </c>
      <c r="K299">
        <v>0.436</v>
      </c>
      <c r="L299">
        <v>0.35699999999999998</v>
      </c>
      <c r="M299">
        <v>0.82499999999999996</v>
      </c>
      <c r="N299">
        <v>33.4</v>
      </c>
      <c r="O299">
        <v>9.5000000000000001E-2</v>
      </c>
      <c r="P299">
        <v>1990</v>
      </c>
      <c r="Q299">
        <v>27.7</v>
      </c>
      <c r="R299">
        <v>11.1</v>
      </c>
      <c r="S299">
        <v>2.6</v>
      </c>
      <c r="T299">
        <v>3.7</v>
      </c>
      <c r="U299">
        <v>1</v>
      </c>
      <c r="V299">
        <v>19</v>
      </c>
      <c r="W299">
        <f>IF(nba_draft[[#This Row],[years_played]]&gt;5,1,0)</f>
        <v>1</v>
      </c>
    </row>
    <row r="300" spans="1:23" x14ac:dyDescent="0.25">
      <c r="A300">
        <v>2</v>
      </c>
      <c r="B300" t="s">
        <v>102</v>
      </c>
      <c r="C300" t="s">
        <v>278</v>
      </c>
      <c r="D300" t="s">
        <v>279</v>
      </c>
      <c r="E300">
        <v>12</v>
      </c>
      <c r="F300">
        <v>832</v>
      </c>
      <c r="G300">
        <v>19531</v>
      </c>
      <c r="H300">
        <v>6752</v>
      </c>
      <c r="I300">
        <v>5268</v>
      </c>
      <c r="J300">
        <v>573</v>
      </c>
      <c r="K300">
        <v>0.45700000000000002</v>
      </c>
      <c r="L300">
        <v>0.10299999999999999</v>
      </c>
      <c r="M300">
        <v>0.71599999999999997</v>
      </c>
      <c r="N300">
        <v>40.700000000000003</v>
      </c>
      <c r="O300">
        <v>0.1</v>
      </c>
      <c r="P300">
        <v>1993</v>
      </c>
      <c r="Q300">
        <v>23.5</v>
      </c>
      <c r="R300">
        <v>8.1</v>
      </c>
      <c r="S300">
        <v>6.3</v>
      </c>
      <c r="T300">
        <v>0.7</v>
      </c>
      <c r="U300">
        <v>1</v>
      </c>
      <c r="V300">
        <v>2</v>
      </c>
      <c r="W300">
        <f>IF(nba_draft[[#This Row],[years_played]]&gt;5,1,0)</f>
        <v>1</v>
      </c>
    </row>
    <row r="301" spans="1:23" x14ac:dyDescent="0.25">
      <c r="A301">
        <v>46</v>
      </c>
      <c r="B301" t="s">
        <v>63</v>
      </c>
      <c r="C301" t="s">
        <v>381</v>
      </c>
      <c r="D301" t="s">
        <v>48</v>
      </c>
      <c r="E301">
        <v>11</v>
      </c>
      <c r="F301">
        <v>565</v>
      </c>
      <c r="G301">
        <v>15349</v>
      </c>
      <c r="H301">
        <v>6745</v>
      </c>
      <c r="I301">
        <v>1609</v>
      </c>
      <c r="J301">
        <v>1180</v>
      </c>
      <c r="K301">
        <v>0.41499999999999998</v>
      </c>
      <c r="L301">
        <v>0.38400000000000001</v>
      </c>
      <c r="M301">
        <v>0.78700000000000003</v>
      </c>
      <c r="N301">
        <v>29.6</v>
      </c>
      <c r="O301">
        <v>9.2999999999999999E-2</v>
      </c>
      <c r="P301">
        <v>1994</v>
      </c>
      <c r="Q301">
        <v>27.2</v>
      </c>
      <c r="R301">
        <v>11.9</v>
      </c>
      <c r="S301">
        <v>2.8</v>
      </c>
      <c r="T301">
        <v>2.1</v>
      </c>
      <c r="U301">
        <v>2</v>
      </c>
      <c r="V301">
        <v>19</v>
      </c>
      <c r="W301">
        <f>IF(nba_draft[[#This Row],[years_played]]&gt;5,1,0)</f>
        <v>1</v>
      </c>
    </row>
    <row r="302" spans="1:23" x14ac:dyDescent="0.25">
      <c r="A302">
        <v>45</v>
      </c>
      <c r="B302" t="s">
        <v>104</v>
      </c>
      <c r="C302" t="s">
        <v>329</v>
      </c>
      <c r="D302" t="s">
        <v>314</v>
      </c>
      <c r="E302">
        <v>13</v>
      </c>
      <c r="F302">
        <v>841</v>
      </c>
      <c r="G302">
        <v>19805</v>
      </c>
      <c r="H302">
        <v>6663</v>
      </c>
      <c r="I302">
        <v>2914</v>
      </c>
      <c r="J302">
        <v>1085</v>
      </c>
      <c r="K302">
        <v>0.43099999999999999</v>
      </c>
      <c r="L302">
        <v>0.36899999999999999</v>
      </c>
      <c r="M302">
        <v>0.75</v>
      </c>
      <c r="N302">
        <v>47.4</v>
      </c>
      <c r="O302">
        <v>0.115</v>
      </c>
      <c r="P302">
        <v>1993</v>
      </c>
      <c r="Q302">
        <v>23.5</v>
      </c>
      <c r="R302">
        <v>7.9</v>
      </c>
      <c r="S302">
        <v>3.5</v>
      </c>
      <c r="T302">
        <v>1.3</v>
      </c>
      <c r="U302">
        <v>2</v>
      </c>
      <c r="V302">
        <v>18</v>
      </c>
      <c r="W302">
        <f>IF(nba_draft[[#This Row],[years_played]]&gt;5,1,0)</f>
        <v>1</v>
      </c>
    </row>
    <row r="303" spans="1:23" x14ac:dyDescent="0.25">
      <c r="A303">
        <v>25</v>
      </c>
      <c r="B303" t="s">
        <v>70</v>
      </c>
      <c r="C303" t="s">
        <v>922</v>
      </c>
      <c r="D303" t="s">
        <v>206</v>
      </c>
      <c r="E303">
        <v>14</v>
      </c>
      <c r="F303">
        <v>820</v>
      </c>
      <c r="G303">
        <v>18055</v>
      </c>
      <c r="H303">
        <v>6654</v>
      </c>
      <c r="I303">
        <v>2884</v>
      </c>
      <c r="J303">
        <v>1077</v>
      </c>
      <c r="K303">
        <v>0.47499999999999998</v>
      </c>
      <c r="L303">
        <v>0.28199999999999997</v>
      </c>
      <c r="M303">
        <v>0.70899999999999996</v>
      </c>
      <c r="N303">
        <v>38.700000000000003</v>
      </c>
      <c r="O303">
        <v>0.10299999999999999</v>
      </c>
      <c r="P303">
        <v>2004</v>
      </c>
      <c r="Q303">
        <v>22</v>
      </c>
      <c r="R303">
        <v>8.1</v>
      </c>
      <c r="S303">
        <v>3.5</v>
      </c>
      <c r="T303">
        <v>1.3</v>
      </c>
      <c r="U303">
        <v>1</v>
      </c>
      <c r="V303">
        <v>25</v>
      </c>
      <c r="W303">
        <f>IF(nba_draft[[#This Row],[years_played]]&gt;5,1,0)</f>
        <v>1</v>
      </c>
    </row>
    <row r="304" spans="1:23" x14ac:dyDescent="0.25">
      <c r="A304">
        <v>22</v>
      </c>
      <c r="B304" t="s">
        <v>34</v>
      </c>
      <c r="C304" t="s">
        <v>1079</v>
      </c>
      <c r="D304" t="s">
        <v>360</v>
      </c>
      <c r="E304">
        <v>14</v>
      </c>
      <c r="F304">
        <v>904</v>
      </c>
      <c r="G304">
        <v>20117</v>
      </c>
      <c r="H304">
        <v>6633</v>
      </c>
      <c r="I304">
        <v>2849</v>
      </c>
      <c r="J304">
        <v>1394</v>
      </c>
      <c r="K304">
        <v>0.46300000000000002</v>
      </c>
      <c r="L304">
        <v>0.39300000000000002</v>
      </c>
      <c r="M304">
        <v>0.73199999999999998</v>
      </c>
      <c r="N304">
        <v>43</v>
      </c>
      <c r="O304">
        <v>0.10299999999999999</v>
      </c>
      <c r="P304">
        <v>2007</v>
      </c>
      <c r="Q304">
        <v>22.3</v>
      </c>
      <c r="R304">
        <v>7.3</v>
      </c>
      <c r="S304">
        <v>3.2</v>
      </c>
      <c r="T304">
        <v>1.5</v>
      </c>
      <c r="U304">
        <v>1</v>
      </c>
      <c r="V304">
        <v>22</v>
      </c>
      <c r="W304">
        <f>IF(nba_draft[[#This Row],[years_played]]&gt;5,1,0)</f>
        <v>1</v>
      </c>
    </row>
    <row r="305" spans="1:23" x14ac:dyDescent="0.25">
      <c r="A305">
        <v>40</v>
      </c>
      <c r="B305" t="s">
        <v>40</v>
      </c>
      <c r="C305" t="s">
        <v>120</v>
      </c>
      <c r="D305" t="s">
        <v>121</v>
      </c>
      <c r="E305">
        <v>14</v>
      </c>
      <c r="F305">
        <v>852</v>
      </c>
      <c r="G305">
        <v>20319</v>
      </c>
      <c r="H305">
        <v>6628</v>
      </c>
      <c r="I305">
        <v>1820</v>
      </c>
      <c r="J305">
        <v>3313</v>
      </c>
      <c r="K305">
        <v>0.42499999999999999</v>
      </c>
      <c r="L305">
        <v>0.26700000000000002</v>
      </c>
      <c r="M305">
        <v>0.81100000000000005</v>
      </c>
      <c r="N305">
        <v>27.4</v>
      </c>
      <c r="O305">
        <v>6.5000000000000002E-2</v>
      </c>
      <c r="P305">
        <v>1990</v>
      </c>
      <c r="Q305">
        <v>23.8</v>
      </c>
      <c r="R305">
        <v>7.8</v>
      </c>
      <c r="S305">
        <v>2.1</v>
      </c>
      <c r="T305">
        <v>3.9</v>
      </c>
      <c r="U305">
        <v>2</v>
      </c>
      <c r="V305">
        <v>13</v>
      </c>
      <c r="W305">
        <f>IF(nba_draft[[#This Row],[years_played]]&gt;5,1,0)</f>
        <v>1</v>
      </c>
    </row>
    <row r="306" spans="1:23" x14ac:dyDescent="0.25">
      <c r="A306">
        <v>4</v>
      </c>
      <c r="B306" t="s">
        <v>393</v>
      </c>
      <c r="C306" t="s">
        <v>509</v>
      </c>
      <c r="D306" t="s">
        <v>510</v>
      </c>
      <c r="E306">
        <v>13</v>
      </c>
      <c r="F306">
        <v>872</v>
      </c>
      <c r="G306">
        <v>19671</v>
      </c>
      <c r="H306">
        <v>6623</v>
      </c>
      <c r="I306">
        <v>1613</v>
      </c>
      <c r="J306">
        <v>2934</v>
      </c>
      <c r="K306">
        <v>0.44400000000000001</v>
      </c>
      <c r="L306">
        <v>0.311</v>
      </c>
      <c r="M306">
        <v>0.79300000000000004</v>
      </c>
      <c r="N306">
        <v>47</v>
      </c>
      <c r="O306">
        <v>0.115</v>
      </c>
      <c r="P306">
        <v>1997</v>
      </c>
      <c r="Q306">
        <v>22.6</v>
      </c>
      <c r="R306">
        <v>7.6</v>
      </c>
      <c r="S306">
        <v>1.8</v>
      </c>
      <c r="T306">
        <v>3.4</v>
      </c>
      <c r="U306">
        <v>1</v>
      </c>
      <c r="V306">
        <v>4</v>
      </c>
      <c r="W306">
        <f>IF(nba_draft[[#This Row],[years_played]]&gt;5,1,0)</f>
        <v>1</v>
      </c>
    </row>
    <row r="307" spans="1:23" x14ac:dyDescent="0.25">
      <c r="A307">
        <v>17</v>
      </c>
      <c r="B307" t="s">
        <v>395</v>
      </c>
      <c r="C307" t="s">
        <v>1125</v>
      </c>
      <c r="D307" t="s">
        <v>146</v>
      </c>
      <c r="E307">
        <v>9</v>
      </c>
      <c r="F307">
        <v>662</v>
      </c>
      <c r="G307">
        <v>16389</v>
      </c>
      <c r="H307">
        <v>6611</v>
      </c>
      <c r="I307">
        <v>4173</v>
      </c>
      <c r="J307">
        <v>885</v>
      </c>
      <c r="K307">
        <v>0.46500000000000002</v>
      </c>
      <c r="L307">
        <v>0.25</v>
      </c>
      <c r="M307">
        <v>0.755</v>
      </c>
      <c r="N307">
        <v>35.9</v>
      </c>
      <c r="O307">
        <v>0.105</v>
      </c>
      <c r="P307">
        <v>2008</v>
      </c>
      <c r="Q307">
        <v>24.8</v>
      </c>
      <c r="R307">
        <v>10</v>
      </c>
      <c r="S307">
        <v>6.3</v>
      </c>
      <c r="T307">
        <v>1.3</v>
      </c>
      <c r="U307">
        <v>1</v>
      </c>
      <c r="V307">
        <v>17</v>
      </c>
      <c r="W307">
        <f>IF(nba_draft[[#This Row],[years_played]]&gt;5,1,0)</f>
        <v>1</v>
      </c>
    </row>
    <row r="308" spans="1:23" x14ac:dyDescent="0.25">
      <c r="A308">
        <v>33</v>
      </c>
      <c r="B308" t="s">
        <v>863</v>
      </c>
      <c r="C308" t="s">
        <v>978</v>
      </c>
      <c r="D308" t="s">
        <v>30</v>
      </c>
      <c r="E308">
        <v>12</v>
      </c>
      <c r="F308">
        <v>758</v>
      </c>
      <c r="G308">
        <v>16410</v>
      </c>
      <c r="H308">
        <v>6575</v>
      </c>
      <c r="I308">
        <v>3448</v>
      </c>
      <c r="J308">
        <v>608</v>
      </c>
      <c r="K308">
        <v>0.499</v>
      </c>
      <c r="L308">
        <v>0.20699999999999999</v>
      </c>
      <c r="M308">
        <v>0.83199999999999996</v>
      </c>
      <c r="N308">
        <v>42.8</v>
      </c>
      <c r="O308">
        <v>0.125</v>
      </c>
      <c r="P308">
        <v>2005</v>
      </c>
      <c r="Q308">
        <v>21.6</v>
      </c>
      <c r="R308">
        <v>8.6999999999999993</v>
      </c>
      <c r="S308">
        <v>4.5</v>
      </c>
      <c r="T308">
        <v>0.8</v>
      </c>
      <c r="U308">
        <v>2</v>
      </c>
      <c r="V308">
        <v>3</v>
      </c>
      <c r="W308">
        <f>IF(nba_draft[[#This Row],[years_played]]&gt;5,1,0)</f>
        <v>1</v>
      </c>
    </row>
    <row r="309" spans="1:23" x14ac:dyDescent="0.25">
      <c r="A309">
        <v>2</v>
      </c>
      <c r="B309" t="s">
        <v>90</v>
      </c>
      <c r="C309" t="s">
        <v>1542</v>
      </c>
      <c r="D309" t="s">
        <v>87</v>
      </c>
      <c r="E309">
        <v>6</v>
      </c>
      <c r="F309">
        <v>358</v>
      </c>
      <c r="G309">
        <v>11756</v>
      </c>
      <c r="H309">
        <v>6559</v>
      </c>
      <c r="I309">
        <v>1832</v>
      </c>
      <c r="J309">
        <v>1346</v>
      </c>
      <c r="K309">
        <v>0.45900000000000002</v>
      </c>
      <c r="L309">
        <v>0.36199999999999999</v>
      </c>
      <c r="M309">
        <v>0.76500000000000001</v>
      </c>
      <c r="N309">
        <v>17.399999999999999</v>
      </c>
      <c r="O309">
        <v>7.0999999999999994E-2</v>
      </c>
      <c r="P309">
        <v>2016</v>
      </c>
      <c r="Q309">
        <v>32.799999999999997</v>
      </c>
      <c r="R309">
        <v>18.3</v>
      </c>
      <c r="S309">
        <v>5.0999999999999996</v>
      </c>
      <c r="T309">
        <v>3.8</v>
      </c>
      <c r="U309">
        <v>1</v>
      </c>
      <c r="V309">
        <v>2</v>
      </c>
      <c r="W309">
        <f>IF(nba_draft[[#This Row],[years_played]]&gt;5,1,0)</f>
        <v>1</v>
      </c>
    </row>
    <row r="310" spans="1:23" x14ac:dyDescent="0.25">
      <c r="A310">
        <v>4</v>
      </c>
      <c r="B310" t="s">
        <v>31</v>
      </c>
      <c r="C310" t="s">
        <v>1445</v>
      </c>
      <c r="D310" t="s">
        <v>117</v>
      </c>
      <c r="E310">
        <v>8</v>
      </c>
      <c r="F310">
        <v>506</v>
      </c>
      <c r="G310">
        <v>14584</v>
      </c>
      <c r="H310">
        <v>6530</v>
      </c>
      <c r="I310">
        <v>3178</v>
      </c>
      <c r="J310">
        <v>1264</v>
      </c>
      <c r="K310">
        <v>0.45700000000000002</v>
      </c>
      <c r="L310">
        <v>0.32200000000000001</v>
      </c>
      <c r="M310">
        <v>0.69899999999999995</v>
      </c>
      <c r="N310">
        <v>27.5</v>
      </c>
      <c r="O310">
        <v>0.09</v>
      </c>
      <c r="P310">
        <v>2014</v>
      </c>
      <c r="Q310">
        <v>28.8</v>
      </c>
      <c r="R310">
        <v>12.9</v>
      </c>
      <c r="S310">
        <v>6.3</v>
      </c>
      <c r="T310">
        <v>2.5</v>
      </c>
      <c r="U310">
        <v>1</v>
      </c>
      <c r="V310">
        <v>4</v>
      </c>
      <c r="W310">
        <f>IF(nba_draft[[#This Row],[years_played]]&gt;5,1,0)</f>
        <v>1</v>
      </c>
    </row>
    <row r="311" spans="1:23" x14ac:dyDescent="0.25">
      <c r="A311">
        <v>4</v>
      </c>
      <c r="B311" t="s">
        <v>138</v>
      </c>
      <c r="C311" t="s">
        <v>1272</v>
      </c>
      <c r="D311" t="s">
        <v>60</v>
      </c>
      <c r="E311">
        <v>11</v>
      </c>
      <c r="F311">
        <v>707</v>
      </c>
      <c r="G311">
        <v>19180</v>
      </c>
      <c r="H311">
        <v>6462</v>
      </c>
      <c r="I311">
        <v>6011</v>
      </c>
      <c r="J311">
        <v>711</v>
      </c>
      <c r="K311">
        <v>0.51800000000000002</v>
      </c>
      <c r="L311">
        <v>0.27800000000000002</v>
      </c>
      <c r="M311">
        <v>0.60599999999999998</v>
      </c>
      <c r="N311">
        <v>46.6</v>
      </c>
      <c r="O311">
        <v>0.11700000000000001</v>
      </c>
      <c r="P311">
        <v>2011</v>
      </c>
      <c r="Q311">
        <v>27.1</v>
      </c>
      <c r="R311">
        <v>9.1</v>
      </c>
      <c r="S311">
        <v>8.5</v>
      </c>
      <c r="T311">
        <v>1</v>
      </c>
      <c r="U311">
        <v>1</v>
      </c>
      <c r="V311">
        <v>4</v>
      </c>
      <c r="W311">
        <f>IF(nba_draft[[#This Row],[years_played]]&gt;5,1,0)</f>
        <v>1</v>
      </c>
    </row>
    <row r="312" spans="1:23" x14ac:dyDescent="0.25">
      <c r="A312">
        <v>18</v>
      </c>
      <c r="B312" t="s">
        <v>70</v>
      </c>
      <c r="C312" t="s">
        <v>963</v>
      </c>
      <c r="D312" t="s">
        <v>97</v>
      </c>
      <c r="E312">
        <v>12</v>
      </c>
      <c r="F312">
        <v>658</v>
      </c>
      <c r="G312">
        <v>13026</v>
      </c>
      <c r="H312">
        <v>6412</v>
      </c>
      <c r="I312">
        <v>1639</v>
      </c>
      <c r="J312">
        <v>596</v>
      </c>
      <c r="K312">
        <v>0.41699999999999998</v>
      </c>
      <c r="L312">
        <v>0.36099999999999999</v>
      </c>
      <c r="M312">
        <v>0.81799999999999995</v>
      </c>
      <c r="N312">
        <v>18.399999999999999</v>
      </c>
      <c r="O312">
        <v>6.8000000000000005E-2</v>
      </c>
      <c r="P312">
        <v>2005</v>
      </c>
      <c r="Q312">
        <v>19.8</v>
      </c>
      <c r="R312">
        <v>9.6999999999999993</v>
      </c>
      <c r="S312">
        <v>2.5</v>
      </c>
      <c r="T312">
        <v>0.9</v>
      </c>
      <c r="U312">
        <v>1</v>
      </c>
      <c r="V312">
        <v>18</v>
      </c>
      <c r="W312">
        <f>IF(nba_draft[[#This Row],[years_played]]&gt;5,1,0)</f>
        <v>1</v>
      </c>
    </row>
    <row r="313" spans="1:23" x14ac:dyDescent="0.25">
      <c r="A313">
        <v>5</v>
      </c>
      <c r="B313" t="s">
        <v>149</v>
      </c>
      <c r="C313" t="s">
        <v>1656</v>
      </c>
      <c r="D313" t="s">
        <v>255</v>
      </c>
      <c r="E313">
        <v>4</v>
      </c>
      <c r="F313">
        <v>257</v>
      </c>
      <c r="G313">
        <v>8572</v>
      </c>
      <c r="H313">
        <v>6396</v>
      </c>
      <c r="I313">
        <v>1007</v>
      </c>
      <c r="J313">
        <v>2300</v>
      </c>
      <c r="K313">
        <v>0.437</v>
      </c>
      <c r="L313">
        <v>0.35199999999999998</v>
      </c>
      <c r="M313">
        <v>0.86799999999999999</v>
      </c>
      <c r="N313">
        <v>22.6</v>
      </c>
      <c r="O313">
        <v>0.126</v>
      </c>
      <c r="P313">
        <v>2018</v>
      </c>
      <c r="Q313">
        <v>33.4</v>
      </c>
      <c r="R313">
        <v>24.9</v>
      </c>
      <c r="S313">
        <v>3.9</v>
      </c>
      <c r="T313">
        <v>8.9</v>
      </c>
      <c r="U313">
        <v>1</v>
      </c>
      <c r="V313">
        <v>5</v>
      </c>
      <c r="W313">
        <f>IF(nba_draft[[#This Row],[years_played]]&gt;5,1,0)</f>
        <v>0</v>
      </c>
    </row>
    <row r="314" spans="1:23" x14ac:dyDescent="0.25">
      <c r="A314">
        <v>18</v>
      </c>
      <c r="B314" t="s">
        <v>109</v>
      </c>
      <c r="C314" t="s">
        <v>1126</v>
      </c>
      <c r="D314" t="s">
        <v>912</v>
      </c>
      <c r="E314">
        <v>14</v>
      </c>
      <c r="F314">
        <v>799</v>
      </c>
      <c r="G314">
        <v>13649</v>
      </c>
      <c r="H314">
        <v>6373</v>
      </c>
      <c r="I314">
        <v>4209</v>
      </c>
      <c r="J314">
        <v>349</v>
      </c>
      <c r="K314">
        <v>0.57699999999999996</v>
      </c>
      <c r="L314">
        <v>0.19</v>
      </c>
      <c r="M314">
        <v>0.60099999999999998</v>
      </c>
      <c r="N314">
        <v>41.5</v>
      </c>
      <c r="O314">
        <v>0.14599999999999999</v>
      </c>
      <c r="P314">
        <v>2008</v>
      </c>
      <c r="Q314">
        <v>17.100000000000001</v>
      </c>
      <c r="R314">
        <v>8</v>
      </c>
      <c r="S314">
        <v>5.3</v>
      </c>
      <c r="T314">
        <v>0.4</v>
      </c>
      <c r="U314">
        <v>1</v>
      </c>
      <c r="V314">
        <v>18</v>
      </c>
      <c r="W314">
        <f>IF(nba_draft[[#This Row],[years_played]]&gt;5,1,0)</f>
        <v>1</v>
      </c>
    </row>
    <row r="315" spans="1:23" x14ac:dyDescent="0.25">
      <c r="A315">
        <v>22</v>
      </c>
      <c r="B315" t="s">
        <v>138</v>
      </c>
      <c r="C315" t="s">
        <v>305</v>
      </c>
      <c r="D315" t="s">
        <v>117</v>
      </c>
      <c r="E315">
        <v>10</v>
      </c>
      <c r="F315">
        <v>568</v>
      </c>
      <c r="G315">
        <v>17282</v>
      </c>
      <c r="H315">
        <v>6357</v>
      </c>
      <c r="I315">
        <v>2808</v>
      </c>
      <c r="J315">
        <v>1063</v>
      </c>
      <c r="K315">
        <v>0.432</v>
      </c>
      <c r="L315">
        <v>0.35099999999999998</v>
      </c>
      <c r="M315">
        <v>0.81699999999999995</v>
      </c>
      <c r="N315">
        <v>37.700000000000003</v>
      </c>
      <c r="O315">
        <v>0.105</v>
      </c>
      <c r="P315">
        <v>1993</v>
      </c>
      <c r="Q315">
        <v>30.4</v>
      </c>
      <c r="R315">
        <v>11.2</v>
      </c>
      <c r="S315">
        <v>4.9000000000000004</v>
      </c>
      <c r="T315">
        <v>1.9</v>
      </c>
      <c r="U315">
        <v>1</v>
      </c>
      <c r="V315">
        <v>22</v>
      </c>
      <c r="W315">
        <f>IF(nba_draft[[#This Row],[years_played]]&gt;5,1,0)</f>
        <v>1</v>
      </c>
    </row>
    <row r="316" spans="1:23" x14ac:dyDescent="0.25">
      <c r="A316">
        <v>12</v>
      </c>
      <c r="B316" t="s">
        <v>104</v>
      </c>
      <c r="C316" t="s">
        <v>1280</v>
      </c>
      <c r="D316" t="s">
        <v>435</v>
      </c>
      <c r="E316">
        <v>11</v>
      </c>
      <c r="F316">
        <v>602</v>
      </c>
      <c r="G316">
        <v>13605</v>
      </c>
      <c r="H316">
        <v>6339</v>
      </c>
      <c r="I316">
        <v>2068</v>
      </c>
      <c r="J316">
        <v>1179</v>
      </c>
      <c r="K316">
        <v>0.41799999999999998</v>
      </c>
      <c r="L316">
        <v>0.375</v>
      </c>
      <c r="M316">
        <v>0.79900000000000004</v>
      </c>
      <c r="N316">
        <v>23.9</v>
      </c>
      <c r="O316">
        <v>8.4000000000000005E-2</v>
      </c>
      <c r="P316">
        <v>2011</v>
      </c>
      <c r="Q316">
        <v>22.6</v>
      </c>
      <c r="R316">
        <v>10.5</v>
      </c>
      <c r="S316">
        <v>3.4</v>
      </c>
      <c r="T316">
        <v>2</v>
      </c>
      <c r="U316">
        <v>1</v>
      </c>
      <c r="V316">
        <v>12</v>
      </c>
      <c r="W316">
        <f>IF(nba_draft[[#This Row],[years_played]]&gt;5,1,0)</f>
        <v>1</v>
      </c>
    </row>
    <row r="317" spans="1:23" x14ac:dyDescent="0.25">
      <c r="A317">
        <v>3</v>
      </c>
      <c r="B317" t="s">
        <v>49</v>
      </c>
      <c r="C317" t="s">
        <v>1654</v>
      </c>
      <c r="D317" t="s">
        <v>97</v>
      </c>
      <c r="E317">
        <v>4</v>
      </c>
      <c r="F317">
        <v>243</v>
      </c>
      <c r="G317">
        <v>8186</v>
      </c>
      <c r="H317">
        <v>6327</v>
      </c>
      <c r="I317">
        <v>2067</v>
      </c>
      <c r="J317">
        <v>1929</v>
      </c>
      <c r="K317">
        <v>0.45600000000000002</v>
      </c>
      <c r="L317">
        <v>0.33200000000000002</v>
      </c>
      <c r="M317">
        <v>0.73399999999999999</v>
      </c>
      <c r="N317">
        <v>26.3</v>
      </c>
      <c r="O317">
        <v>0.154</v>
      </c>
      <c r="P317">
        <v>2018</v>
      </c>
      <c r="Q317">
        <v>33.700000000000003</v>
      </c>
      <c r="R317">
        <v>26</v>
      </c>
      <c r="S317">
        <v>8.5</v>
      </c>
      <c r="T317">
        <v>7.9</v>
      </c>
      <c r="U317">
        <v>1</v>
      </c>
      <c r="V317">
        <v>3</v>
      </c>
      <c r="W317">
        <f>IF(nba_draft[[#This Row],[years_played]]&gt;5,1,0)</f>
        <v>0</v>
      </c>
    </row>
    <row r="318" spans="1:23" x14ac:dyDescent="0.25">
      <c r="A318">
        <v>33</v>
      </c>
      <c r="B318" t="s">
        <v>40</v>
      </c>
      <c r="C318" t="s">
        <v>1250</v>
      </c>
      <c r="D318" t="s">
        <v>839</v>
      </c>
      <c r="E318">
        <v>10</v>
      </c>
      <c r="F318">
        <v>492</v>
      </c>
      <c r="G318">
        <v>12334</v>
      </c>
      <c r="H318">
        <v>6315</v>
      </c>
      <c r="I318">
        <v>5388</v>
      </c>
      <c r="J318">
        <v>319</v>
      </c>
      <c r="K318">
        <v>0.58399999999999996</v>
      </c>
      <c r="L318">
        <v>0.308</v>
      </c>
      <c r="M318">
        <v>0.60699999999999998</v>
      </c>
      <c r="N318">
        <v>50.3</v>
      </c>
      <c r="O318">
        <v>0.19600000000000001</v>
      </c>
      <c r="P318">
        <v>2010</v>
      </c>
      <c r="Q318">
        <v>25.1</v>
      </c>
      <c r="R318">
        <v>12.8</v>
      </c>
      <c r="S318">
        <v>11</v>
      </c>
      <c r="T318">
        <v>0.6</v>
      </c>
      <c r="U318">
        <v>2</v>
      </c>
      <c r="V318">
        <v>3</v>
      </c>
      <c r="W318">
        <f>IF(nba_draft[[#This Row],[years_played]]&gt;5,1,0)</f>
        <v>1</v>
      </c>
    </row>
    <row r="319" spans="1:23" x14ac:dyDescent="0.25">
      <c r="A319">
        <v>8</v>
      </c>
      <c r="B319" t="s">
        <v>88</v>
      </c>
      <c r="C319" t="s">
        <v>1276</v>
      </c>
      <c r="D319" t="s">
        <v>282</v>
      </c>
      <c r="E319">
        <v>9</v>
      </c>
      <c r="F319">
        <v>449</v>
      </c>
      <c r="G319">
        <v>13191</v>
      </c>
      <c r="H319">
        <v>6299</v>
      </c>
      <c r="I319">
        <v>1384</v>
      </c>
      <c r="J319">
        <v>1777</v>
      </c>
      <c r="K319">
        <v>0.41099999999999998</v>
      </c>
      <c r="L319">
        <v>0.35299999999999998</v>
      </c>
      <c r="M319">
        <v>0.80700000000000005</v>
      </c>
      <c r="N319">
        <v>11.7</v>
      </c>
      <c r="O319">
        <v>4.2999999999999997E-2</v>
      </c>
      <c r="P319">
        <v>2011</v>
      </c>
      <c r="Q319">
        <v>29.4</v>
      </c>
      <c r="R319">
        <v>14</v>
      </c>
      <c r="S319">
        <v>3.1</v>
      </c>
      <c r="T319">
        <v>4</v>
      </c>
      <c r="U319">
        <v>1</v>
      </c>
      <c r="V319">
        <v>8</v>
      </c>
      <c r="W319">
        <f>IF(nba_draft[[#This Row],[years_played]]&gt;5,1,0)</f>
        <v>1</v>
      </c>
    </row>
    <row r="320" spans="1:23" x14ac:dyDescent="0.25">
      <c r="A320">
        <v>26</v>
      </c>
      <c r="B320" t="s">
        <v>55</v>
      </c>
      <c r="C320" t="s">
        <v>1084</v>
      </c>
      <c r="D320" t="s">
        <v>158</v>
      </c>
      <c r="E320">
        <v>10</v>
      </c>
      <c r="F320">
        <v>645</v>
      </c>
      <c r="G320">
        <v>13439</v>
      </c>
      <c r="H320">
        <v>6259</v>
      </c>
      <c r="I320">
        <v>1079</v>
      </c>
      <c r="J320">
        <v>1925</v>
      </c>
      <c r="K320">
        <v>0.41299999999999998</v>
      </c>
      <c r="L320">
        <v>0.37</v>
      </c>
      <c r="M320">
        <v>0.83699999999999997</v>
      </c>
      <c r="N320">
        <v>19.2</v>
      </c>
      <c r="O320">
        <v>6.9000000000000006E-2</v>
      </c>
      <c r="P320">
        <v>2007</v>
      </c>
      <c r="Q320">
        <v>20.8</v>
      </c>
      <c r="R320">
        <v>9.6999999999999993</v>
      </c>
      <c r="S320">
        <v>1.7</v>
      </c>
      <c r="T320">
        <v>3</v>
      </c>
      <c r="U320">
        <v>1</v>
      </c>
      <c r="V320">
        <v>26</v>
      </c>
      <c r="W320">
        <f>IF(nba_draft[[#This Row],[years_played]]&gt;5,1,0)</f>
        <v>1</v>
      </c>
    </row>
    <row r="321" spans="1:23" x14ac:dyDescent="0.25">
      <c r="A321">
        <v>7</v>
      </c>
      <c r="B321" t="s">
        <v>43</v>
      </c>
      <c r="C321" t="s">
        <v>456</v>
      </c>
      <c r="D321" t="s">
        <v>196</v>
      </c>
      <c r="E321">
        <v>13</v>
      </c>
      <c r="F321">
        <v>778</v>
      </c>
      <c r="G321">
        <v>18535</v>
      </c>
      <c r="H321">
        <v>6191</v>
      </c>
      <c r="I321">
        <v>4943</v>
      </c>
      <c r="J321">
        <v>622</v>
      </c>
      <c r="K321">
        <v>0.45900000000000002</v>
      </c>
      <c r="L321">
        <v>6.9000000000000006E-2</v>
      </c>
      <c r="M321">
        <v>0.64500000000000002</v>
      </c>
      <c r="N321">
        <v>30.5</v>
      </c>
      <c r="O321">
        <v>7.9000000000000001E-2</v>
      </c>
      <c r="P321">
        <v>1996</v>
      </c>
      <c r="Q321">
        <v>23.8</v>
      </c>
      <c r="R321">
        <v>8</v>
      </c>
      <c r="S321">
        <v>6.4</v>
      </c>
      <c r="T321">
        <v>0.8</v>
      </c>
      <c r="U321">
        <v>1</v>
      </c>
      <c r="V321">
        <v>7</v>
      </c>
      <c r="W321">
        <f>IF(nba_draft[[#This Row],[years_played]]&gt;5,1,0)</f>
        <v>1</v>
      </c>
    </row>
    <row r="322" spans="1:23" x14ac:dyDescent="0.25">
      <c r="A322">
        <v>3</v>
      </c>
      <c r="B322" t="s">
        <v>70</v>
      </c>
      <c r="C322" t="s">
        <v>1543</v>
      </c>
      <c r="D322" t="s">
        <v>336</v>
      </c>
      <c r="E322">
        <v>6</v>
      </c>
      <c r="F322">
        <v>383</v>
      </c>
      <c r="G322">
        <v>10918</v>
      </c>
      <c r="H322">
        <v>6177</v>
      </c>
      <c r="I322">
        <v>1891</v>
      </c>
      <c r="J322">
        <v>741</v>
      </c>
      <c r="K322">
        <v>0.47</v>
      </c>
      <c r="L322">
        <v>0.373</v>
      </c>
      <c r="M322">
        <v>0.71199999999999997</v>
      </c>
      <c r="N322">
        <v>22.5</v>
      </c>
      <c r="O322">
        <v>9.9000000000000005E-2</v>
      </c>
      <c r="P322">
        <v>2016</v>
      </c>
      <c r="Q322">
        <v>28.5</v>
      </c>
      <c r="R322">
        <v>16.100000000000001</v>
      </c>
      <c r="S322">
        <v>4.9000000000000004</v>
      </c>
      <c r="T322">
        <v>1.9</v>
      </c>
      <c r="U322">
        <v>1</v>
      </c>
      <c r="V322">
        <v>3</v>
      </c>
      <c r="W322">
        <f>IF(nba_draft[[#This Row],[years_played]]&gt;5,1,0)</f>
        <v>1</v>
      </c>
    </row>
    <row r="323" spans="1:23" x14ac:dyDescent="0.25">
      <c r="A323">
        <v>6</v>
      </c>
      <c r="B323" t="s">
        <v>37</v>
      </c>
      <c r="C323" t="s">
        <v>1008</v>
      </c>
      <c r="D323" t="s">
        <v>325</v>
      </c>
      <c r="E323">
        <v>6</v>
      </c>
      <c r="F323">
        <v>326</v>
      </c>
      <c r="G323">
        <v>11561</v>
      </c>
      <c r="H323">
        <v>6136</v>
      </c>
      <c r="I323">
        <v>1388</v>
      </c>
      <c r="J323">
        <v>1517</v>
      </c>
      <c r="K323">
        <v>0.45900000000000002</v>
      </c>
      <c r="L323">
        <v>0.34799999999999998</v>
      </c>
      <c r="M323">
        <v>0.8</v>
      </c>
      <c r="N323">
        <v>37.4</v>
      </c>
      <c r="O323">
        <v>0.155</v>
      </c>
      <c r="P323">
        <v>2006</v>
      </c>
      <c r="Q323">
        <v>35.5</v>
      </c>
      <c r="R323">
        <v>18.8</v>
      </c>
      <c r="S323">
        <v>4.3</v>
      </c>
      <c r="T323">
        <v>4.7</v>
      </c>
      <c r="U323">
        <v>1</v>
      </c>
      <c r="V323">
        <v>6</v>
      </c>
      <c r="W323">
        <f>IF(nba_draft[[#This Row],[years_played]]&gt;5,1,0)</f>
        <v>1</v>
      </c>
    </row>
    <row r="324" spans="1:23" x14ac:dyDescent="0.25">
      <c r="A324">
        <v>28</v>
      </c>
      <c r="B324" t="s">
        <v>37</v>
      </c>
      <c r="C324" t="s">
        <v>1191</v>
      </c>
      <c r="D324" t="s">
        <v>179</v>
      </c>
      <c r="E324">
        <v>13</v>
      </c>
      <c r="F324">
        <v>762</v>
      </c>
      <c r="G324">
        <v>15951</v>
      </c>
      <c r="H324">
        <v>6118</v>
      </c>
      <c r="I324">
        <v>1626</v>
      </c>
      <c r="J324">
        <v>846</v>
      </c>
      <c r="K324">
        <v>0.41</v>
      </c>
      <c r="L324">
        <v>0.38200000000000001</v>
      </c>
      <c r="M324">
        <v>0.84299999999999997</v>
      </c>
      <c r="N324">
        <v>20.9</v>
      </c>
      <c r="O324">
        <v>6.3E-2</v>
      </c>
      <c r="P324">
        <v>2009</v>
      </c>
      <c r="Q324">
        <v>20.9</v>
      </c>
      <c r="R324">
        <v>8</v>
      </c>
      <c r="S324">
        <v>2.1</v>
      </c>
      <c r="T324">
        <v>1.1000000000000001</v>
      </c>
      <c r="U324">
        <v>1</v>
      </c>
      <c r="V324">
        <v>28</v>
      </c>
      <c r="W324">
        <f>IF(nba_draft[[#This Row],[years_played]]&gt;5,1,0)</f>
        <v>1</v>
      </c>
    </row>
    <row r="325" spans="1:23" x14ac:dyDescent="0.25">
      <c r="A325">
        <v>56</v>
      </c>
      <c r="B325" t="s">
        <v>88</v>
      </c>
      <c r="C325" t="s">
        <v>999</v>
      </c>
      <c r="D325" t="s">
        <v>97</v>
      </c>
      <c r="E325">
        <v>14</v>
      </c>
      <c r="F325">
        <v>870</v>
      </c>
      <c r="G325">
        <v>18323</v>
      </c>
      <c r="H325">
        <v>6102</v>
      </c>
      <c r="I325">
        <v>4692</v>
      </c>
      <c r="J325">
        <v>1073</v>
      </c>
      <c r="K325">
        <v>0.56999999999999995</v>
      </c>
      <c r="L325">
        <v>0.33200000000000002</v>
      </c>
      <c r="M325">
        <v>0.67300000000000004</v>
      </c>
      <c r="N325">
        <v>55.3</v>
      </c>
      <c r="O325">
        <v>0.14499999999999999</v>
      </c>
      <c r="P325">
        <v>2005</v>
      </c>
      <c r="Q325">
        <v>21.1</v>
      </c>
      <c r="R325">
        <v>7</v>
      </c>
      <c r="S325">
        <v>5.4</v>
      </c>
      <c r="T325">
        <v>1.2</v>
      </c>
      <c r="U325">
        <v>2</v>
      </c>
      <c r="V325">
        <v>26</v>
      </c>
      <c r="W325">
        <f>IF(nba_draft[[#This Row],[years_played]]&gt;5,1,0)</f>
        <v>1</v>
      </c>
    </row>
    <row r="326" spans="1:23" x14ac:dyDescent="0.25">
      <c r="A326">
        <v>53</v>
      </c>
      <c r="B326" t="s">
        <v>46</v>
      </c>
      <c r="C326" t="s">
        <v>837</v>
      </c>
      <c r="D326" t="s">
        <v>42</v>
      </c>
      <c r="E326">
        <v>13</v>
      </c>
      <c r="F326">
        <v>809</v>
      </c>
      <c r="G326">
        <v>17219</v>
      </c>
      <c r="H326">
        <v>6092</v>
      </c>
      <c r="I326">
        <v>1934</v>
      </c>
      <c r="J326">
        <v>658</v>
      </c>
      <c r="K326">
        <v>0.40300000000000002</v>
      </c>
      <c r="L326">
        <v>0.36199999999999999</v>
      </c>
      <c r="M326">
        <v>0.747</v>
      </c>
      <c r="N326">
        <v>20.8</v>
      </c>
      <c r="O326">
        <v>5.8000000000000003E-2</v>
      </c>
      <c r="P326">
        <v>2002</v>
      </c>
      <c r="Q326">
        <v>21.3</v>
      </c>
      <c r="R326">
        <v>7.5</v>
      </c>
      <c r="S326">
        <v>2.4</v>
      </c>
      <c r="T326">
        <v>0.8</v>
      </c>
      <c r="U326">
        <v>2</v>
      </c>
      <c r="V326">
        <v>24</v>
      </c>
      <c r="W326">
        <f>IF(nba_draft[[#This Row],[years_played]]&gt;5,1,0)</f>
        <v>1</v>
      </c>
    </row>
    <row r="327" spans="1:23" x14ac:dyDescent="0.25">
      <c r="A327">
        <v>41</v>
      </c>
      <c r="B327" t="s">
        <v>25</v>
      </c>
      <c r="C327" t="s">
        <v>885</v>
      </c>
      <c r="D327" t="s">
        <v>886</v>
      </c>
      <c r="E327">
        <v>12</v>
      </c>
      <c r="F327">
        <v>731</v>
      </c>
      <c r="G327">
        <v>14783</v>
      </c>
      <c r="H327">
        <v>6059</v>
      </c>
      <c r="I327">
        <v>1303</v>
      </c>
      <c r="J327">
        <v>1018</v>
      </c>
      <c r="K327">
        <v>0.42499999999999999</v>
      </c>
      <c r="L327">
        <v>0.34599999999999997</v>
      </c>
      <c r="M327">
        <v>0.76500000000000001</v>
      </c>
      <c r="N327">
        <v>12.9</v>
      </c>
      <c r="O327">
        <v>4.2000000000000003E-2</v>
      </c>
      <c r="P327">
        <v>2003</v>
      </c>
      <c r="Q327">
        <v>20.2</v>
      </c>
      <c r="R327">
        <v>8.3000000000000007</v>
      </c>
      <c r="S327">
        <v>1.8</v>
      </c>
      <c r="T327">
        <v>1.4</v>
      </c>
      <c r="U327">
        <v>2</v>
      </c>
      <c r="V327">
        <v>12</v>
      </c>
      <c r="W327">
        <f>IF(nba_draft[[#This Row],[years_played]]&gt;5,1,0)</f>
        <v>1</v>
      </c>
    </row>
    <row r="328" spans="1:23" x14ac:dyDescent="0.25">
      <c r="A328">
        <v>39</v>
      </c>
      <c r="B328" t="s">
        <v>102</v>
      </c>
      <c r="C328" t="s">
        <v>1480</v>
      </c>
      <c r="D328" t="s">
        <v>24</v>
      </c>
      <c r="E328">
        <v>8</v>
      </c>
      <c r="F328">
        <v>541</v>
      </c>
      <c r="G328">
        <v>14016</v>
      </c>
      <c r="H328">
        <v>6052</v>
      </c>
      <c r="I328">
        <v>2139</v>
      </c>
      <c r="J328">
        <v>719</v>
      </c>
      <c r="K328">
        <v>0.45200000000000001</v>
      </c>
      <c r="L328">
        <v>0.34599999999999997</v>
      </c>
      <c r="M328">
        <v>0.71899999999999997</v>
      </c>
      <c r="N328">
        <v>27.1</v>
      </c>
      <c r="O328">
        <v>9.2999999999999999E-2</v>
      </c>
      <c r="P328">
        <v>2014</v>
      </c>
      <c r="Q328">
        <v>25.9</v>
      </c>
      <c r="R328">
        <v>11.2</v>
      </c>
      <c r="S328">
        <v>4</v>
      </c>
      <c r="T328">
        <v>1.3</v>
      </c>
      <c r="U328">
        <v>2</v>
      </c>
      <c r="V328">
        <v>9</v>
      </c>
      <c r="W328">
        <f>IF(nba_draft[[#This Row],[years_played]]&gt;5,1,0)</f>
        <v>1</v>
      </c>
    </row>
    <row r="329" spans="1:23" x14ac:dyDescent="0.25">
      <c r="A329">
        <v>12</v>
      </c>
      <c r="B329" t="s">
        <v>25</v>
      </c>
      <c r="C329" t="s">
        <v>1399</v>
      </c>
      <c r="D329" t="s">
        <v>272</v>
      </c>
      <c r="E329">
        <v>9</v>
      </c>
      <c r="F329">
        <v>644</v>
      </c>
      <c r="G329">
        <v>17276</v>
      </c>
      <c r="H329">
        <v>6022</v>
      </c>
      <c r="I329">
        <v>5080</v>
      </c>
      <c r="J329">
        <v>906</v>
      </c>
      <c r="K329">
        <v>0.58799999999999997</v>
      </c>
      <c r="L329">
        <v>7.6999999999999999E-2</v>
      </c>
      <c r="M329">
        <v>0.54900000000000004</v>
      </c>
      <c r="N329">
        <v>53.9</v>
      </c>
      <c r="O329">
        <v>0.15</v>
      </c>
      <c r="P329">
        <v>2013</v>
      </c>
      <c r="Q329">
        <v>26.8</v>
      </c>
      <c r="R329">
        <v>9.4</v>
      </c>
      <c r="S329">
        <v>7.9</v>
      </c>
      <c r="T329">
        <v>1.4</v>
      </c>
      <c r="U329">
        <v>1</v>
      </c>
      <c r="V329">
        <v>12</v>
      </c>
      <c r="W329">
        <f>IF(nba_draft[[#This Row],[years_played]]&gt;5,1,0)</f>
        <v>1</v>
      </c>
    </row>
    <row r="330" spans="1:23" x14ac:dyDescent="0.25">
      <c r="A330">
        <v>4</v>
      </c>
      <c r="B330" t="s">
        <v>65</v>
      </c>
      <c r="C330" t="s">
        <v>1499</v>
      </c>
      <c r="D330" t="s">
        <v>97</v>
      </c>
      <c r="E330">
        <v>6</v>
      </c>
      <c r="F330">
        <v>320</v>
      </c>
      <c r="G330">
        <v>9907</v>
      </c>
      <c r="H330">
        <v>5995</v>
      </c>
      <c r="I330">
        <v>2499</v>
      </c>
      <c r="J330">
        <v>487</v>
      </c>
      <c r="K330">
        <v>0.442</v>
      </c>
      <c r="L330">
        <v>0.35299999999999998</v>
      </c>
      <c r="M330">
        <v>0.81599999999999995</v>
      </c>
      <c r="N330">
        <v>25.1</v>
      </c>
      <c r="O330">
        <v>0.122</v>
      </c>
      <c r="P330">
        <v>2015</v>
      </c>
      <c r="Q330">
        <v>31</v>
      </c>
      <c r="R330">
        <v>18.7</v>
      </c>
      <c r="S330">
        <v>7.8</v>
      </c>
      <c r="T330">
        <v>1.5</v>
      </c>
      <c r="U330">
        <v>1</v>
      </c>
      <c r="V330">
        <v>4</v>
      </c>
      <c r="W330">
        <f>IF(nba_draft[[#This Row],[years_played]]&gt;5,1,0)</f>
        <v>1</v>
      </c>
    </row>
    <row r="331" spans="1:23" x14ac:dyDescent="0.25">
      <c r="A331">
        <v>12</v>
      </c>
      <c r="B331" t="s">
        <v>34</v>
      </c>
      <c r="C331" t="s">
        <v>1174</v>
      </c>
      <c r="D331" t="s">
        <v>87</v>
      </c>
      <c r="E331">
        <v>8</v>
      </c>
      <c r="F331">
        <v>535</v>
      </c>
      <c r="G331">
        <v>13854</v>
      </c>
      <c r="H331">
        <v>5987</v>
      </c>
      <c r="I331">
        <v>1716</v>
      </c>
      <c r="J331">
        <v>1009</v>
      </c>
      <c r="K331">
        <v>0.44</v>
      </c>
      <c r="L331">
        <v>0.32700000000000001</v>
      </c>
      <c r="M331">
        <v>0.79300000000000004</v>
      </c>
      <c r="N331">
        <v>18.3</v>
      </c>
      <c r="O331">
        <v>6.3E-2</v>
      </c>
      <c r="P331">
        <v>2009</v>
      </c>
      <c r="Q331">
        <v>25.9</v>
      </c>
      <c r="R331">
        <v>11.2</v>
      </c>
      <c r="S331">
        <v>3.2</v>
      </c>
      <c r="T331">
        <v>1.9</v>
      </c>
      <c r="U331">
        <v>1</v>
      </c>
      <c r="V331">
        <v>12</v>
      </c>
      <c r="W331">
        <f>IF(nba_draft[[#This Row],[years_played]]&gt;5,1,0)</f>
        <v>1</v>
      </c>
    </row>
    <row r="332" spans="1:23" x14ac:dyDescent="0.25">
      <c r="A332">
        <v>13</v>
      </c>
      <c r="B332" t="s">
        <v>149</v>
      </c>
      <c r="C332" t="s">
        <v>1400</v>
      </c>
      <c r="D332" t="s">
        <v>820</v>
      </c>
      <c r="E332">
        <v>9</v>
      </c>
      <c r="F332">
        <v>591</v>
      </c>
      <c r="G332">
        <v>13063</v>
      </c>
      <c r="H332">
        <v>5984</v>
      </c>
      <c r="I332">
        <v>3012</v>
      </c>
      <c r="J332">
        <v>1195</v>
      </c>
      <c r="K332">
        <v>0.47499999999999998</v>
      </c>
      <c r="L332">
        <v>0.36399999999999999</v>
      </c>
      <c r="M332">
        <v>0.77900000000000003</v>
      </c>
      <c r="N332">
        <v>34</v>
      </c>
      <c r="O332">
        <v>0.125</v>
      </c>
      <c r="P332">
        <v>2013</v>
      </c>
      <c r="Q332">
        <v>22.1</v>
      </c>
      <c r="R332">
        <v>10.1</v>
      </c>
      <c r="S332">
        <v>5.0999999999999996</v>
      </c>
      <c r="T332">
        <v>2</v>
      </c>
      <c r="U332">
        <v>1</v>
      </c>
      <c r="V332">
        <v>13</v>
      </c>
      <c r="W332">
        <f>IF(nba_draft[[#This Row],[years_played]]&gt;5,1,0)</f>
        <v>1</v>
      </c>
    </row>
    <row r="333" spans="1:23" x14ac:dyDescent="0.25">
      <c r="A333">
        <v>13</v>
      </c>
      <c r="B333" t="s">
        <v>28</v>
      </c>
      <c r="C333" t="s">
        <v>231</v>
      </c>
      <c r="D333" t="s">
        <v>232</v>
      </c>
      <c r="E333">
        <v>10</v>
      </c>
      <c r="F333">
        <v>586</v>
      </c>
      <c r="G333">
        <v>16417</v>
      </c>
      <c r="H333">
        <v>5946</v>
      </c>
      <c r="I333">
        <v>1983</v>
      </c>
      <c r="J333">
        <v>1178</v>
      </c>
      <c r="K333">
        <v>0.42399999999999999</v>
      </c>
      <c r="L333">
        <v>0.32900000000000001</v>
      </c>
      <c r="M333">
        <v>0.84099999999999997</v>
      </c>
      <c r="N333">
        <v>29.5</v>
      </c>
      <c r="O333">
        <v>8.5999999999999993E-2</v>
      </c>
      <c r="P333">
        <v>1992</v>
      </c>
      <c r="Q333">
        <v>28</v>
      </c>
      <c r="R333">
        <v>10.1</v>
      </c>
      <c r="S333">
        <v>3.4</v>
      </c>
      <c r="T333">
        <v>2</v>
      </c>
      <c r="U333">
        <v>1</v>
      </c>
      <c r="V333">
        <v>13</v>
      </c>
      <c r="W333">
        <f>IF(nba_draft[[#This Row],[years_played]]&gt;5,1,0)</f>
        <v>1</v>
      </c>
    </row>
    <row r="334" spans="1:23" x14ac:dyDescent="0.25">
      <c r="A334">
        <v>18</v>
      </c>
      <c r="B334" t="s">
        <v>82</v>
      </c>
      <c r="C334" t="s">
        <v>238</v>
      </c>
      <c r="D334" t="s">
        <v>113</v>
      </c>
      <c r="E334">
        <v>12</v>
      </c>
      <c r="F334">
        <v>659</v>
      </c>
      <c r="G334">
        <v>12103</v>
      </c>
      <c r="H334">
        <v>5943</v>
      </c>
      <c r="I334">
        <v>1649</v>
      </c>
      <c r="J334">
        <v>508</v>
      </c>
      <c r="K334">
        <v>0.43</v>
      </c>
      <c r="L334">
        <v>0.38800000000000001</v>
      </c>
      <c r="M334">
        <v>0.82899999999999996</v>
      </c>
      <c r="N334">
        <v>24.1</v>
      </c>
      <c r="O334">
        <v>9.6000000000000002E-2</v>
      </c>
      <c r="P334">
        <v>1992</v>
      </c>
      <c r="Q334">
        <v>18.399999999999999</v>
      </c>
      <c r="R334">
        <v>9</v>
      </c>
      <c r="S334">
        <v>2.5</v>
      </c>
      <c r="T334">
        <v>0.8</v>
      </c>
      <c r="U334">
        <v>1</v>
      </c>
      <c r="V334">
        <v>18</v>
      </c>
      <c r="W334">
        <f>IF(nba_draft[[#This Row],[years_played]]&gt;5,1,0)</f>
        <v>1</v>
      </c>
    </row>
    <row r="335" spans="1:23" x14ac:dyDescent="0.25">
      <c r="A335">
        <v>10</v>
      </c>
      <c r="B335" t="s">
        <v>40</v>
      </c>
      <c r="C335" t="s">
        <v>1065</v>
      </c>
      <c r="D335" t="s">
        <v>325</v>
      </c>
      <c r="E335">
        <v>10</v>
      </c>
      <c r="F335">
        <v>684</v>
      </c>
      <c r="G335">
        <v>15541</v>
      </c>
      <c r="H335">
        <v>5932</v>
      </c>
      <c r="I335">
        <v>3893</v>
      </c>
      <c r="J335">
        <v>1271</v>
      </c>
      <c r="K335">
        <v>0.45700000000000002</v>
      </c>
      <c r="L335">
        <v>0.35</v>
      </c>
      <c r="M335">
        <v>0.71599999999999997</v>
      </c>
      <c r="N335">
        <v>22.6</v>
      </c>
      <c r="O335">
        <v>7.0000000000000007E-2</v>
      </c>
      <c r="P335">
        <v>2007</v>
      </c>
      <c r="Q335">
        <v>22.7</v>
      </c>
      <c r="R335">
        <v>8.6999999999999993</v>
      </c>
      <c r="S335">
        <v>5.7</v>
      </c>
      <c r="T335">
        <v>1.9</v>
      </c>
      <c r="U335">
        <v>1</v>
      </c>
      <c r="V335">
        <v>10</v>
      </c>
      <c r="W335">
        <f>IF(nba_draft[[#This Row],[years_played]]&gt;5,1,0)</f>
        <v>1</v>
      </c>
    </row>
    <row r="336" spans="1:23" x14ac:dyDescent="0.25">
      <c r="A336">
        <v>23</v>
      </c>
      <c r="B336" t="s">
        <v>104</v>
      </c>
      <c r="C336" t="s">
        <v>707</v>
      </c>
      <c r="D336" t="s">
        <v>97</v>
      </c>
      <c r="E336">
        <v>13</v>
      </c>
      <c r="F336">
        <v>824</v>
      </c>
      <c r="G336">
        <v>18396</v>
      </c>
      <c r="H336">
        <v>5930</v>
      </c>
      <c r="I336">
        <v>1832</v>
      </c>
      <c r="J336">
        <v>1355</v>
      </c>
      <c r="K336">
        <v>0.40600000000000003</v>
      </c>
      <c r="L336">
        <v>0.34</v>
      </c>
      <c r="M336">
        <v>0.69799999999999995</v>
      </c>
      <c r="N336">
        <v>12.1</v>
      </c>
      <c r="O336">
        <v>3.2000000000000001E-2</v>
      </c>
      <c r="P336">
        <v>2000</v>
      </c>
      <c r="Q336">
        <v>22.3</v>
      </c>
      <c r="R336">
        <v>7.2</v>
      </c>
      <c r="S336">
        <v>2.2000000000000002</v>
      </c>
      <c r="T336">
        <v>1.6</v>
      </c>
      <c r="U336">
        <v>1</v>
      </c>
      <c r="V336">
        <v>23</v>
      </c>
      <c r="W336">
        <f>IF(nba_draft[[#This Row],[years_played]]&gt;5,1,0)</f>
        <v>1</v>
      </c>
    </row>
    <row r="337" spans="1:23" x14ac:dyDescent="0.25">
      <c r="A337">
        <v>15</v>
      </c>
      <c r="B337" t="s">
        <v>127</v>
      </c>
      <c r="C337" t="s">
        <v>351</v>
      </c>
      <c r="D337" t="s">
        <v>162</v>
      </c>
      <c r="E337">
        <v>14</v>
      </c>
      <c r="F337">
        <v>789</v>
      </c>
      <c r="G337">
        <v>14613</v>
      </c>
      <c r="H337">
        <v>5919</v>
      </c>
      <c r="I337">
        <v>1716</v>
      </c>
      <c r="J337">
        <v>778</v>
      </c>
      <c r="K337">
        <v>0.434</v>
      </c>
      <c r="L337">
        <v>0.39900000000000002</v>
      </c>
      <c r="M337">
        <v>0.83899999999999997</v>
      </c>
      <c r="N337">
        <v>31</v>
      </c>
      <c r="O337">
        <v>0.10199999999999999</v>
      </c>
      <c r="P337">
        <v>1994</v>
      </c>
      <c r="Q337">
        <v>18.5</v>
      </c>
      <c r="R337">
        <v>7.5</v>
      </c>
      <c r="S337">
        <v>2.2000000000000002</v>
      </c>
      <c r="T337">
        <v>1</v>
      </c>
      <c r="U337">
        <v>1</v>
      </c>
      <c r="V337">
        <v>15</v>
      </c>
      <c r="W337">
        <f>IF(nba_draft[[#This Row],[years_played]]&gt;5,1,0)</f>
        <v>1</v>
      </c>
    </row>
    <row r="338" spans="1:23" x14ac:dyDescent="0.25">
      <c r="A338">
        <v>8</v>
      </c>
      <c r="B338" t="s">
        <v>63</v>
      </c>
      <c r="C338" t="s">
        <v>221</v>
      </c>
      <c r="D338" t="s">
        <v>222</v>
      </c>
      <c r="E338">
        <v>8</v>
      </c>
      <c r="F338">
        <v>483</v>
      </c>
      <c r="G338">
        <v>12214</v>
      </c>
      <c r="H338">
        <v>5917</v>
      </c>
      <c r="I338">
        <v>1649</v>
      </c>
      <c r="J338">
        <v>713</v>
      </c>
      <c r="K338">
        <v>0.40600000000000003</v>
      </c>
      <c r="L338">
        <v>0.34499999999999997</v>
      </c>
      <c r="M338">
        <v>0.73899999999999999</v>
      </c>
      <c r="N338">
        <v>17.5</v>
      </c>
      <c r="O338">
        <v>6.9000000000000006E-2</v>
      </c>
      <c r="P338">
        <v>1992</v>
      </c>
      <c r="Q338">
        <v>25.3</v>
      </c>
      <c r="R338">
        <v>12.3</v>
      </c>
      <c r="S338">
        <v>3.4</v>
      </c>
      <c r="T338">
        <v>1.5</v>
      </c>
      <c r="U338">
        <v>1</v>
      </c>
      <c r="V338">
        <v>8</v>
      </c>
      <c r="W338">
        <f>IF(nba_draft[[#This Row],[years_played]]&gt;5,1,0)</f>
        <v>1</v>
      </c>
    </row>
    <row r="339" spans="1:23" x14ac:dyDescent="0.25">
      <c r="A339">
        <v>6</v>
      </c>
      <c r="B339" t="s">
        <v>70</v>
      </c>
      <c r="C339" t="s">
        <v>512</v>
      </c>
      <c r="D339" t="s">
        <v>282</v>
      </c>
      <c r="E339">
        <v>8</v>
      </c>
      <c r="F339">
        <v>432</v>
      </c>
      <c r="G339">
        <v>13418</v>
      </c>
      <c r="H339">
        <v>5892</v>
      </c>
      <c r="I339">
        <v>1342</v>
      </c>
      <c r="J339">
        <v>921</v>
      </c>
      <c r="K339">
        <v>0.42899999999999999</v>
      </c>
      <c r="L339">
        <v>0.25</v>
      </c>
      <c r="M339">
        <v>0.80800000000000005</v>
      </c>
      <c r="N339">
        <v>9.4</v>
      </c>
      <c r="O339">
        <v>3.4000000000000002E-2</v>
      </c>
      <c r="P339">
        <v>1997</v>
      </c>
      <c r="Q339">
        <v>31.1</v>
      </c>
      <c r="R339">
        <v>13.6</v>
      </c>
      <c r="S339">
        <v>3.1</v>
      </c>
      <c r="T339">
        <v>2.1</v>
      </c>
      <c r="U339">
        <v>1</v>
      </c>
      <c r="V339">
        <v>6</v>
      </c>
      <c r="W339">
        <f>IF(nba_draft[[#This Row],[years_played]]&gt;5,1,0)</f>
        <v>1</v>
      </c>
    </row>
    <row r="340" spans="1:23" x14ac:dyDescent="0.25">
      <c r="A340">
        <v>14</v>
      </c>
      <c r="B340" t="s">
        <v>43</v>
      </c>
      <c r="C340" t="s">
        <v>522</v>
      </c>
      <c r="D340" t="s">
        <v>51</v>
      </c>
      <c r="E340">
        <v>9</v>
      </c>
      <c r="F340">
        <v>534</v>
      </c>
      <c r="G340">
        <v>13324</v>
      </c>
      <c r="H340">
        <v>5889</v>
      </c>
      <c r="I340">
        <v>2452</v>
      </c>
      <c r="J340">
        <v>623</v>
      </c>
      <c r="K340">
        <v>0.46600000000000003</v>
      </c>
      <c r="L340">
        <v>0.152</v>
      </c>
      <c r="M340">
        <v>0.71099999999999997</v>
      </c>
      <c r="N340">
        <v>9.9</v>
      </c>
      <c r="O340">
        <v>3.5999999999999997E-2</v>
      </c>
      <c r="P340">
        <v>1997</v>
      </c>
      <c r="Q340">
        <v>25</v>
      </c>
      <c r="R340">
        <v>11</v>
      </c>
      <c r="S340">
        <v>4.5999999999999996</v>
      </c>
      <c r="T340">
        <v>1.2</v>
      </c>
      <c r="U340">
        <v>1</v>
      </c>
      <c r="V340">
        <v>14</v>
      </c>
      <c r="W340">
        <f>IF(nba_draft[[#This Row],[years_played]]&gt;5,1,0)</f>
        <v>1</v>
      </c>
    </row>
    <row r="341" spans="1:23" x14ac:dyDescent="0.25">
      <c r="A341">
        <v>35</v>
      </c>
      <c r="B341" t="s">
        <v>52</v>
      </c>
      <c r="C341" t="s">
        <v>1363</v>
      </c>
      <c r="D341" t="s">
        <v>148</v>
      </c>
      <c r="E341">
        <v>10</v>
      </c>
      <c r="F341">
        <v>673</v>
      </c>
      <c r="G341">
        <v>19201</v>
      </c>
      <c r="H341">
        <v>5882</v>
      </c>
      <c r="I341">
        <v>4672</v>
      </c>
      <c r="J341">
        <v>3663</v>
      </c>
      <c r="K341">
        <v>0.44</v>
      </c>
      <c r="L341">
        <v>0.315</v>
      </c>
      <c r="M341">
        <v>0.71</v>
      </c>
      <c r="N341">
        <v>52.1</v>
      </c>
      <c r="O341">
        <v>0.13</v>
      </c>
      <c r="P341">
        <v>2012</v>
      </c>
      <c r="Q341">
        <v>28.5</v>
      </c>
      <c r="R341">
        <v>8.6999999999999993</v>
      </c>
      <c r="S341">
        <v>6.9</v>
      </c>
      <c r="T341">
        <v>5.4</v>
      </c>
      <c r="U341">
        <v>2</v>
      </c>
      <c r="V341">
        <v>5</v>
      </c>
      <c r="W341">
        <f>IF(nba_draft[[#This Row],[years_played]]&gt;5,1,0)</f>
        <v>1</v>
      </c>
    </row>
    <row r="342" spans="1:23" x14ac:dyDescent="0.25">
      <c r="A342">
        <v>9</v>
      </c>
      <c r="B342" t="s">
        <v>95</v>
      </c>
      <c r="C342" t="s">
        <v>1064</v>
      </c>
      <c r="D342" t="s">
        <v>84</v>
      </c>
      <c r="E342">
        <v>13</v>
      </c>
      <c r="F342">
        <v>672</v>
      </c>
      <c r="G342">
        <v>18646</v>
      </c>
      <c r="H342">
        <v>5881</v>
      </c>
      <c r="I342">
        <v>6058</v>
      </c>
      <c r="J342">
        <v>1907</v>
      </c>
      <c r="K342">
        <v>0.49099999999999999</v>
      </c>
      <c r="L342">
        <v>0</v>
      </c>
      <c r="M342">
        <v>0.7</v>
      </c>
      <c r="N342">
        <v>61.9</v>
      </c>
      <c r="O342">
        <v>0.159</v>
      </c>
      <c r="P342">
        <v>2007</v>
      </c>
      <c r="Q342">
        <v>27.7</v>
      </c>
      <c r="R342">
        <v>8.8000000000000007</v>
      </c>
      <c r="S342">
        <v>9</v>
      </c>
      <c r="T342">
        <v>2.8</v>
      </c>
      <c r="U342">
        <v>1</v>
      </c>
      <c r="V342">
        <v>9</v>
      </c>
      <c r="W342">
        <f>IF(nba_draft[[#This Row],[years_played]]&gt;5,1,0)</f>
        <v>1</v>
      </c>
    </row>
    <row r="343" spans="1:23" x14ac:dyDescent="0.25">
      <c r="A343">
        <v>12</v>
      </c>
      <c r="B343" t="s">
        <v>25</v>
      </c>
      <c r="C343" t="s">
        <v>752</v>
      </c>
      <c r="D343" t="s">
        <v>97</v>
      </c>
      <c r="E343">
        <v>12</v>
      </c>
      <c r="F343">
        <v>737</v>
      </c>
      <c r="G343">
        <v>16164</v>
      </c>
      <c r="H343">
        <v>5879</v>
      </c>
      <c r="I343">
        <v>2784</v>
      </c>
      <c r="J343">
        <v>998</v>
      </c>
      <c r="K343">
        <v>0.41499999999999998</v>
      </c>
      <c r="L343">
        <v>0.378</v>
      </c>
      <c r="M343">
        <v>0.75800000000000001</v>
      </c>
      <c r="N343">
        <v>26.5</v>
      </c>
      <c r="O343">
        <v>7.9000000000000001E-2</v>
      </c>
      <c r="P343">
        <v>2001</v>
      </c>
      <c r="Q343">
        <v>21.9</v>
      </c>
      <c r="R343">
        <v>8</v>
      </c>
      <c r="S343">
        <v>3.8</v>
      </c>
      <c r="T343">
        <v>1.4</v>
      </c>
      <c r="U343">
        <v>1</v>
      </c>
      <c r="V343">
        <v>12</v>
      </c>
      <c r="W343">
        <f>IF(nba_draft[[#This Row],[years_played]]&gt;5,1,0)</f>
        <v>1</v>
      </c>
    </row>
    <row r="344" spans="1:23" x14ac:dyDescent="0.25">
      <c r="A344">
        <v>22</v>
      </c>
      <c r="B344" t="s">
        <v>55</v>
      </c>
      <c r="C344" t="s">
        <v>652</v>
      </c>
      <c r="D344" t="s">
        <v>153</v>
      </c>
      <c r="E344">
        <v>11</v>
      </c>
      <c r="F344">
        <v>632</v>
      </c>
      <c r="G344">
        <v>17306</v>
      </c>
      <c r="H344">
        <v>5876</v>
      </c>
      <c r="I344">
        <v>4341</v>
      </c>
      <c r="J344">
        <v>975</v>
      </c>
      <c r="K344">
        <v>0.46500000000000002</v>
      </c>
      <c r="L344">
        <v>0.24399999999999999</v>
      </c>
      <c r="M344">
        <v>0.69899999999999995</v>
      </c>
      <c r="N344">
        <v>31.2</v>
      </c>
      <c r="O344">
        <v>8.5999999999999993E-2</v>
      </c>
      <c r="P344">
        <v>1999</v>
      </c>
      <c r="Q344">
        <v>27.4</v>
      </c>
      <c r="R344">
        <v>9.3000000000000007</v>
      </c>
      <c r="S344">
        <v>6.9</v>
      </c>
      <c r="T344">
        <v>1.5</v>
      </c>
      <c r="U344">
        <v>1</v>
      </c>
      <c r="V344">
        <v>22</v>
      </c>
      <c r="W344">
        <f>IF(nba_draft[[#This Row],[years_played]]&gt;5,1,0)</f>
        <v>1</v>
      </c>
    </row>
    <row r="345" spans="1:23" x14ac:dyDescent="0.25">
      <c r="A345">
        <v>17</v>
      </c>
      <c r="B345" t="s">
        <v>85</v>
      </c>
      <c r="C345" t="s">
        <v>353</v>
      </c>
      <c r="D345" t="s">
        <v>69</v>
      </c>
      <c r="E345">
        <v>13</v>
      </c>
      <c r="F345">
        <v>793</v>
      </c>
      <c r="G345">
        <v>19156</v>
      </c>
      <c r="H345">
        <v>5871</v>
      </c>
      <c r="I345">
        <v>2587</v>
      </c>
      <c r="J345">
        <v>2126</v>
      </c>
      <c r="K345">
        <v>0.438</v>
      </c>
      <c r="L345">
        <v>0.35</v>
      </c>
      <c r="M345">
        <v>0.77900000000000003</v>
      </c>
      <c r="N345">
        <v>40</v>
      </c>
      <c r="O345">
        <v>0.1</v>
      </c>
      <c r="P345">
        <v>1994</v>
      </c>
      <c r="Q345">
        <v>24.2</v>
      </c>
      <c r="R345">
        <v>7.4</v>
      </c>
      <c r="S345">
        <v>3.3</v>
      </c>
      <c r="T345">
        <v>2.7</v>
      </c>
      <c r="U345">
        <v>1</v>
      </c>
      <c r="V345">
        <v>17</v>
      </c>
      <c r="W345">
        <f>IF(nba_draft[[#This Row],[years_played]]&gt;5,1,0)</f>
        <v>1</v>
      </c>
    </row>
    <row r="346" spans="1:23" x14ac:dyDescent="0.25">
      <c r="A346">
        <v>7</v>
      </c>
      <c r="B346" t="s">
        <v>40</v>
      </c>
      <c r="C346" t="s">
        <v>41</v>
      </c>
      <c r="D346" t="s">
        <v>42</v>
      </c>
      <c r="E346">
        <v>7</v>
      </c>
      <c r="F346">
        <v>454</v>
      </c>
      <c r="G346">
        <v>13472</v>
      </c>
      <c r="H346">
        <v>5833</v>
      </c>
      <c r="I346">
        <v>2833</v>
      </c>
      <c r="J346">
        <v>1498</v>
      </c>
      <c r="K346">
        <v>0.433</v>
      </c>
      <c r="L346">
        <v>0.30499999999999999</v>
      </c>
      <c r="M346">
        <v>0.77100000000000002</v>
      </c>
      <c r="N346">
        <v>16.899999999999999</v>
      </c>
      <c r="O346">
        <v>0.06</v>
      </c>
      <c r="P346">
        <v>1990</v>
      </c>
      <c r="Q346">
        <v>29.7</v>
      </c>
      <c r="R346">
        <v>12.8</v>
      </c>
      <c r="S346">
        <v>6.2</v>
      </c>
      <c r="T346">
        <v>3.3</v>
      </c>
      <c r="U346">
        <v>1</v>
      </c>
      <c r="V346">
        <v>7</v>
      </c>
      <c r="W346">
        <f>IF(nba_draft[[#This Row],[years_played]]&gt;5,1,0)</f>
        <v>1</v>
      </c>
    </row>
    <row r="347" spans="1:23" x14ac:dyDescent="0.25">
      <c r="A347">
        <v>29</v>
      </c>
      <c r="B347" t="s">
        <v>104</v>
      </c>
      <c r="C347" t="s">
        <v>595</v>
      </c>
      <c r="D347" t="s">
        <v>282</v>
      </c>
      <c r="E347">
        <v>18</v>
      </c>
      <c r="F347">
        <v>1005</v>
      </c>
      <c r="G347">
        <v>15891</v>
      </c>
      <c r="H347">
        <v>5827</v>
      </c>
      <c r="I347">
        <v>4708</v>
      </c>
      <c r="J347">
        <v>375</v>
      </c>
      <c r="K347">
        <v>0.48599999999999999</v>
      </c>
      <c r="L347">
        <v>0</v>
      </c>
      <c r="M347">
        <v>0.64</v>
      </c>
      <c r="N347">
        <v>34.299999999999997</v>
      </c>
      <c r="O347">
        <v>0.104</v>
      </c>
      <c r="P347">
        <v>1998</v>
      </c>
      <c r="Q347">
        <v>15.8</v>
      </c>
      <c r="R347">
        <v>5.8</v>
      </c>
      <c r="S347">
        <v>4.7</v>
      </c>
      <c r="T347">
        <v>0.4</v>
      </c>
      <c r="U347">
        <v>1</v>
      </c>
      <c r="V347">
        <v>29</v>
      </c>
      <c r="W347">
        <f>IF(nba_draft[[#This Row],[years_played]]&gt;5,1,0)</f>
        <v>1</v>
      </c>
    </row>
    <row r="348" spans="1:23" x14ac:dyDescent="0.25">
      <c r="A348">
        <v>5</v>
      </c>
      <c r="B348" t="s">
        <v>40</v>
      </c>
      <c r="C348" t="s">
        <v>1600</v>
      </c>
      <c r="D348" t="s">
        <v>282</v>
      </c>
      <c r="E348">
        <v>5</v>
      </c>
      <c r="F348">
        <v>311</v>
      </c>
      <c r="G348">
        <v>9894</v>
      </c>
      <c r="H348">
        <v>5826</v>
      </c>
      <c r="I348">
        <v>1094</v>
      </c>
      <c r="J348">
        <v>1922</v>
      </c>
      <c r="K348">
        <v>0.45900000000000002</v>
      </c>
      <c r="L348">
        <v>0.317</v>
      </c>
      <c r="M348">
        <v>0.72499999999999998</v>
      </c>
      <c r="N348">
        <v>15</v>
      </c>
      <c r="O348">
        <v>7.2999999999999995E-2</v>
      </c>
      <c r="P348">
        <v>2017</v>
      </c>
      <c r="Q348">
        <v>31.8</v>
      </c>
      <c r="R348">
        <v>18.7</v>
      </c>
      <c r="S348">
        <v>3.5</v>
      </c>
      <c r="T348">
        <v>6.2</v>
      </c>
      <c r="U348">
        <v>1</v>
      </c>
      <c r="V348">
        <v>5</v>
      </c>
      <c r="W348">
        <f>IF(nba_draft[[#This Row],[years_played]]&gt;5,1,0)</f>
        <v>0</v>
      </c>
    </row>
    <row r="349" spans="1:23" x14ac:dyDescent="0.25">
      <c r="A349">
        <v>18</v>
      </c>
      <c r="B349" t="s">
        <v>88</v>
      </c>
      <c r="C349" t="s">
        <v>407</v>
      </c>
      <c r="D349" t="s">
        <v>408</v>
      </c>
      <c r="E349">
        <v>16</v>
      </c>
      <c r="F349">
        <v>810</v>
      </c>
      <c r="G349">
        <v>20500</v>
      </c>
      <c r="H349">
        <v>5809</v>
      </c>
      <c r="I349">
        <v>4596</v>
      </c>
      <c r="J349">
        <v>465</v>
      </c>
      <c r="K349">
        <v>0.496</v>
      </c>
      <c r="L349">
        <v>0</v>
      </c>
      <c r="M349">
        <v>0.71</v>
      </c>
      <c r="N349">
        <v>47.9</v>
      </c>
      <c r="O349">
        <v>0.112</v>
      </c>
      <c r="P349">
        <v>1995</v>
      </c>
      <c r="Q349">
        <v>25.3</v>
      </c>
      <c r="R349">
        <v>7.2</v>
      </c>
      <c r="S349">
        <v>5.7</v>
      </c>
      <c r="T349">
        <v>0.6</v>
      </c>
      <c r="U349">
        <v>1</v>
      </c>
      <c r="V349">
        <v>18</v>
      </c>
      <c r="W349">
        <f>IF(nba_draft[[#This Row],[years_played]]&gt;5,1,0)</f>
        <v>1</v>
      </c>
    </row>
    <row r="350" spans="1:23" x14ac:dyDescent="0.25">
      <c r="A350">
        <v>43</v>
      </c>
      <c r="B350" t="s">
        <v>63</v>
      </c>
      <c r="C350" t="s">
        <v>436</v>
      </c>
      <c r="D350" t="s">
        <v>148</v>
      </c>
      <c r="E350">
        <v>13</v>
      </c>
      <c r="F350">
        <v>846</v>
      </c>
      <c r="G350">
        <v>23132</v>
      </c>
      <c r="H350">
        <v>5791</v>
      </c>
      <c r="I350">
        <v>2141</v>
      </c>
      <c r="J350">
        <v>4245</v>
      </c>
      <c r="K350">
        <v>0.42399999999999999</v>
      </c>
      <c r="L350">
        <v>0.20799999999999999</v>
      </c>
      <c r="M350">
        <v>0.76300000000000001</v>
      </c>
      <c r="N350">
        <v>43.4</v>
      </c>
      <c r="O350">
        <v>0.09</v>
      </c>
      <c r="P350">
        <v>1995</v>
      </c>
      <c r="Q350">
        <v>27.3</v>
      </c>
      <c r="R350">
        <v>6.8</v>
      </c>
      <c r="S350">
        <v>2.5</v>
      </c>
      <c r="T350">
        <v>5</v>
      </c>
      <c r="U350">
        <v>2</v>
      </c>
      <c r="V350">
        <v>14</v>
      </c>
      <c r="W350">
        <f>IF(nba_draft[[#This Row],[years_played]]&gt;5,1,0)</f>
        <v>1</v>
      </c>
    </row>
    <row r="351" spans="1:23" x14ac:dyDescent="0.25">
      <c r="A351">
        <v>28</v>
      </c>
      <c r="B351" t="s">
        <v>149</v>
      </c>
      <c r="C351" t="s">
        <v>313</v>
      </c>
      <c r="D351" t="s">
        <v>314</v>
      </c>
      <c r="E351">
        <v>12</v>
      </c>
      <c r="F351">
        <v>800</v>
      </c>
      <c r="G351">
        <v>15701</v>
      </c>
      <c r="H351">
        <v>5784</v>
      </c>
      <c r="I351">
        <v>1864</v>
      </c>
      <c r="J351">
        <v>1130</v>
      </c>
      <c r="K351">
        <v>0.42599999999999999</v>
      </c>
      <c r="L351">
        <v>0.34799999999999998</v>
      </c>
      <c r="M351">
        <v>0.79</v>
      </c>
      <c r="N351">
        <v>28.7</v>
      </c>
      <c r="O351">
        <v>8.7999999999999995E-2</v>
      </c>
      <c r="P351">
        <v>1993</v>
      </c>
      <c r="Q351">
        <v>19.600000000000001</v>
      </c>
      <c r="R351">
        <v>7.2</v>
      </c>
      <c r="S351">
        <v>2.2999999999999998</v>
      </c>
      <c r="T351">
        <v>1.4</v>
      </c>
      <c r="U351">
        <v>2</v>
      </c>
      <c r="V351">
        <v>1</v>
      </c>
      <c r="W351">
        <f>IF(nba_draft[[#This Row],[years_played]]&gt;5,1,0)</f>
        <v>1</v>
      </c>
    </row>
    <row r="352" spans="1:23" x14ac:dyDescent="0.25">
      <c r="A352">
        <v>43</v>
      </c>
      <c r="B352" t="s">
        <v>46</v>
      </c>
      <c r="C352" t="s">
        <v>1206</v>
      </c>
      <c r="D352" t="s">
        <v>30</v>
      </c>
      <c r="E352">
        <v>8</v>
      </c>
      <c r="F352">
        <v>483</v>
      </c>
      <c r="G352">
        <v>11299</v>
      </c>
      <c r="H352">
        <v>5750</v>
      </c>
      <c r="I352">
        <v>1348</v>
      </c>
      <c r="J352">
        <v>677</v>
      </c>
      <c r="K352">
        <v>0.42499999999999999</v>
      </c>
      <c r="L352">
        <v>0.35799999999999998</v>
      </c>
      <c r="M352">
        <v>0.83</v>
      </c>
      <c r="N352">
        <v>20</v>
      </c>
      <c r="O352">
        <v>8.5000000000000006E-2</v>
      </c>
      <c r="P352">
        <v>2009</v>
      </c>
      <c r="Q352">
        <v>23.4</v>
      </c>
      <c r="R352">
        <v>11.9</v>
      </c>
      <c r="S352">
        <v>2.8</v>
      </c>
      <c r="T352">
        <v>1.4</v>
      </c>
      <c r="U352">
        <v>2</v>
      </c>
      <c r="V352">
        <v>13</v>
      </c>
      <c r="W352">
        <f>IF(nba_draft[[#This Row],[years_played]]&gt;5,1,0)</f>
        <v>1</v>
      </c>
    </row>
    <row r="353" spans="1:23" x14ac:dyDescent="0.25">
      <c r="A353">
        <v>11</v>
      </c>
      <c r="B353" t="s">
        <v>31</v>
      </c>
      <c r="C353" t="s">
        <v>1551</v>
      </c>
      <c r="D353" t="s">
        <v>820</v>
      </c>
      <c r="E353">
        <v>6</v>
      </c>
      <c r="F353">
        <v>404</v>
      </c>
      <c r="G353">
        <v>11431</v>
      </c>
      <c r="H353">
        <v>5747</v>
      </c>
      <c r="I353">
        <v>3676</v>
      </c>
      <c r="J353">
        <v>1428</v>
      </c>
      <c r="K353">
        <v>0.53300000000000003</v>
      </c>
      <c r="L353">
        <v>0.32</v>
      </c>
      <c r="M353">
        <v>0.72699999999999998</v>
      </c>
      <c r="N353">
        <v>34.1</v>
      </c>
      <c r="O353">
        <v>0.14299999999999999</v>
      </c>
      <c r="P353">
        <v>2016</v>
      </c>
      <c r="Q353">
        <v>28.3</v>
      </c>
      <c r="R353">
        <v>14.2</v>
      </c>
      <c r="S353">
        <v>9.1</v>
      </c>
      <c r="T353">
        <v>3.5</v>
      </c>
      <c r="U353">
        <v>1</v>
      </c>
      <c r="V353">
        <v>11</v>
      </c>
      <c r="W353">
        <f>IF(nba_draft[[#This Row],[years_played]]&gt;5,1,0)</f>
        <v>1</v>
      </c>
    </row>
    <row r="354" spans="1:23" x14ac:dyDescent="0.25">
      <c r="A354">
        <v>34</v>
      </c>
      <c r="B354" t="s">
        <v>37</v>
      </c>
      <c r="C354" t="s">
        <v>1144</v>
      </c>
      <c r="D354" t="s">
        <v>108</v>
      </c>
      <c r="E354">
        <v>9</v>
      </c>
      <c r="F354">
        <v>646</v>
      </c>
      <c r="G354">
        <v>17245</v>
      </c>
      <c r="H354">
        <v>5743</v>
      </c>
      <c r="I354">
        <v>1585</v>
      </c>
      <c r="J354">
        <v>2412</v>
      </c>
      <c r="K354">
        <v>0.41699999999999998</v>
      </c>
      <c r="L354">
        <v>0.35099999999999998</v>
      </c>
      <c r="M354">
        <v>0.79300000000000004</v>
      </c>
      <c r="N354">
        <v>32.299999999999997</v>
      </c>
      <c r="O354">
        <v>0.09</v>
      </c>
      <c r="P354">
        <v>2008</v>
      </c>
      <c r="Q354">
        <v>26.7</v>
      </c>
      <c r="R354">
        <v>8.9</v>
      </c>
      <c r="S354">
        <v>2.5</v>
      </c>
      <c r="T354">
        <v>3.7</v>
      </c>
      <c r="U354">
        <v>2</v>
      </c>
      <c r="V354">
        <v>4</v>
      </c>
      <c r="W354">
        <f>IF(nba_draft[[#This Row],[years_played]]&gt;5,1,0)</f>
        <v>1</v>
      </c>
    </row>
    <row r="355" spans="1:23" x14ac:dyDescent="0.25">
      <c r="A355">
        <v>49</v>
      </c>
      <c r="B355" t="s">
        <v>109</v>
      </c>
      <c r="C355" t="s">
        <v>992</v>
      </c>
      <c r="D355" t="s">
        <v>97</v>
      </c>
      <c r="E355">
        <v>9</v>
      </c>
      <c r="F355">
        <v>564</v>
      </c>
      <c r="G355">
        <v>12462</v>
      </c>
      <c r="H355">
        <v>5706</v>
      </c>
      <c r="I355">
        <v>3024</v>
      </c>
      <c r="J355">
        <v>798</v>
      </c>
      <c r="K355">
        <v>0.46700000000000003</v>
      </c>
      <c r="L355">
        <v>0.23699999999999999</v>
      </c>
      <c r="M355">
        <v>0.72499999999999998</v>
      </c>
      <c r="N355">
        <v>19.2</v>
      </c>
      <c r="O355">
        <v>7.3999999999999996E-2</v>
      </c>
      <c r="P355">
        <v>2005</v>
      </c>
      <c r="Q355">
        <v>22.1</v>
      </c>
      <c r="R355">
        <v>10.1</v>
      </c>
      <c r="S355">
        <v>5.4</v>
      </c>
      <c r="T355">
        <v>1.4</v>
      </c>
      <c r="U355">
        <v>2</v>
      </c>
      <c r="V355">
        <v>19</v>
      </c>
      <c r="W355">
        <f>IF(nba_draft[[#This Row],[years_played]]&gt;5,1,0)</f>
        <v>1</v>
      </c>
    </row>
    <row r="356" spans="1:23" x14ac:dyDescent="0.25">
      <c r="A356">
        <v>27</v>
      </c>
      <c r="B356" t="s">
        <v>395</v>
      </c>
      <c r="C356" t="s">
        <v>1567</v>
      </c>
      <c r="D356" t="s">
        <v>186</v>
      </c>
      <c r="E356">
        <v>6</v>
      </c>
      <c r="F356">
        <v>376</v>
      </c>
      <c r="G356">
        <v>10866</v>
      </c>
      <c r="H356">
        <v>5703</v>
      </c>
      <c r="I356">
        <v>2323</v>
      </c>
      <c r="J356">
        <v>1110</v>
      </c>
      <c r="K356">
        <v>0.48899999999999999</v>
      </c>
      <c r="L356">
        <v>0.32800000000000001</v>
      </c>
      <c r="M356">
        <v>0.77400000000000002</v>
      </c>
      <c r="N356">
        <v>30.2</v>
      </c>
      <c r="O356">
        <v>0.13400000000000001</v>
      </c>
      <c r="P356">
        <v>2016</v>
      </c>
      <c r="Q356">
        <v>28.9</v>
      </c>
      <c r="R356">
        <v>15.2</v>
      </c>
      <c r="S356">
        <v>6.2</v>
      </c>
      <c r="T356">
        <v>3</v>
      </c>
      <c r="U356">
        <v>1</v>
      </c>
      <c r="V356">
        <v>27</v>
      </c>
      <c r="W356">
        <f>IF(nba_draft[[#This Row],[years_played]]&gt;5,1,0)</f>
        <v>1</v>
      </c>
    </row>
    <row r="357" spans="1:23" x14ac:dyDescent="0.25">
      <c r="A357">
        <v>3</v>
      </c>
      <c r="B357" t="s">
        <v>28</v>
      </c>
      <c r="C357" t="s">
        <v>566</v>
      </c>
      <c r="D357" t="s">
        <v>108</v>
      </c>
      <c r="E357">
        <v>10</v>
      </c>
      <c r="F357">
        <v>563</v>
      </c>
      <c r="G357">
        <v>14545</v>
      </c>
      <c r="H357">
        <v>5690</v>
      </c>
      <c r="I357">
        <v>3423</v>
      </c>
      <c r="J357">
        <v>606</v>
      </c>
      <c r="K357">
        <v>0.46600000000000003</v>
      </c>
      <c r="L357">
        <v>0.36299999999999999</v>
      </c>
      <c r="M357">
        <v>0.71099999999999997</v>
      </c>
      <c r="N357">
        <v>39.4</v>
      </c>
      <c r="O357">
        <v>0.13</v>
      </c>
      <c r="P357">
        <v>1998</v>
      </c>
      <c r="Q357">
        <v>25.8</v>
      </c>
      <c r="R357">
        <v>10.1</v>
      </c>
      <c r="S357">
        <v>6.1</v>
      </c>
      <c r="T357">
        <v>1.1000000000000001</v>
      </c>
      <c r="U357">
        <v>1</v>
      </c>
      <c r="V357">
        <v>3</v>
      </c>
      <c r="W357">
        <f>IF(nba_draft[[#This Row],[years_played]]&gt;5,1,0)</f>
        <v>1</v>
      </c>
    </row>
    <row r="358" spans="1:23" x14ac:dyDescent="0.25">
      <c r="A358">
        <v>32</v>
      </c>
      <c r="B358" t="s">
        <v>55</v>
      </c>
      <c r="C358" t="s">
        <v>1527</v>
      </c>
      <c r="D358" t="s">
        <v>39</v>
      </c>
      <c r="E358">
        <v>7</v>
      </c>
      <c r="F358">
        <v>437</v>
      </c>
      <c r="G358">
        <v>9468</v>
      </c>
      <c r="H358">
        <v>5686</v>
      </c>
      <c r="I358">
        <v>2338</v>
      </c>
      <c r="J358">
        <v>598</v>
      </c>
      <c r="K358">
        <v>0.61899999999999999</v>
      </c>
      <c r="L358">
        <v>0.12</v>
      </c>
      <c r="M358">
        <v>0.65900000000000003</v>
      </c>
      <c r="N358">
        <v>39.200000000000003</v>
      </c>
      <c r="O358">
        <v>0.19900000000000001</v>
      </c>
      <c r="P358">
        <v>2015</v>
      </c>
      <c r="Q358">
        <v>21.7</v>
      </c>
      <c r="R358">
        <v>13</v>
      </c>
      <c r="S358">
        <v>5.4</v>
      </c>
      <c r="T358">
        <v>1.4</v>
      </c>
      <c r="U358">
        <v>2</v>
      </c>
      <c r="V358">
        <v>2</v>
      </c>
      <c r="W358">
        <f>IF(nba_draft[[#This Row],[years_played]]&gt;5,1,0)</f>
        <v>1</v>
      </c>
    </row>
    <row r="359" spans="1:23" x14ac:dyDescent="0.25">
      <c r="A359">
        <v>12</v>
      </c>
      <c r="B359" t="s">
        <v>55</v>
      </c>
      <c r="C359" t="s">
        <v>1339</v>
      </c>
      <c r="D359" t="s">
        <v>79</v>
      </c>
      <c r="E359">
        <v>10</v>
      </c>
      <c r="F359">
        <v>557</v>
      </c>
      <c r="G359">
        <v>11605</v>
      </c>
      <c r="H359">
        <v>5685</v>
      </c>
      <c r="I359">
        <v>2019</v>
      </c>
      <c r="J359">
        <v>879</v>
      </c>
      <c r="K359">
        <v>0.44</v>
      </c>
      <c r="L359">
        <v>0.34399999999999997</v>
      </c>
      <c r="M359">
        <v>0.85699999999999998</v>
      </c>
      <c r="N359">
        <v>26.7</v>
      </c>
      <c r="O359">
        <v>0.11</v>
      </c>
      <c r="P359">
        <v>2012</v>
      </c>
      <c r="Q359">
        <v>20.8</v>
      </c>
      <c r="R359">
        <v>10.199999999999999</v>
      </c>
      <c r="S359">
        <v>3.6</v>
      </c>
      <c r="T359">
        <v>1.6</v>
      </c>
      <c r="U359">
        <v>1</v>
      </c>
      <c r="V359">
        <v>12</v>
      </c>
      <c r="W359">
        <f>IF(nba_draft[[#This Row],[years_played]]&gt;5,1,0)</f>
        <v>1</v>
      </c>
    </row>
    <row r="360" spans="1:23" x14ac:dyDescent="0.25">
      <c r="A360">
        <v>16</v>
      </c>
      <c r="B360" t="s">
        <v>95</v>
      </c>
      <c r="C360" t="s">
        <v>1178</v>
      </c>
      <c r="D360" t="s">
        <v>269</v>
      </c>
      <c r="E360">
        <v>13</v>
      </c>
      <c r="F360">
        <v>728</v>
      </c>
      <c r="G360">
        <v>14953</v>
      </c>
      <c r="H360">
        <v>5677</v>
      </c>
      <c r="I360">
        <v>2614</v>
      </c>
      <c r="J360">
        <v>1538</v>
      </c>
      <c r="K360">
        <v>0.47499999999999998</v>
      </c>
      <c r="L360">
        <v>0.30199999999999999</v>
      </c>
      <c r="M360">
        <v>0.68</v>
      </c>
      <c r="N360">
        <v>27</v>
      </c>
      <c r="O360">
        <v>8.6999999999999994E-2</v>
      </c>
      <c r="P360">
        <v>2009</v>
      </c>
      <c r="Q360">
        <v>20.5</v>
      </c>
      <c r="R360">
        <v>7.8</v>
      </c>
      <c r="S360">
        <v>3.6</v>
      </c>
      <c r="T360">
        <v>2.1</v>
      </c>
      <c r="U360">
        <v>1</v>
      </c>
      <c r="V360">
        <v>16</v>
      </c>
      <c r="W360">
        <f>IF(nba_draft[[#This Row],[years_played]]&gt;5,1,0)</f>
        <v>1</v>
      </c>
    </row>
    <row r="361" spans="1:23" x14ac:dyDescent="0.25">
      <c r="A361">
        <v>38</v>
      </c>
      <c r="B361" t="s">
        <v>109</v>
      </c>
      <c r="C361" t="s">
        <v>882</v>
      </c>
      <c r="D361" t="s">
        <v>67</v>
      </c>
      <c r="E361">
        <v>13</v>
      </c>
      <c r="F361">
        <v>870</v>
      </c>
      <c r="G361">
        <v>20823</v>
      </c>
      <c r="H361">
        <v>5662</v>
      </c>
      <c r="I361">
        <v>1816</v>
      </c>
      <c r="J361">
        <v>3446</v>
      </c>
      <c r="K361">
        <v>0.40100000000000002</v>
      </c>
      <c r="L361">
        <v>0.38300000000000001</v>
      </c>
      <c r="M361">
        <v>0.77900000000000003</v>
      </c>
      <c r="N361">
        <v>29.1</v>
      </c>
      <c r="O361">
        <v>6.7000000000000004E-2</v>
      </c>
      <c r="P361">
        <v>2003</v>
      </c>
      <c r="Q361">
        <v>23.9</v>
      </c>
      <c r="R361">
        <v>6.5</v>
      </c>
      <c r="S361">
        <v>2.1</v>
      </c>
      <c r="T361">
        <v>4</v>
      </c>
      <c r="U361">
        <v>2</v>
      </c>
      <c r="V361">
        <v>9</v>
      </c>
      <c r="W361">
        <f>IF(nba_draft[[#This Row],[years_played]]&gt;5,1,0)</f>
        <v>1</v>
      </c>
    </row>
    <row r="362" spans="1:23" x14ac:dyDescent="0.25">
      <c r="A362">
        <v>17</v>
      </c>
      <c r="B362" t="s">
        <v>138</v>
      </c>
      <c r="C362" t="s">
        <v>406</v>
      </c>
      <c r="D362" t="s">
        <v>298</v>
      </c>
      <c r="E362">
        <v>10</v>
      </c>
      <c r="F362">
        <v>657</v>
      </c>
      <c r="G362">
        <v>15597</v>
      </c>
      <c r="H362">
        <v>5654</v>
      </c>
      <c r="I362">
        <v>2240</v>
      </c>
      <c r="J362">
        <v>2474</v>
      </c>
      <c r="K362">
        <v>0.41399999999999998</v>
      </c>
      <c r="L362">
        <v>0.32500000000000001</v>
      </c>
      <c r="M362">
        <v>0.68899999999999995</v>
      </c>
      <c r="N362">
        <v>28.3</v>
      </c>
      <c r="O362">
        <v>8.6999999999999994E-2</v>
      </c>
      <c r="P362">
        <v>1995</v>
      </c>
      <c r="Q362">
        <v>23.7</v>
      </c>
      <c r="R362">
        <v>8.6</v>
      </c>
      <c r="S362">
        <v>3.4</v>
      </c>
      <c r="T362">
        <v>3.8</v>
      </c>
      <c r="U362">
        <v>1</v>
      </c>
      <c r="V362">
        <v>17</v>
      </c>
      <c r="W362">
        <f>IF(nba_draft[[#This Row],[years_played]]&gt;5,1,0)</f>
        <v>1</v>
      </c>
    </row>
    <row r="363" spans="1:23" x14ac:dyDescent="0.25">
      <c r="A363">
        <v>14</v>
      </c>
      <c r="B363" t="s">
        <v>70</v>
      </c>
      <c r="C363" t="s">
        <v>403</v>
      </c>
      <c r="D363" t="s">
        <v>175</v>
      </c>
      <c r="E363">
        <v>12</v>
      </c>
      <c r="F363">
        <v>658</v>
      </c>
      <c r="G363">
        <v>15731</v>
      </c>
      <c r="H363">
        <v>5642</v>
      </c>
      <c r="I363">
        <v>2139</v>
      </c>
      <c r="J363">
        <v>936</v>
      </c>
      <c r="K363">
        <v>0.41499999999999998</v>
      </c>
      <c r="L363">
        <v>0.318</v>
      </c>
      <c r="M363">
        <v>0.73599999999999999</v>
      </c>
      <c r="N363">
        <v>23.2</v>
      </c>
      <c r="O363">
        <v>7.0999999999999994E-2</v>
      </c>
      <c r="P363">
        <v>1995</v>
      </c>
      <c r="Q363">
        <v>23.9</v>
      </c>
      <c r="R363">
        <v>8.6</v>
      </c>
      <c r="S363">
        <v>3.3</v>
      </c>
      <c r="T363">
        <v>1.4</v>
      </c>
      <c r="U363">
        <v>1</v>
      </c>
      <c r="V363">
        <v>14</v>
      </c>
      <c r="W363">
        <f>IF(nba_draft[[#This Row],[years_played]]&gt;5,1,0)</f>
        <v>1</v>
      </c>
    </row>
    <row r="364" spans="1:23" x14ac:dyDescent="0.25">
      <c r="A364">
        <v>7</v>
      </c>
      <c r="B364" t="s">
        <v>28</v>
      </c>
      <c r="C364" t="s">
        <v>1547</v>
      </c>
      <c r="D364" t="s">
        <v>282</v>
      </c>
      <c r="E364">
        <v>5</v>
      </c>
      <c r="F364">
        <v>345</v>
      </c>
      <c r="G364">
        <v>10384</v>
      </c>
      <c r="H364">
        <v>5639</v>
      </c>
      <c r="I364">
        <v>1258</v>
      </c>
      <c r="J364">
        <v>1322</v>
      </c>
      <c r="K364">
        <v>0.44600000000000001</v>
      </c>
      <c r="L364">
        <v>0.36699999999999999</v>
      </c>
      <c r="M364">
        <v>0.878</v>
      </c>
      <c r="N364">
        <v>20.8</v>
      </c>
      <c r="O364">
        <v>9.6000000000000002E-2</v>
      </c>
      <c r="P364">
        <v>2016</v>
      </c>
      <c r="Q364">
        <v>30.1</v>
      </c>
      <c r="R364">
        <v>16.3</v>
      </c>
      <c r="S364">
        <v>3.6</v>
      </c>
      <c r="T364">
        <v>3.8</v>
      </c>
      <c r="U364">
        <v>1</v>
      </c>
      <c r="V364">
        <v>7</v>
      </c>
      <c r="W364">
        <f>IF(nba_draft[[#This Row],[years_played]]&gt;5,1,0)</f>
        <v>0</v>
      </c>
    </row>
    <row r="365" spans="1:23" x14ac:dyDescent="0.25">
      <c r="A365">
        <v>10</v>
      </c>
      <c r="B365" t="s">
        <v>863</v>
      </c>
      <c r="C365" t="s">
        <v>1337</v>
      </c>
      <c r="D365" t="s">
        <v>87</v>
      </c>
      <c r="E365">
        <v>10</v>
      </c>
      <c r="F365">
        <v>632</v>
      </c>
      <c r="G365">
        <v>15285</v>
      </c>
      <c r="H365">
        <v>5604</v>
      </c>
      <c r="I365">
        <v>1319</v>
      </c>
      <c r="J365">
        <v>1398</v>
      </c>
      <c r="K365">
        <v>0.41799999999999998</v>
      </c>
      <c r="L365">
        <v>0.35</v>
      </c>
      <c r="M365">
        <v>0.64700000000000002</v>
      </c>
      <c r="N365">
        <v>13.3</v>
      </c>
      <c r="O365">
        <v>4.2000000000000003E-2</v>
      </c>
      <c r="P365">
        <v>2012</v>
      </c>
      <c r="Q365">
        <v>24.2</v>
      </c>
      <c r="R365">
        <v>8.9</v>
      </c>
      <c r="S365">
        <v>2.1</v>
      </c>
      <c r="T365">
        <v>2.2000000000000002</v>
      </c>
      <c r="U365">
        <v>1</v>
      </c>
      <c r="V365">
        <v>10</v>
      </c>
      <c r="W365">
        <f>IF(nba_draft[[#This Row],[years_played]]&gt;5,1,0)</f>
        <v>1</v>
      </c>
    </row>
    <row r="366" spans="1:23" x14ac:dyDescent="0.25">
      <c r="A366">
        <v>40</v>
      </c>
      <c r="B366" t="s">
        <v>25</v>
      </c>
      <c r="C366" t="s">
        <v>779</v>
      </c>
      <c r="D366" t="s">
        <v>113</v>
      </c>
      <c r="E366">
        <v>13</v>
      </c>
      <c r="F366">
        <v>878</v>
      </c>
      <c r="G366">
        <v>19494</v>
      </c>
      <c r="H366">
        <v>5593</v>
      </c>
      <c r="I366">
        <v>1985</v>
      </c>
      <c r="J366">
        <v>3871</v>
      </c>
      <c r="K366">
        <v>0.41099999999999998</v>
      </c>
      <c r="L366">
        <v>0.32400000000000001</v>
      </c>
      <c r="M366">
        <v>0.70299999999999996</v>
      </c>
      <c r="N366">
        <v>19.2</v>
      </c>
      <c r="O366">
        <v>4.7E-2</v>
      </c>
      <c r="P366">
        <v>2001</v>
      </c>
      <c r="Q366">
        <v>22.2</v>
      </c>
      <c r="R366">
        <v>6.4</v>
      </c>
      <c r="S366">
        <v>2.2999999999999998</v>
      </c>
      <c r="T366">
        <v>4.4000000000000004</v>
      </c>
      <c r="U366">
        <v>2</v>
      </c>
      <c r="V366">
        <v>11</v>
      </c>
      <c r="W366">
        <f>IF(nba_draft[[#This Row],[years_played]]&gt;5,1,0)</f>
        <v>1</v>
      </c>
    </row>
    <row r="367" spans="1:23" x14ac:dyDescent="0.25">
      <c r="A367">
        <v>16</v>
      </c>
      <c r="B367" t="s">
        <v>102</v>
      </c>
      <c r="C367" t="s">
        <v>1124</v>
      </c>
      <c r="D367" t="s">
        <v>84</v>
      </c>
      <c r="E367">
        <v>10</v>
      </c>
      <c r="F367">
        <v>705</v>
      </c>
      <c r="G367">
        <v>10640</v>
      </c>
      <c r="H367">
        <v>5592</v>
      </c>
      <c r="I367">
        <v>2875</v>
      </c>
      <c r="J367">
        <v>461</v>
      </c>
      <c r="K367">
        <v>0.45900000000000002</v>
      </c>
      <c r="L367">
        <v>0.35599999999999998</v>
      </c>
      <c r="M367">
        <v>0.79700000000000004</v>
      </c>
      <c r="N367">
        <v>25.8</v>
      </c>
      <c r="O367">
        <v>0.11600000000000001</v>
      </c>
      <c r="P367">
        <v>2008</v>
      </c>
      <c r="Q367">
        <v>15.1</v>
      </c>
      <c r="R367">
        <v>7.9</v>
      </c>
      <c r="S367">
        <v>4.0999999999999996</v>
      </c>
      <c r="T367">
        <v>0.7</v>
      </c>
      <c r="U367">
        <v>1</v>
      </c>
      <c r="V367">
        <v>16</v>
      </c>
      <c r="W367">
        <f>IF(nba_draft[[#This Row],[years_played]]&gt;5,1,0)</f>
        <v>1</v>
      </c>
    </row>
    <row r="368" spans="1:23" x14ac:dyDescent="0.25">
      <c r="A368">
        <v>16</v>
      </c>
      <c r="B368" t="s">
        <v>70</v>
      </c>
      <c r="C368" t="s">
        <v>1511</v>
      </c>
      <c r="D368" t="s">
        <v>39</v>
      </c>
      <c r="E368">
        <v>7</v>
      </c>
      <c r="F368">
        <v>455</v>
      </c>
      <c r="G368">
        <v>11701</v>
      </c>
      <c r="H368">
        <v>5584</v>
      </c>
      <c r="I368">
        <v>1770</v>
      </c>
      <c r="J368">
        <v>1400</v>
      </c>
      <c r="K368">
        <v>0.41299999999999998</v>
      </c>
      <c r="L368">
        <v>0.373</v>
      </c>
      <c r="M368">
        <v>0.81499999999999995</v>
      </c>
      <c r="N368">
        <v>21.6</v>
      </c>
      <c r="O368">
        <v>8.8999999999999996E-2</v>
      </c>
      <c r="P368">
        <v>2015</v>
      </c>
      <c r="Q368">
        <v>25.7</v>
      </c>
      <c r="R368">
        <v>12.3</v>
      </c>
      <c r="S368">
        <v>3.9</v>
      </c>
      <c r="T368">
        <v>3.1</v>
      </c>
      <c r="U368">
        <v>1</v>
      </c>
      <c r="V368">
        <v>16</v>
      </c>
      <c r="W368">
        <f>IF(nba_draft[[#This Row],[years_played]]&gt;5,1,0)</f>
        <v>1</v>
      </c>
    </row>
    <row r="369" spans="1:23" x14ac:dyDescent="0.25">
      <c r="A369">
        <v>20</v>
      </c>
      <c r="B369" t="s">
        <v>65</v>
      </c>
      <c r="C369" t="s">
        <v>240</v>
      </c>
      <c r="D369" t="s">
        <v>179</v>
      </c>
      <c r="E369">
        <v>12</v>
      </c>
      <c r="F369">
        <v>685</v>
      </c>
      <c r="G369">
        <v>15143</v>
      </c>
      <c r="H369">
        <v>5583</v>
      </c>
      <c r="I369">
        <v>1045</v>
      </c>
      <c r="J369">
        <v>1172</v>
      </c>
      <c r="K369">
        <v>0.45800000000000002</v>
      </c>
      <c r="L369">
        <v>0.441</v>
      </c>
      <c r="M369">
        <v>0.83699999999999997</v>
      </c>
      <c r="N369">
        <v>27.7</v>
      </c>
      <c r="O369">
        <v>8.7999999999999995E-2</v>
      </c>
      <c r="P369">
        <v>1992</v>
      </c>
      <c r="Q369">
        <v>22.1</v>
      </c>
      <c r="R369">
        <v>8.1999999999999993</v>
      </c>
      <c r="S369">
        <v>1.5</v>
      </c>
      <c r="T369">
        <v>1.7</v>
      </c>
      <c r="U369">
        <v>1</v>
      </c>
      <c r="V369">
        <v>20</v>
      </c>
      <c r="W369">
        <f>IF(nba_draft[[#This Row],[years_played]]&gt;5,1,0)</f>
        <v>1</v>
      </c>
    </row>
    <row r="370" spans="1:23" x14ac:dyDescent="0.25">
      <c r="A370">
        <v>38</v>
      </c>
      <c r="B370" t="s">
        <v>55</v>
      </c>
      <c r="C370" t="s">
        <v>1309</v>
      </c>
      <c r="D370" t="s">
        <v>84</v>
      </c>
      <c r="E370">
        <v>9</v>
      </c>
      <c r="F370">
        <v>440</v>
      </c>
      <c r="G370">
        <v>13246</v>
      </c>
      <c r="H370">
        <v>5571</v>
      </c>
      <c r="I370">
        <v>1972</v>
      </c>
      <c r="J370">
        <v>1201</v>
      </c>
      <c r="K370">
        <v>0.46200000000000002</v>
      </c>
      <c r="L370">
        <v>0.373</v>
      </c>
      <c r="M370">
        <v>0.71299999999999997</v>
      </c>
      <c r="N370">
        <v>28.9</v>
      </c>
      <c r="O370">
        <v>0.105</v>
      </c>
      <c r="P370">
        <v>2011</v>
      </c>
      <c r="Q370">
        <v>30.1</v>
      </c>
      <c r="R370">
        <v>12.7</v>
      </c>
      <c r="S370">
        <v>4.5</v>
      </c>
      <c r="T370">
        <v>2.7</v>
      </c>
      <c r="U370">
        <v>2</v>
      </c>
      <c r="V370">
        <v>8</v>
      </c>
      <c r="W370">
        <f>IF(nba_draft[[#This Row],[years_played]]&gt;5,1,0)</f>
        <v>1</v>
      </c>
    </row>
    <row r="371" spans="1:23" x14ac:dyDescent="0.25">
      <c r="A371">
        <v>25</v>
      </c>
      <c r="B371" t="s">
        <v>55</v>
      </c>
      <c r="C371" t="s">
        <v>1466</v>
      </c>
      <c r="D371" t="s">
        <v>97</v>
      </c>
      <c r="E371">
        <v>8</v>
      </c>
      <c r="F371">
        <v>447</v>
      </c>
      <c r="G371">
        <v>11974</v>
      </c>
      <c r="H371">
        <v>5566</v>
      </c>
      <c r="I371">
        <v>4749</v>
      </c>
      <c r="J371">
        <v>443</v>
      </c>
      <c r="K371">
        <v>0.622</v>
      </c>
      <c r="L371">
        <v>0</v>
      </c>
      <c r="M371">
        <v>0.52800000000000002</v>
      </c>
      <c r="N371">
        <v>49.8</v>
      </c>
      <c r="O371">
        <v>0.2</v>
      </c>
      <c r="P371">
        <v>2014</v>
      </c>
      <c r="Q371">
        <v>26.8</v>
      </c>
      <c r="R371">
        <v>12.5</v>
      </c>
      <c r="S371">
        <v>10.6</v>
      </c>
      <c r="T371">
        <v>1</v>
      </c>
      <c r="U371">
        <v>1</v>
      </c>
      <c r="V371">
        <v>25</v>
      </c>
      <c r="W371">
        <f>IF(nba_draft[[#This Row],[years_played]]&gt;5,1,0)</f>
        <v>1</v>
      </c>
    </row>
    <row r="372" spans="1:23" x14ac:dyDescent="0.25">
      <c r="A372">
        <v>31</v>
      </c>
      <c r="B372" t="s">
        <v>25</v>
      </c>
      <c r="C372" t="s">
        <v>1088</v>
      </c>
      <c r="D372" t="s">
        <v>119</v>
      </c>
      <c r="E372">
        <v>9</v>
      </c>
      <c r="F372">
        <v>513</v>
      </c>
      <c r="G372">
        <v>11524</v>
      </c>
      <c r="H372">
        <v>5541</v>
      </c>
      <c r="I372">
        <v>2533</v>
      </c>
      <c r="J372">
        <v>355</v>
      </c>
      <c r="K372">
        <v>0.53500000000000003</v>
      </c>
      <c r="L372">
        <v>0.3</v>
      </c>
      <c r="M372">
        <v>0.78500000000000003</v>
      </c>
      <c r="N372">
        <v>35.9</v>
      </c>
      <c r="O372">
        <v>0.14899999999999999</v>
      </c>
      <c r="P372">
        <v>2007</v>
      </c>
      <c r="Q372">
        <v>22.5</v>
      </c>
      <c r="R372">
        <v>10.8</v>
      </c>
      <c r="S372">
        <v>4.9000000000000004</v>
      </c>
      <c r="T372">
        <v>0.7</v>
      </c>
      <c r="U372">
        <v>2</v>
      </c>
      <c r="V372">
        <v>1</v>
      </c>
      <c r="W372">
        <f>IF(nba_draft[[#This Row],[years_played]]&gt;5,1,0)</f>
        <v>1</v>
      </c>
    </row>
    <row r="373" spans="1:23" x14ac:dyDescent="0.25">
      <c r="A373">
        <v>20</v>
      </c>
      <c r="B373" t="s">
        <v>138</v>
      </c>
      <c r="C373" t="s">
        <v>760</v>
      </c>
      <c r="D373" t="s">
        <v>179</v>
      </c>
      <c r="E373">
        <v>13</v>
      </c>
      <c r="F373">
        <v>816</v>
      </c>
      <c r="G373">
        <v>18680</v>
      </c>
      <c r="H373">
        <v>5538</v>
      </c>
      <c r="I373">
        <v>4875</v>
      </c>
      <c r="J373">
        <v>442</v>
      </c>
      <c r="K373">
        <v>0.52800000000000002</v>
      </c>
      <c r="L373">
        <v>0</v>
      </c>
      <c r="M373">
        <v>0.58699999999999997</v>
      </c>
      <c r="N373">
        <v>43.8</v>
      </c>
      <c r="O373">
        <v>0.113</v>
      </c>
      <c r="P373">
        <v>2001</v>
      </c>
      <c r="Q373">
        <v>22.9</v>
      </c>
      <c r="R373">
        <v>6.8</v>
      </c>
      <c r="S373">
        <v>6</v>
      </c>
      <c r="T373">
        <v>0.5</v>
      </c>
      <c r="U373">
        <v>1</v>
      </c>
      <c r="V373">
        <v>20</v>
      </c>
      <c r="W373">
        <f>IF(nba_draft[[#This Row],[years_played]]&gt;5,1,0)</f>
        <v>1</v>
      </c>
    </row>
    <row r="374" spans="1:23" x14ac:dyDescent="0.25">
      <c r="A374">
        <v>17</v>
      </c>
      <c r="B374" t="s">
        <v>37</v>
      </c>
      <c r="C374" t="s">
        <v>582</v>
      </c>
      <c r="D374" t="s">
        <v>97</v>
      </c>
      <c r="E374">
        <v>12</v>
      </c>
      <c r="F374">
        <v>811</v>
      </c>
      <c r="G374">
        <v>17983</v>
      </c>
      <c r="H374">
        <v>5519</v>
      </c>
      <c r="I374">
        <v>4143</v>
      </c>
      <c r="J374">
        <v>836</v>
      </c>
      <c r="K374">
        <v>0.502</v>
      </c>
      <c r="L374">
        <v>7.6999999999999999E-2</v>
      </c>
      <c r="M374">
        <v>0.58499999999999996</v>
      </c>
      <c r="N374">
        <v>39.9</v>
      </c>
      <c r="O374">
        <v>0.107</v>
      </c>
      <c r="P374">
        <v>1998</v>
      </c>
      <c r="Q374">
        <v>22.2</v>
      </c>
      <c r="R374">
        <v>6.8</v>
      </c>
      <c r="S374">
        <v>5.0999999999999996</v>
      </c>
      <c r="T374">
        <v>1</v>
      </c>
      <c r="U374">
        <v>1</v>
      </c>
      <c r="V374">
        <v>17</v>
      </c>
      <c r="W374">
        <f>IF(nba_draft[[#This Row],[years_played]]&gt;5,1,0)</f>
        <v>1</v>
      </c>
    </row>
    <row r="375" spans="1:23" x14ac:dyDescent="0.25">
      <c r="A375">
        <v>15</v>
      </c>
      <c r="B375" t="s">
        <v>49</v>
      </c>
      <c r="C375" t="s">
        <v>1510</v>
      </c>
      <c r="D375" t="s">
        <v>108</v>
      </c>
      <c r="E375">
        <v>7</v>
      </c>
      <c r="F375">
        <v>457</v>
      </c>
      <c r="G375">
        <v>11600</v>
      </c>
      <c r="H375">
        <v>5508</v>
      </c>
      <c r="I375">
        <v>1995</v>
      </c>
      <c r="J375">
        <v>461</v>
      </c>
      <c r="K375">
        <v>0.433</v>
      </c>
      <c r="L375">
        <v>0.32900000000000001</v>
      </c>
      <c r="M375">
        <v>0.754</v>
      </c>
      <c r="N375">
        <v>16.7</v>
      </c>
      <c r="O375">
        <v>6.9000000000000006E-2</v>
      </c>
      <c r="P375">
        <v>2015</v>
      </c>
      <c r="Q375">
        <v>25.4</v>
      </c>
      <c r="R375">
        <v>12.1</v>
      </c>
      <c r="S375">
        <v>4.4000000000000004</v>
      </c>
      <c r="T375">
        <v>1</v>
      </c>
      <c r="U375">
        <v>1</v>
      </c>
      <c r="V375">
        <v>15</v>
      </c>
      <c r="W375">
        <f>IF(nba_draft[[#This Row],[years_played]]&gt;5,1,0)</f>
        <v>1</v>
      </c>
    </row>
    <row r="376" spans="1:23" x14ac:dyDescent="0.25">
      <c r="A376">
        <v>4</v>
      </c>
      <c r="B376" t="s">
        <v>138</v>
      </c>
      <c r="C376" t="s">
        <v>1330</v>
      </c>
      <c r="D376" t="s">
        <v>24</v>
      </c>
      <c r="E376">
        <v>8</v>
      </c>
      <c r="F376">
        <v>419</v>
      </c>
      <c r="G376">
        <v>11835</v>
      </c>
      <c r="H376">
        <v>5505</v>
      </c>
      <c r="I376">
        <v>1108</v>
      </c>
      <c r="J376">
        <v>1163</v>
      </c>
      <c r="K376">
        <v>0.41199999999999998</v>
      </c>
      <c r="L376">
        <v>0.34599999999999997</v>
      </c>
      <c r="M376">
        <v>0.69399999999999995</v>
      </c>
      <c r="N376">
        <v>8.8000000000000007</v>
      </c>
      <c r="O376">
        <v>3.5999999999999997E-2</v>
      </c>
      <c r="P376">
        <v>2012</v>
      </c>
      <c r="Q376">
        <v>28.2</v>
      </c>
      <c r="R376">
        <v>13.1</v>
      </c>
      <c r="S376">
        <v>2.6</v>
      </c>
      <c r="T376">
        <v>2.8</v>
      </c>
      <c r="U376">
        <v>1</v>
      </c>
      <c r="V376">
        <v>4</v>
      </c>
      <c r="W376">
        <f>IF(nba_draft[[#This Row],[years_played]]&gt;5,1,0)</f>
        <v>1</v>
      </c>
    </row>
    <row r="377" spans="1:23" x14ac:dyDescent="0.25">
      <c r="A377">
        <v>12</v>
      </c>
      <c r="B377" t="s">
        <v>65</v>
      </c>
      <c r="C377" t="s">
        <v>159</v>
      </c>
      <c r="D377" t="s">
        <v>142</v>
      </c>
      <c r="E377">
        <v>11</v>
      </c>
      <c r="F377">
        <v>757</v>
      </c>
      <c r="G377">
        <v>15850</v>
      </c>
      <c r="H377">
        <v>5497</v>
      </c>
      <c r="I377">
        <v>1417</v>
      </c>
      <c r="J377">
        <v>2997</v>
      </c>
      <c r="K377">
        <v>0.40300000000000002</v>
      </c>
      <c r="L377">
        <v>0.34899999999999998</v>
      </c>
      <c r="M377">
        <v>0.73299999999999998</v>
      </c>
      <c r="N377">
        <v>35.9</v>
      </c>
      <c r="O377">
        <v>0.109</v>
      </c>
      <c r="P377">
        <v>1991</v>
      </c>
      <c r="Q377">
        <v>20.9</v>
      </c>
      <c r="R377">
        <v>7.3</v>
      </c>
      <c r="S377">
        <v>1.9</v>
      </c>
      <c r="T377">
        <v>4</v>
      </c>
      <c r="U377">
        <v>1</v>
      </c>
      <c r="V377">
        <v>12</v>
      </c>
      <c r="W377">
        <f>IF(nba_draft[[#This Row],[years_played]]&gt;5,1,0)</f>
        <v>1</v>
      </c>
    </row>
    <row r="378" spans="1:23" x14ac:dyDescent="0.25">
      <c r="A378">
        <v>11</v>
      </c>
      <c r="B378" t="s">
        <v>127</v>
      </c>
      <c r="C378" t="s">
        <v>1506</v>
      </c>
      <c r="D378" t="s">
        <v>60</v>
      </c>
      <c r="E378">
        <v>7</v>
      </c>
      <c r="F378">
        <v>431</v>
      </c>
      <c r="G378">
        <v>12379</v>
      </c>
      <c r="H378">
        <v>5485</v>
      </c>
      <c r="I378">
        <v>2879</v>
      </c>
      <c r="J378">
        <v>513</v>
      </c>
      <c r="K378">
        <v>0.48899999999999999</v>
      </c>
      <c r="L378">
        <v>0.34899999999999998</v>
      </c>
      <c r="M378">
        <v>0.76800000000000002</v>
      </c>
      <c r="N378">
        <v>33.1</v>
      </c>
      <c r="O378">
        <v>0.128</v>
      </c>
      <c r="P378">
        <v>2015</v>
      </c>
      <c r="Q378">
        <v>28.7</v>
      </c>
      <c r="R378">
        <v>12.7</v>
      </c>
      <c r="S378">
        <v>6.7</v>
      </c>
      <c r="T378">
        <v>1.2</v>
      </c>
      <c r="U378">
        <v>1</v>
      </c>
      <c r="V378">
        <v>11</v>
      </c>
      <c r="W378">
        <f>IF(nba_draft[[#This Row],[years_played]]&gt;5,1,0)</f>
        <v>1</v>
      </c>
    </row>
    <row r="379" spans="1:23" x14ac:dyDescent="0.25">
      <c r="A379">
        <v>19</v>
      </c>
      <c r="B379" t="s">
        <v>95</v>
      </c>
      <c r="C379" t="s">
        <v>1460</v>
      </c>
      <c r="D379" t="s">
        <v>148</v>
      </c>
      <c r="E379">
        <v>8</v>
      </c>
      <c r="F379">
        <v>459</v>
      </c>
      <c r="G379">
        <v>13270</v>
      </c>
      <c r="H379">
        <v>5442</v>
      </c>
      <c r="I379">
        <v>1151</v>
      </c>
      <c r="J379">
        <v>957</v>
      </c>
      <c r="K379">
        <v>0.44900000000000001</v>
      </c>
      <c r="L379">
        <v>0.36199999999999999</v>
      </c>
      <c r="M379">
        <v>0.80900000000000005</v>
      </c>
      <c r="N379">
        <v>20.3</v>
      </c>
      <c r="O379">
        <v>7.2999999999999995E-2</v>
      </c>
      <c r="P379">
        <v>2014</v>
      </c>
      <c r="Q379">
        <v>28.9</v>
      </c>
      <c r="R379">
        <v>11.9</v>
      </c>
      <c r="S379">
        <v>2.5</v>
      </c>
      <c r="T379">
        <v>2.1</v>
      </c>
      <c r="U379">
        <v>1</v>
      </c>
      <c r="V379">
        <v>19</v>
      </c>
      <c r="W379">
        <f>IF(nba_draft[[#This Row],[years_played]]&gt;5,1,0)</f>
        <v>1</v>
      </c>
    </row>
    <row r="380" spans="1:23" x14ac:dyDescent="0.25">
      <c r="A380">
        <v>35</v>
      </c>
      <c r="B380" t="s">
        <v>395</v>
      </c>
      <c r="C380" t="s">
        <v>1039</v>
      </c>
      <c r="D380" t="s">
        <v>60</v>
      </c>
      <c r="E380">
        <v>11</v>
      </c>
      <c r="F380">
        <v>758</v>
      </c>
      <c r="G380">
        <v>22037</v>
      </c>
      <c r="H380">
        <v>5438</v>
      </c>
      <c r="I380">
        <v>4291</v>
      </c>
      <c r="J380">
        <v>1109</v>
      </c>
      <c r="K380">
        <v>0.42499999999999999</v>
      </c>
      <c r="L380">
        <v>0.36599999999999999</v>
      </c>
      <c r="M380">
        <v>0.747</v>
      </c>
      <c r="N380">
        <v>39.1</v>
      </c>
      <c r="O380">
        <v>8.5000000000000006E-2</v>
      </c>
      <c r="P380">
        <v>2006</v>
      </c>
      <c r="Q380">
        <v>29.1</v>
      </c>
      <c r="R380">
        <v>7.2</v>
      </c>
      <c r="S380">
        <v>5.7</v>
      </c>
      <c r="T380">
        <v>1.5</v>
      </c>
      <c r="U380">
        <v>2</v>
      </c>
      <c r="V380">
        <v>5</v>
      </c>
      <c r="W380">
        <f>IF(nba_draft[[#This Row],[years_played]]&gt;5,1,0)</f>
        <v>1</v>
      </c>
    </row>
    <row r="381" spans="1:23" x14ac:dyDescent="0.25">
      <c r="A381">
        <v>22</v>
      </c>
      <c r="B381" t="s">
        <v>28</v>
      </c>
      <c r="C381" t="s">
        <v>1290</v>
      </c>
      <c r="D381" t="s">
        <v>1291</v>
      </c>
      <c r="E381">
        <v>8</v>
      </c>
      <c r="F381">
        <v>478</v>
      </c>
      <c r="G381">
        <v>11728</v>
      </c>
      <c r="H381">
        <v>5430</v>
      </c>
      <c r="I381">
        <v>3884</v>
      </c>
      <c r="J381">
        <v>470</v>
      </c>
      <c r="K381">
        <v>0.54600000000000004</v>
      </c>
      <c r="L381">
        <v>0.222</v>
      </c>
      <c r="M381">
        <v>0.65400000000000003</v>
      </c>
      <c r="N381">
        <v>38.799999999999997</v>
      </c>
      <c r="O381">
        <v>0.159</v>
      </c>
      <c r="P381">
        <v>2011</v>
      </c>
      <c r="Q381">
        <v>24.5</v>
      </c>
      <c r="R381">
        <v>11.4</v>
      </c>
      <c r="S381">
        <v>8.1</v>
      </c>
      <c r="T381">
        <v>1</v>
      </c>
      <c r="U381">
        <v>1</v>
      </c>
      <c r="V381">
        <v>22</v>
      </c>
      <c r="W381">
        <f>IF(nba_draft[[#This Row],[years_played]]&gt;5,1,0)</f>
        <v>1</v>
      </c>
    </row>
    <row r="382" spans="1:23" x14ac:dyDescent="0.25">
      <c r="A382">
        <v>37</v>
      </c>
      <c r="B382" t="s">
        <v>28</v>
      </c>
      <c r="C382" t="s">
        <v>490</v>
      </c>
      <c r="D382" t="s">
        <v>179</v>
      </c>
      <c r="E382">
        <v>11</v>
      </c>
      <c r="F382">
        <v>576</v>
      </c>
      <c r="G382">
        <v>15927</v>
      </c>
      <c r="H382">
        <v>5396</v>
      </c>
      <c r="I382">
        <v>1170</v>
      </c>
      <c r="J382">
        <v>2514</v>
      </c>
      <c r="K382">
        <v>0.43099999999999999</v>
      </c>
      <c r="L382">
        <v>0.32800000000000001</v>
      </c>
      <c r="M382">
        <v>0.79600000000000004</v>
      </c>
      <c r="N382">
        <v>23.1</v>
      </c>
      <c r="O382">
        <v>7.0000000000000007E-2</v>
      </c>
      <c r="P382">
        <v>1996</v>
      </c>
      <c r="Q382">
        <v>27.7</v>
      </c>
      <c r="R382">
        <v>9.4</v>
      </c>
      <c r="S382">
        <v>2</v>
      </c>
      <c r="T382">
        <v>4.4000000000000004</v>
      </c>
      <c r="U382">
        <v>2</v>
      </c>
      <c r="V382">
        <v>8</v>
      </c>
      <c r="W382">
        <f>IF(nba_draft[[#This Row],[years_played]]&gt;5,1,0)</f>
        <v>1</v>
      </c>
    </row>
    <row r="383" spans="1:23" x14ac:dyDescent="0.25">
      <c r="A383">
        <v>23</v>
      </c>
      <c r="B383" t="s">
        <v>127</v>
      </c>
      <c r="C383" t="s">
        <v>414</v>
      </c>
      <c r="D383" t="s">
        <v>33</v>
      </c>
      <c r="E383">
        <v>10</v>
      </c>
      <c r="F383">
        <v>708</v>
      </c>
      <c r="G383">
        <v>15150</v>
      </c>
      <c r="H383">
        <v>5376</v>
      </c>
      <c r="I383">
        <v>1249</v>
      </c>
      <c r="J383">
        <v>2444</v>
      </c>
      <c r="K383">
        <v>0.43099999999999999</v>
      </c>
      <c r="L383">
        <v>0.34499999999999997</v>
      </c>
      <c r="M383">
        <v>0.83499999999999996</v>
      </c>
      <c r="N383">
        <v>30.9</v>
      </c>
      <c r="O383">
        <v>9.8000000000000004E-2</v>
      </c>
      <c r="P383">
        <v>1995</v>
      </c>
      <c r="Q383">
        <v>21.4</v>
      </c>
      <c r="R383">
        <v>7.6</v>
      </c>
      <c r="S383">
        <v>1.8</v>
      </c>
      <c r="T383">
        <v>3.5</v>
      </c>
      <c r="U383">
        <v>1</v>
      </c>
      <c r="V383">
        <v>23</v>
      </c>
      <c r="W383">
        <f>IF(nba_draft[[#This Row],[years_played]]&gt;5,1,0)</f>
        <v>1</v>
      </c>
    </row>
    <row r="384" spans="1:23" x14ac:dyDescent="0.25">
      <c r="A384">
        <v>12</v>
      </c>
      <c r="B384" t="s">
        <v>25</v>
      </c>
      <c r="C384" t="s">
        <v>857</v>
      </c>
      <c r="D384" t="s">
        <v>108</v>
      </c>
      <c r="E384">
        <v>14</v>
      </c>
      <c r="F384">
        <v>910</v>
      </c>
      <c r="G384">
        <v>18603</v>
      </c>
      <c r="H384">
        <v>5359</v>
      </c>
      <c r="I384">
        <v>4701</v>
      </c>
      <c r="J384">
        <v>939</v>
      </c>
      <c r="K384">
        <v>0.53400000000000003</v>
      </c>
      <c r="L384">
        <v>0.20799999999999999</v>
      </c>
      <c r="M384">
        <v>0.72299999999999998</v>
      </c>
      <c r="N384">
        <v>44.5</v>
      </c>
      <c r="O384">
        <v>0.115</v>
      </c>
      <c r="P384">
        <v>2003</v>
      </c>
      <c r="Q384">
        <v>20.399999999999999</v>
      </c>
      <c r="R384">
        <v>5.9</v>
      </c>
      <c r="S384">
        <v>5.2</v>
      </c>
      <c r="T384">
        <v>1</v>
      </c>
      <c r="U384">
        <v>1</v>
      </c>
      <c r="V384">
        <v>12</v>
      </c>
      <c r="W384">
        <f>IF(nba_draft[[#This Row],[years_played]]&gt;5,1,0)</f>
        <v>1</v>
      </c>
    </row>
    <row r="385" spans="1:23" x14ac:dyDescent="0.25">
      <c r="A385">
        <v>37</v>
      </c>
      <c r="B385" t="s">
        <v>46</v>
      </c>
      <c r="C385" t="s">
        <v>723</v>
      </c>
      <c r="D385" t="s">
        <v>208</v>
      </c>
      <c r="E385">
        <v>11</v>
      </c>
      <c r="F385">
        <v>717</v>
      </c>
      <c r="G385">
        <v>12405</v>
      </c>
      <c r="H385">
        <v>5356</v>
      </c>
      <c r="I385">
        <v>1223</v>
      </c>
      <c r="J385">
        <v>1112</v>
      </c>
      <c r="K385">
        <v>0.40899999999999997</v>
      </c>
      <c r="L385">
        <v>0.39</v>
      </c>
      <c r="M385">
        <v>0.85099999999999998</v>
      </c>
      <c r="N385">
        <v>20</v>
      </c>
      <c r="O385">
        <v>7.6999999999999999E-2</v>
      </c>
      <c r="P385">
        <v>2000</v>
      </c>
      <c r="Q385">
        <v>17.3</v>
      </c>
      <c r="R385">
        <v>7.5</v>
      </c>
      <c r="S385">
        <v>1.7</v>
      </c>
      <c r="T385">
        <v>1.6</v>
      </c>
      <c r="U385">
        <v>2</v>
      </c>
      <c r="V385">
        <v>8</v>
      </c>
      <c r="W385">
        <f>IF(nba_draft[[#This Row],[years_played]]&gt;5,1,0)</f>
        <v>1</v>
      </c>
    </row>
    <row r="386" spans="1:23" x14ac:dyDescent="0.25">
      <c r="A386">
        <v>14</v>
      </c>
      <c r="B386" t="s">
        <v>104</v>
      </c>
      <c r="C386" t="s">
        <v>909</v>
      </c>
      <c r="D386" t="s">
        <v>48</v>
      </c>
      <c r="E386">
        <v>13</v>
      </c>
      <c r="F386">
        <v>800</v>
      </c>
      <c r="G386">
        <v>14232</v>
      </c>
      <c r="H386">
        <v>5350</v>
      </c>
      <c r="I386">
        <v>4314</v>
      </c>
      <c r="J386">
        <v>556</v>
      </c>
      <c r="K386">
        <v>0.46300000000000002</v>
      </c>
      <c r="L386">
        <v>0.29299999999999998</v>
      </c>
      <c r="M386">
        <v>0.7</v>
      </c>
      <c r="N386">
        <v>30.3</v>
      </c>
      <c r="O386">
        <v>0.10199999999999999</v>
      </c>
      <c r="P386">
        <v>2004</v>
      </c>
      <c r="Q386">
        <v>17.8</v>
      </c>
      <c r="R386">
        <v>6.7</v>
      </c>
      <c r="S386">
        <v>5.4</v>
      </c>
      <c r="T386">
        <v>0.7</v>
      </c>
      <c r="U386">
        <v>1</v>
      </c>
      <c r="V386">
        <v>14</v>
      </c>
      <c r="W386">
        <f>IF(nba_draft[[#This Row],[years_played]]&gt;5,1,0)</f>
        <v>1</v>
      </c>
    </row>
    <row r="387" spans="1:23" x14ac:dyDescent="0.25">
      <c r="A387">
        <v>8</v>
      </c>
      <c r="B387" t="s">
        <v>43</v>
      </c>
      <c r="C387" t="s">
        <v>1224</v>
      </c>
      <c r="D387" t="s">
        <v>269</v>
      </c>
      <c r="E387">
        <v>11</v>
      </c>
      <c r="F387">
        <v>711</v>
      </c>
      <c r="G387">
        <v>17698</v>
      </c>
      <c r="H387">
        <v>5350</v>
      </c>
      <c r="I387">
        <v>4280</v>
      </c>
      <c r="J387">
        <v>879</v>
      </c>
      <c r="K387">
        <v>0.42</v>
      </c>
      <c r="L387">
        <v>0.33200000000000002</v>
      </c>
      <c r="M387">
        <v>0.746</v>
      </c>
      <c r="N387">
        <v>27.6</v>
      </c>
      <c r="O387">
        <v>7.4999999999999997E-2</v>
      </c>
      <c r="P387">
        <v>2010</v>
      </c>
      <c r="Q387">
        <v>24.9</v>
      </c>
      <c r="R387">
        <v>7.5</v>
      </c>
      <c r="S387">
        <v>6</v>
      </c>
      <c r="T387">
        <v>1.2</v>
      </c>
      <c r="U387">
        <v>1</v>
      </c>
      <c r="V387">
        <v>8</v>
      </c>
      <c r="W387">
        <f>IF(nba_draft[[#This Row],[years_played]]&gt;5,1,0)</f>
        <v>1</v>
      </c>
    </row>
    <row r="388" spans="1:23" x14ac:dyDescent="0.25">
      <c r="A388">
        <v>22</v>
      </c>
      <c r="B388" t="s">
        <v>22</v>
      </c>
      <c r="C388" t="s">
        <v>1409</v>
      </c>
      <c r="D388" t="s">
        <v>87</v>
      </c>
      <c r="E388">
        <v>9</v>
      </c>
      <c r="F388">
        <v>639</v>
      </c>
      <c r="G388">
        <v>14274</v>
      </c>
      <c r="H388">
        <v>5349</v>
      </c>
      <c r="I388">
        <v>4222</v>
      </c>
      <c r="J388">
        <v>1542</v>
      </c>
      <c r="K388">
        <v>0.58199999999999996</v>
      </c>
      <c r="L388">
        <v>4.9000000000000002E-2</v>
      </c>
      <c r="M388">
        <v>0.56100000000000005</v>
      </c>
      <c r="N388">
        <v>42.8</v>
      </c>
      <c r="O388">
        <v>0.14399999999999999</v>
      </c>
      <c r="P388">
        <v>2013</v>
      </c>
      <c r="Q388">
        <v>22.3</v>
      </c>
      <c r="R388">
        <v>8.4</v>
      </c>
      <c r="S388">
        <v>6.6</v>
      </c>
      <c r="T388">
        <v>2.4</v>
      </c>
      <c r="U388">
        <v>1</v>
      </c>
      <c r="V388">
        <v>22</v>
      </c>
      <c r="W388">
        <f>IF(nba_draft[[#This Row],[years_played]]&gt;5,1,0)</f>
        <v>1</v>
      </c>
    </row>
    <row r="389" spans="1:23" x14ac:dyDescent="0.25">
      <c r="A389">
        <v>16</v>
      </c>
      <c r="B389" t="s">
        <v>138</v>
      </c>
      <c r="C389" t="s">
        <v>524</v>
      </c>
      <c r="D389" t="s">
        <v>226</v>
      </c>
      <c r="E389">
        <v>12</v>
      </c>
      <c r="F389">
        <v>729</v>
      </c>
      <c r="G389">
        <v>18176</v>
      </c>
      <c r="H389">
        <v>5342</v>
      </c>
      <c r="I389">
        <v>1785</v>
      </c>
      <c r="J389">
        <v>4481</v>
      </c>
      <c r="K389">
        <v>0.41199999999999998</v>
      </c>
      <c r="L389">
        <v>0.13400000000000001</v>
      </c>
      <c r="M389">
        <v>0.78900000000000003</v>
      </c>
      <c r="N389">
        <v>32.6</v>
      </c>
      <c r="O389">
        <v>8.5999999999999993E-2</v>
      </c>
      <c r="P389">
        <v>1997</v>
      </c>
      <c r="Q389">
        <v>24.9</v>
      </c>
      <c r="R389">
        <v>7.3</v>
      </c>
      <c r="S389">
        <v>2.4</v>
      </c>
      <c r="T389">
        <v>6.1</v>
      </c>
      <c r="U389">
        <v>1</v>
      </c>
      <c r="V389">
        <v>16</v>
      </c>
      <c r="W389">
        <f>IF(nba_draft[[#This Row],[years_played]]&gt;5,1,0)</f>
        <v>1</v>
      </c>
    </row>
    <row r="390" spans="1:23" x14ac:dyDescent="0.25">
      <c r="A390">
        <v>54</v>
      </c>
      <c r="B390" t="s">
        <v>104</v>
      </c>
      <c r="C390" t="s">
        <v>503</v>
      </c>
      <c r="D390" t="s">
        <v>57</v>
      </c>
      <c r="E390">
        <v>10</v>
      </c>
      <c r="F390">
        <v>719</v>
      </c>
      <c r="G390">
        <v>15946</v>
      </c>
      <c r="H390">
        <v>5327</v>
      </c>
      <c r="I390">
        <v>2252</v>
      </c>
      <c r="J390">
        <v>1007</v>
      </c>
      <c r="K390">
        <v>0.45700000000000002</v>
      </c>
      <c r="L390">
        <v>0.316</v>
      </c>
      <c r="M390">
        <v>0.73899999999999999</v>
      </c>
      <c r="N390">
        <v>23.6</v>
      </c>
      <c r="O390">
        <v>7.0999999999999994E-2</v>
      </c>
      <c r="P390">
        <v>1996</v>
      </c>
      <c r="Q390">
        <v>22.2</v>
      </c>
      <c r="R390">
        <v>7.4</v>
      </c>
      <c r="S390">
        <v>3.1</v>
      </c>
      <c r="T390">
        <v>1.4</v>
      </c>
      <c r="U390">
        <v>2</v>
      </c>
      <c r="V390">
        <v>25</v>
      </c>
      <c r="W390">
        <f>IF(nba_draft[[#This Row],[years_played]]&gt;5,1,0)</f>
        <v>1</v>
      </c>
    </row>
    <row r="391" spans="1:23" x14ac:dyDescent="0.25">
      <c r="A391">
        <v>23</v>
      </c>
      <c r="B391" t="s">
        <v>85</v>
      </c>
      <c r="C391" t="s">
        <v>869</v>
      </c>
      <c r="D391" t="s">
        <v>97</v>
      </c>
      <c r="E391">
        <v>11</v>
      </c>
      <c r="F391">
        <v>622</v>
      </c>
      <c r="G391">
        <v>13026</v>
      </c>
      <c r="H391">
        <v>5273</v>
      </c>
      <c r="I391">
        <v>1974</v>
      </c>
      <c r="J391">
        <v>514</v>
      </c>
      <c r="K391">
        <v>0.42299999999999999</v>
      </c>
      <c r="L391">
        <v>0.33700000000000002</v>
      </c>
      <c r="M391">
        <v>0.74399999999999999</v>
      </c>
      <c r="N391">
        <v>16.5</v>
      </c>
      <c r="O391">
        <v>6.0999999999999999E-2</v>
      </c>
      <c r="P391">
        <v>2003</v>
      </c>
      <c r="Q391">
        <v>20.9</v>
      </c>
      <c r="R391">
        <v>8.5</v>
      </c>
      <c r="S391">
        <v>3.2</v>
      </c>
      <c r="T391">
        <v>0.8</v>
      </c>
      <c r="U391">
        <v>1</v>
      </c>
      <c r="V391">
        <v>23</v>
      </c>
      <c r="W391">
        <f>IF(nba_draft[[#This Row],[years_played]]&gt;5,1,0)</f>
        <v>1</v>
      </c>
    </row>
    <row r="392" spans="1:23" x14ac:dyDescent="0.25">
      <c r="A392">
        <v>4</v>
      </c>
      <c r="B392" t="s">
        <v>43</v>
      </c>
      <c r="C392" t="s">
        <v>899</v>
      </c>
      <c r="D392" t="s">
        <v>97</v>
      </c>
      <c r="E392">
        <v>14</v>
      </c>
      <c r="F392">
        <v>833</v>
      </c>
      <c r="G392">
        <v>17188</v>
      </c>
      <c r="H392">
        <v>5231</v>
      </c>
      <c r="I392">
        <v>1989</v>
      </c>
      <c r="J392">
        <v>2483</v>
      </c>
      <c r="K392">
        <v>0.48599999999999999</v>
      </c>
      <c r="L392">
        <v>0.17799999999999999</v>
      </c>
      <c r="M392">
        <v>0.79400000000000004</v>
      </c>
      <c r="N392">
        <v>29.9</v>
      </c>
      <c r="O392">
        <v>8.4000000000000005E-2</v>
      </c>
      <c r="P392">
        <v>2004</v>
      </c>
      <c r="Q392">
        <v>20.6</v>
      </c>
      <c r="R392">
        <v>6.3</v>
      </c>
      <c r="S392">
        <v>2.4</v>
      </c>
      <c r="T392">
        <v>3</v>
      </c>
      <c r="U392">
        <v>1</v>
      </c>
      <c r="V392">
        <v>4</v>
      </c>
      <c r="W392">
        <f>IF(nba_draft[[#This Row],[years_played]]&gt;5,1,0)</f>
        <v>1</v>
      </c>
    </row>
    <row r="393" spans="1:23" x14ac:dyDescent="0.25">
      <c r="A393">
        <v>3</v>
      </c>
      <c r="B393" t="s">
        <v>109</v>
      </c>
      <c r="C393" t="s">
        <v>1389</v>
      </c>
      <c r="D393" t="s">
        <v>146</v>
      </c>
      <c r="E393">
        <v>9</v>
      </c>
      <c r="F393">
        <v>489</v>
      </c>
      <c r="G393">
        <v>12718</v>
      </c>
      <c r="H393">
        <v>5223</v>
      </c>
      <c r="I393">
        <v>2440</v>
      </c>
      <c r="J393">
        <v>746</v>
      </c>
      <c r="K393">
        <v>0.47799999999999998</v>
      </c>
      <c r="L393">
        <v>0.40100000000000002</v>
      </c>
      <c r="M393">
        <v>0.79100000000000004</v>
      </c>
      <c r="N393">
        <v>35.1</v>
      </c>
      <c r="O393">
        <v>0.13300000000000001</v>
      </c>
      <c r="P393">
        <v>2013</v>
      </c>
      <c r="Q393">
        <v>26</v>
      </c>
      <c r="R393">
        <v>10.7</v>
      </c>
      <c r="S393">
        <v>5</v>
      </c>
      <c r="T393">
        <v>1.5</v>
      </c>
      <c r="U393">
        <v>1</v>
      </c>
      <c r="V393">
        <v>3</v>
      </c>
      <c r="W393">
        <f>IF(nba_draft[[#This Row],[years_played]]&gt;5,1,0)</f>
        <v>1</v>
      </c>
    </row>
    <row r="394" spans="1:23" x14ac:dyDescent="0.25">
      <c r="A394">
        <v>30</v>
      </c>
      <c r="B394" t="s">
        <v>55</v>
      </c>
      <c r="C394" t="s">
        <v>485</v>
      </c>
      <c r="D394" t="s">
        <v>146</v>
      </c>
      <c r="E394">
        <v>12</v>
      </c>
      <c r="F394">
        <v>709</v>
      </c>
      <c r="G394">
        <v>13924</v>
      </c>
      <c r="H394">
        <v>5212</v>
      </c>
      <c r="I394">
        <v>3130</v>
      </c>
      <c r="J394">
        <v>443</v>
      </c>
      <c r="K394">
        <v>0.505</v>
      </c>
      <c r="L394">
        <v>0</v>
      </c>
      <c r="M394">
        <v>0.73799999999999999</v>
      </c>
      <c r="N394">
        <v>23.1</v>
      </c>
      <c r="O394">
        <v>0.08</v>
      </c>
      <c r="P394">
        <v>1996</v>
      </c>
      <c r="Q394">
        <v>19.600000000000001</v>
      </c>
      <c r="R394">
        <v>7.4</v>
      </c>
      <c r="S394">
        <v>4.4000000000000004</v>
      </c>
      <c r="T394">
        <v>0.6</v>
      </c>
      <c r="U394">
        <v>2</v>
      </c>
      <c r="V394">
        <v>1</v>
      </c>
      <c r="W394">
        <f>IF(nba_draft[[#This Row],[years_played]]&gt;5,1,0)</f>
        <v>1</v>
      </c>
    </row>
    <row r="395" spans="1:23" x14ac:dyDescent="0.25">
      <c r="A395">
        <v>12</v>
      </c>
      <c r="B395" t="s">
        <v>40</v>
      </c>
      <c r="C395" t="s">
        <v>1119</v>
      </c>
      <c r="D395" t="s">
        <v>1120</v>
      </c>
      <c r="E395">
        <v>8</v>
      </c>
      <c r="F395">
        <v>588</v>
      </c>
      <c r="G395">
        <v>14819</v>
      </c>
      <c r="H395">
        <v>5210</v>
      </c>
      <c r="I395">
        <v>3880</v>
      </c>
      <c r="J395">
        <v>635</v>
      </c>
      <c r="K395">
        <v>0.496</v>
      </c>
      <c r="L395">
        <v>0.14299999999999999</v>
      </c>
      <c r="M395">
        <v>0.65700000000000003</v>
      </c>
      <c r="N395">
        <v>23.8</v>
      </c>
      <c r="O395">
        <v>7.6999999999999999E-2</v>
      </c>
      <c r="P395">
        <v>2008</v>
      </c>
      <c r="Q395">
        <v>25.2</v>
      </c>
      <c r="R395">
        <v>8.9</v>
      </c>
      <c r="S395">
        <v>6.6</v>
      </c>
      <c r="T395">
        <v>1.1000000000000001</v>
      </c>
      <c r="U395">
        <v>1</v>
      </c>
      <c r="V395">
        <v>12</v>
      </c>
      <c r="W395">
        <f>IF(nba_draft[[#This Row],[years_played]]&gt;5,1,0)</f>
        <v>1</v>
      </c>
    </row>
    <row r="396" spans="1:23" x14ac:dyDescent="0.25">
      <c r="A396">
        <v>6</v>
      </c>
      <c r="B396" t="s">
        <v>70</v>
      </c>
      <c r="C396" t="s">
        <v>1447</v>
      </c>
      <c r="D396" t="s">
        <v>206</v>
      </c>
      <c r="E396">
        <v>8</v>
      </c>
      <c r="F396">
        <v>499</v>
      </c>
      <c r="G396">
        <v>14825</v>
      </c>
      <c r="H396">
        <v>5161</v>
      </c>
      <c r="I396">
        <v>1794</v>
      </c>
      <c r="J396">
        <v>2168</v>
      </c>
      <c r="K396">
        <v>0.38</v>
      </c>
      <c r="L396">
        <v>0.31900000000000001</v>
      </c>
      <c r="M396">
        <v>0.77800000000000002</v>
      </c>
      <c r="N396">
        <v>28</v>
      </c>
      <c r="O396">
        <v>9.0999999999999998E-2</v>
      </c>
      <c r="P396">
        <v>2014</v>
      </c>
      <c r="Q396">
        <v>29.7</v>
      </c>
      <c r="R396">
        <v>10.3</v>
      </c>
      <c r="S396">
        <v>3.6</v>
      </c>
      <c r="T396">
        <v>4.3</v>
      </c>
      <c r="U396">
        <v>1</v>
      </c>
      <c r="V396">
        <v>6</v>
      </c>
      <c r="W396">
        <f>IF(nba_draft[[#This Row],[years_played]]&gt;5,1,0)</f>
        <v>1</v>
      </c>
    </row>
    <row r="397" spans="1:23" x14ac:dyDescent="0.25">
      <c r="A397">
        <v>45</v>
      </c>
      <c r="B397" t="s">
        <v>63</v>
      </c>
      <c r="C397" t="s">
        <v>203</v>
      </c>
      <c r="D397" t="s">
        <v>204</v>
      </c>
      <c r="E397">
        <v>9</v>
      </c>
      <c r="F397">
        <v>467</v>
      </c>
      <c r="G397">
        <v>13426</v>
      </c>
      <c r="H397">
        <v>5153</v>
      </c>
      <c r="I397">
        <v>1469</v>
      </c>
      <c r="J397">
        <v>1246</v>
      </c>
      <c r="K397">
        <v>0.443</v>
      </c>
      <c r="L397">
        <v>0.39</v>
      </c>
      <c r="M397">
        <v>0.73799999999999999</v>
      </c>
      <c r="N397">
        <v>27.2</v>
      </c>
      <c r="O397">
        <v>9.7000000000000003E-2</v>
      </c>
      <c r="P397">
        <v>1991</v>
      </c>
      <c r="Q397">
        <v>28.7</v>
      </c>
      <c r="R397">
        <v>11</v>
      </c>
      <c r="S397">
        <v>3.1</v>
      </c>
      <c r="T397">
        <v>2.7</v>
      </c>
      <c r="U397">
        <v>2</v>
      </c>
      <c r="V397">
        <v>18</v>
      </c>
      <c r="W397">
        <f>IF(nba_draft[[#This Row],[years_played]]&gt;5,1,0)</f>
        <v>1</v>
      </c>
    </row>
    <row r="398" spans="1:23" x14ac:dyDescent="0.25">
      <c r="A398">
        <v>8</v>
      </c>
      <c r="B398" t="s">
        <v>43</v>
      </c>
      <c r="C398" t="s">
        <v>798</v>
      </c>
      <c r="D398" t="s">
        <v>67</v>
      </c>
      <c r="E398">
        <v>11</v>
      </c>
      <c r="F398">
        <v>628</v>
      </c>
      <c r="G398">
        <v>12474</v>
      </c>
      <c r="H398">
        <v>5150</v>
      </c>
      <c r="I398">
        <v>3076</v>
      </c>
      <c r="J398">
        <v>455</v>
      </c>
      <c r="K398">
        <v>0.54100000000000004</v>
      </c>
      <c r="L398">
        <v>0</v>
      </c>
      <c r="M398">
        <v>0.64300000000000002</v>
      </c>
      <c r="N398">
        <v>26.9</v>
      </c>
      <c r="O398">
        <v>0.10299999999999999</v>
      </c>
      <c r="P398">
        <v>2002</v>
      </c>
      <c r="Q398">
        <v>19.899999999999999</v>
      </c>
      <c r="R398">
        <v>8.1999999999999993</v>
      </c>
      <c r="S398">
        <v>4.9000000000000004</v>
      </c>
      <c r="T398">
        <v>0.7</v>
      </c>
      <c r="U398">
        <v>1</v>
      </c>
      <c r="V398">
        <v>8</v>
      </c>
      <c r="W398">
        <f>IF(nba_draft[[#This Row],[years_played]]&gt;5,1,0)</f>
        <v>1</v>
      </c>
    </row>
    <row r="399" spans="1:23" x14ac:dyDescent="0.25">
      <c r="A399">
        <v>27</v>
      </c>
      <c r="B399" t="s">
        <v>393</v>
      </c>
      <c r="C399" t="s">
        <v>1190</v>
      </c>
      <c r="D399" t="s">
        <v>151</v>
      </c>
      <c r="E399">
        <v>11</v>
      </c>
      <c r="F399">
        <v>578</v>
      </c>
      <c r="G399">
        <v>13675</v>
      </c>
      <c r="H399">
        <v>5150</v>
      </c>
      <c r="I399">
        <v>2454</v>
      </c>
      <c r="J399">
        <v>726</v>
      </c>
      <c r="K399">
        <v>0.43</v>
      </c>
      <c r="L399">
        <v>0.35799999999999998</v>
      </c>
      <c r="M399">
        <v>0.74099999999999999</v>
      </c>
      <c r="N399">
        <v>29.5</v>
      </c>
      <c r="O399">
        <v>0.104</v>
      </c>
      <c r="P399">
        <v>2009</v>
      </c>
      <c r="Q399">
        <v>23.7</v>
      </c>
      <c r="R399">
        <v>8.9</v>
      </c>
      <c r="S399">
        <v>4.2</v>
      </c>
      <c r="T399">
        <v>1.3</v>
      </c>
      <c r="U399">
        <v>1</v>
      </c>
      <c r="V399">
        <v>27</v>
      </c>
      <c r="W399">
        <f>IF(nba_draft[[#This Row],[years_played]]&gt;5,1,0)</f>
        <v>1</v>
      </c>
    </row>
    <row r="400" spans="1:23" x14ac:dyDescent="0.25">
      <c r="A400">
        <v>14</v>
      </c>
      <c r="B400" t="s">
        <v>75</v>
      </c>
      <c r="C400" t="s">
        <v>1455</v>
      </c>
      <c r="D400" t="s">
        <v>184</v>
      </c>
      <c r="E400">
        <v>7</v>
      </c>
      <c r="F400">
        <v>332</v>
      </c>
      <c r="G400">
        <v>9553</v>
      </c>
      <c r="H400">
        <v>5142</v>
      </c>
      <c r="I400">
        <v>1372</v>
      </c>
      <c r="J400">
        <v>397</v>
      </c>
      <c r="K400">
        <v>0.50700000000000001</v>
      </c>
      <c r="L400">
        <v>0.35699999999999998</v>
      </c>
      <c r="M400">
        <v>0.78</v>
      </c>
      <c r="N400">
        <v>19.600000000000001</v>
      </c>
      <c r="O400">
        <v>9.9000000000000005E-2</v>
      </c>
      <c r="P400">
        <v>2014</v>
      </c>
      <c r="Q400">
        <v>28.8</v>
      </c>
      <c r="R400">
        <v>15.5</v>
      </c>
      <c r="S400">
        <v>4.0999999999999996</v>
      </c>
      <c r="T400">
        <v>1.2</v>
      </c>
      <c r="U400">
        <v>1</v>
      </c>
      <c r="V400">
        <v>14</v>
      </c>
      <c r="W400">
        <f>IF(nba_draft[[#This Row],[years_played]]&gt;5,1,0)</f>
        <v>1</v>
      </c>
    </row>
    <row r="401" spans="1:23" x14ac:dyDescent="0.25">
      <c r="A401">
        <v>21</v>
      </c>
      <c r="B401" t="s">
        <v>104</v>
      </c>
      <c r="C401" t="s">
        <v>174</v>
      </c>
      <c r="D401" t="s">
        <v>175</v>
      </c>
      <c r="E401">
        <v>9</v>
      </c>
      <c r="F401">
        <v>508</v>
      </c>
      <c r="G401">
        <v>11882</v>
      </c>
      <c r="H401">
        <v>5118</v>
      </c>
      <c r="I401">
        <v>1261</v>
      </c>
      <c r="J401">
        <v>2467</v>
      </c>
      <c r="K401">
        <v>0.438</v>
      </c>
      <c r="L401">
        <v>0.34300000000000003</v>
      </c>
      <c r="M401">
        <v>0.78600000000000003</v>
      </c>
      <c r="N401">
        <v>25.6</v>
      </c>
      <c r="O401">
        <v>0.10299999999999999</v>
      </c>
      <c r="P401">
        <v>1991</v>
      </c>
      <c r="Q401">
        <v>23.4</v>
      </c>
      <c r="R401">
        <v>10.1</v>
      </c>
      <c r="S401">
        <v>2.5</v>
      </c>
      <c r="T401">
        <v>4.9000000000000004</v>
      </c>
      <c r="U401">
        <v>1</v>
      </c>
      <c r="V401">
        <v>21</v>
      </c>
      <c r="W401">
        <f>IF(nba_draft[[#This Row],[years_played]]&gt;5,1,0)</f>
        <v>1</v>
      </c>
    </row>
    <row r="402" spans="1:23" x14ac:dyDescent="0.25">
      <c r="A402">
        <v>30</v>
      </c>
      <c r="B402" t="s">
        <v>37</v>
      </c>
      <c r="C402" t="s">
        <v>368</v>
      </c>
      <c r="D402" t="s">
        <v>360</v>
      </c>
      <c r="E402">
        <v>12</v>
      </c>
      <c r="F402">
        <v>786</v>
      </c>
      <c r="G402">
        <v>16013</v>
      </c>
      <c r="H402">
        <v>5116</v>
      </c>
      <c r="I402">
        <v>1324</v>
      </c>
      <c r="J402">
        <v>2748</v>
      </c>
      <c r="K402">
        <v>0.40699999999999997</v>
      </c>
      <c r="L402">
        <v>0.35</v>
      </c>
      <c r="M402">
        <v>0.82699999999999996</v>
      </c>
      <c r="N402">
        <v>19.5</v>
      </c>
      <c r="O402">
        <v>5.8000000000000003E-2</v>
      </c>
      <c r="P402">
        <v>1994</v>
      </c>
      <c r="Q402">
        <v>20.399999999999999</v>
      </c>
      <c r="R402">
        <v>6.5</v>
      </c>
      <c r="S402">
        <v>1.7</v>
      </c>
      <c r="T402">
        <v>3.5</v>
      </c>
      <c r="U402">
        <v>2</v>
      </c>
      <c r="V402">
        <v>3</v>
      </c>
      <c r="W402">
        <f>IF(nba_draft[[#This Row],[years_played]]&gt;5,1,0)</f>
        <v>1</v>
      </c>
    </row>
    <row r="403" spans="1:23" x14ac:dyDescent="0.25">
      <c r="A403">
        <v>12</v>
      </c>
      <c r="B403" t="s">
        <v>90</v>
      </c>
      <c r="C403" t="s">
        <v>294</v>
      </c>
      <c r="D403" t="s">
        <v>179</v>
      </c>
      <c r="E403">
        <v>12</v>
      </c>
      <c r="F403">
        <v>774</v>
      </c>
      <c r="G403">
        <v>17683</v>
      </c>
      <c r="H403">
        <v>5109</v>
      </c>
      <c r="I403">
        <v>3902</v>
      </c>
      <c r="J403">
        <v>1121</v>
      </c>
      <c r="K403">
        <v>0.44600000000000001</v>
      </c>
      <c r="L403">
        <v>0.30599999999999999</v>
      </c>
      <c r="M403">
        <v>0.65200000000000002</v>
      </c>
      <c r="N403">
        <v>32.299999999999997</v>
      </c>
      <c r="O403">
        <v>8.7999999999999995E-2</v>
      </c>
      <c r="P403">
        <v>1993</v>
      </c>
      <c r="Q403">
        <v>22.8</v>
      </c>
      <c r="R403">
        <v>6.6</v>
      </c>
      <c r="S403">
        <v>5</v>
      </c>
      <c r="T403">
        <v>1.4</v>
      </c>
      <c r="U403">
        <v>1</v>
      </c>
      <c r="V403">
        <v>12</v>
      </c>
      <c r="W403">
        <f>IF(nba_draft[[#This Row],[years_played]]&gt;5,1,0)</f>
        <v>1</v>
      </c>
    </row>
    <row r="404" spans="1:23" x14ac:dyDescent="0.25">
      <c r="A404">
        <v>27</v>
      </c>
      <c r="B404" t="s">
        <v>22</v>
      </c>
      <c r="C404" t="s">
        <v>1622</v>
      </c>
      <c r="D404" t="s">
        <v>328</v>
      </c>
      <c r="E404">
        <v>5</v>
      </c>
      <c r="F404">
        <v>331</v>
      </c>
      <c r="G404">
        <v>10020</v>
      </c>
      <c r="H404">
        <v>5103</v>
      </c>
      <c r="I404">
        <v>2038</v>
      </c>
      <c r="J404">
        <v>696</v>
      </c>
      <c r="K404">
        <v>0.44800000000000001</v>
      </c>
      <c r="L404">
        <v>0.33800000000000002</v>
      </c>
      <c r="M404">
        <v>0.72199999999999998</v>
      </c>
      <c r="N404">
        <v>14.3</v>
      </c>
      <c r="O404">
        <v>6.9000000000000006E-2</v>
      </c>
      <c r="P404">
        <v>2017</v>
      </c>
      <c r="Q404">
        <v>30.3</v>
      </c>
      <c r="R404">
        <v>15.4</v>
      </c>
      <c r="S404">
        <v>6.2</v>
      </c>
      <c r="T404">
        <v>2.1</v>
      </c>
      <c r="U404">
        <v>1</v>
      </c>
      <c r="V404">
        <v>27</v>
      </c>
      <c r="W404">
        <f>IF(nba_draft[[#This Row],[years_played]]&gt;5,1,0)</f>
        <v>0</v>
      </c>
    </row>
    <row r="405" spans="1:23" x14ac:dyDescent="0.25">
      <c r="A405">
        <v>16</v>
      </c>
      <c r="B405" t="s">
        <v>49</v>
      </c>
      <c r="C405" t="s">
        <v>405</v>
      </c>
      <c r="D405" t="s">
        <v>285</v>
      </c>
      <c r="E405">
        <v>12</v>
      </c>
      <c r="F405">
        <v>652</v>
      </c>
      <c r="G405">
        <v>13780</v>
      </c>
      <c r="H405">
        <v>5094</v>
      </c>
      <c r="I405">
        <v>3249</v>
      </c>
      <c r="J405">
        <v>397</v>
      </c>
      <c r="K405">
        <v>0.46899999999999997</v>
      </c>
      <c r="L405">
        <v>0.192</v>
      </c>
      <c r="M405">
        <v>0.63900000000000001</v>
      </c>
      <c r="N405">
        <v>28</v>
      </c>
      <c r="O405">
        <v>9.7000000000000003E-2</v>
      </c>
      <c r="P405">
        <v>1995</v>
      </c>
      <c r="Q405">
        <v>21.1</v>
      </c>
      <c r="R405">
        <v>7.8</v>
      </c>
      <c r="S405">
        <v>5</v>
      </c>
      <c r="T405">
        <v>0.6</v>
      </c>
      <c r="U405">
        <v>1</v>
      </c>
      <c r="V405">
        <v>16</v>
      </c>
      <c r="W405">
        <f>IF(nba_draft[[#This Row],[years_played]]&gt;5,1,0)</f>
        <v>1</v>
      </c>
    </row>
    <row r="406" spans="1:23" x14ac:dyDescent="0.25">
      <c r="A406">
        <v>5</v>
      </c>
      <c r="B406" t="s">
        <v>28</v>
      </c>
      <c r="C406" t="s">
        <v>511</v>
      </c>
      <c r="D406" t="s">
        <v>439</v>
      </c>
      <c r="E406">
        <v>14</v>
      </c>
      <c r="F406">
        <v>837</v>
      </c>
      <c r="G406">
        <v>17649</v>
      </c>
      <c r="H406">
        <v>5082</v>
      </c>
      <c r="I406">
        <v>4287</v>
      </c>
      <c r="J406">
        <v>522</v>
      </c>
      <c r="K406">
        <v>0.48799999999999999</v>
      </c>
      <c r="L406">
        <v>0.16200000000000001</v>
      </c>
      <c r="M406">
        <v>0.69</v>
      </c>
      <c r="N406">
        <v>36.4</v>
      </c>
      <c r="O406">
        <v>9.9000000000000005E-2</v>
      </c>
      <c r="P406">
        <v>1997</v>
      </c>
      <c r="Q406">
        <v>21.1</v>
      </c>
      <c r="R406">
        <v>6.1</v>
      </c>
      <c r="S406">
        <v>5.0999999999999996</v>
      </c>
      <c r="T406">
        <v>0.6</v>
      </c>
      <c r="U406">
        <v>1</v>
      </c>
      <c r="V406">
        <v>5</v>
      </c>
      <c r="W406">
        <f>IF(nba_draft[[#This Row],[years_played]]&gt;5,1,0)</f>
        <v>1</v>
      </c>
    </row>
    <row r="407" spans="1:23" x14ac:dyDescent="0.25">
      <c r="A407">
        <v>19</v>
      </c>
      <c r="B407" t="s">
        <v>138</v>
      </c>
      <c r="C407" t="s">
        <v>1127</v>
      </c>
      <c r="D407" t="s">
        <v>184</v>
      </c>
      <c r="E407">
        <v>8</v>
      </c>
      <c r="F407">
        <v>534</v>
      </c>
      <c r="G407">
        <v>11925</v>
      </c>
      <c r="H407">
        <v>5081</v>
      </c>
      <c r="I407">
        <v>3639</v>
      </c>
      <c r="J407">
        <v>449</v>
      </c>
      <c r="K407">
        <v>0.505</v>
      </c>
      <c r="L407">
        <v>0</v>
      </c>
      <c r="M407">
        <v>0.61699999999999999</v>
      </c>
      <c r="N407">
        <v>21.9</v>
      </c>
      <c r="O407">
        <v>8.7999999999999995E-2</v>
      </c>
      <c r="P407">
        <v>2008</v>
      </c>
      <c r="Q407">
        <v>22.3</v>
      </c>
      <c r="R407">
        <v>9.5</v>
      </c>
      <c r="S407">
        <v>6.8</v>
      </c>
      <c r="T407">
        <v>0.8</v>
      </c>
      <c r="U407">
        <v>1</v>
      </c>
      <c r="V407">
        <v>19</v>
      </c>
      <c r="W407">
        <f>IF(nba_draft[[#This Row],[years_played]]&gt;5,1,0)</f>
        <v>1</v>
      </c>
    </row>
    <row r="408" spans="1:23" x14ac:dyDescent="0.25">
      <c r="A408">
        <v>10</v>
      </c>
      <c r="B408" t="s">
        <v>31</v>
      </c>
      <c r="C408" t="s">
        <v>692</v>
      </c>
      <c r="D408" t="s">
        <v>151</v>
      </c>
      <c r="E408">
        <v>13</v>
      </c>
      <c r="F408">
        <v>728</v>
      </c>
      <c r="G408">
        <v>14134</v>
      </c>
      <c r="H408">
        <v>5067</v>
      </c>
      <c r="I408">
        <v>964</v>
      </c>
      <c r="J408">
        <v>1601</v>
      </c>
      <c r="K408">
        <v>0.41599999999999998</v>
      </c>
      <c r="L408">
        <v>0.34899999999999998</v>
      </c>
      <c r="M408">
        <v>0.79900000000000004</v>
      </c>
      <c r="N408">
        <v>18.5</v>
      </c>
      <c r="O408">
        <v>6.3E-2</v>
      </c>
      <c r="P408">
        <v>2000</v>
      </c>
      <c r="Q408">
        <v>19.399999999999999</v>
      </c>
      <c r="R408">
        <v>7</v>
      </c>
      <c r="S408">
        <v>1.3</v>
      </c>
      <c r="T408">
        <v>2.2000000000000002</v>
      </c>
      <c r="U408">
        <v>1</v>
      </c>
      <c r="V408">
        <v>10</v>
      </c>
      <c r="W408">
        <f>IF(nba_draft[[#This Row],[years_played]]&gt;5,1,0)</f>
        <v>1</v>
      </c>
    </row>
    <row r="409" spans="1:23" x14ac:dyDescent="0.25">
      <c r="A409">
        <v>42</v>
      </c>
      <c r="B409" t="s">
        <v>46</v>
      </c>
      <c r="C409" t="s">
        <v>266</v>
      </c>
      <c r="D409" t="s">
        <v>33</v>
      </c>
      <c r="E409">
        <v>10</v>
      </c>
      <c r="F409">
        <v>552</v>
      </c>
      <c r="G409">
        <v>12221</v>
      </c>
      <c r="H409">
        <v>5059</v>
      </c>
      <c r="I409">
        <v>3158</v>
      </c>
      <c r="J409">
        <v>388</v>
      </c>
      <c r="K409">
        <v>0.499</v>
      </c>
      <c r="L409">
        <v>0.23200000000000001</v>
      </c>
      <c r="M409">
        <v>0.72799999999999998</v>
      </c>
      <c r="N409">
        <v>28.4</v>
      </c>
      <c r="O409">
        <v>0.112</v>
      </c>
      <c r="P409">
        <v>1992</v>
      </c>
      <c r="Q409">
        <v>22.1</v>
      </c>
      <c r="R409">
        <v>9.1999999999999993</v>
      </c>
      <c r="S409">
        <v>5.7</v>
      </c>
      <c r="T409">
        <v>0.7</v>
      </c>
      <c r="U409">
        <v>2</v>
      </c>
      <c r="V409">
        <v>15</v>
      </c>
      <c r="W409">
        <f>IF(nba_draft[[#This Row],[years_played]]&gt;5,1,0)</f>
        <v>1</v>
      </c>
    </row>
    <row r="410" spans="1:23" x14ac:dyDescent="0.25">
      <c r="A410">
        <v>6</v>
      </c>
      <c r="B410" t="s">
        <v>85</v>
      </c>
      <c r="C410" t="s">
        <v>951</v>
      </c>
      <c r="D410" t="s">
        <v>97</v>
      </c>
      <c r="E410">
        <v>10</v>
      </c>
      <c r="F410">
        <v>580</v>
      </c>
      <c r="G410">
        <v>13914</v>
      </c>
      <c r="H410">
        <v>5056</v>
      </c>
      <c r="I410">
        <v>1811</v>
      </c>
      <c r="J410">
        <v>588</v>
      </c>
      <c r="K410">
        <v>0.41799999999999998</v>
      </c>
      <c r="L410">
        <v>0.38200000000000001</v>
      </c>
      <c r="M410">
        <v>0.79100000000000004</v>
      </c>
      <c r="N410">
        <v>24.7</v>
      </c>
      <c r="O410">
        <v>8.5000000000000006E-2</v>
      </c>
      <c r="P410">
        <v>2005</v>
      </c>
      <c r="Q410">
        <v>24</v>
      </c>
      <c r="R410">
        <v>8.6999999999999993</v>
      </c>
      <c r="S410">
        <v>3.1</v>
      </c>
      <c r="T410">
        <v>1</v>
      </c>
      <c r="U410">
        <v>1</v>
      </c>
      <c r="V410">
        <v>6</v>
      </c>
      <c r="W410">
        <f>IF(nba_draft[[#This Row],[years_played]]&gt;5,1,0)</f>
        <v>1</v>
      </c>
    </row>
    <row r="411" spans="1:23" x14ac:dyDescent="0.25">
      <c r="A411">
        <v>40</v>
      </c>
      <c r="B411" t="s">
        <v>46</v>
      </c>
      <c r="C411" t="s">
        <v>1534</v>
      </c>
      <c r="D411" t="s">
        <v>293</v>
      </c>
      <c r="E411">
        <v>7</v>
      </c>
      <c r="F411">
        <v>418</v>
      </c>
      <c r="G411">
        <v>12533</v>
      </c>
      <c r="H411">
        <v>5034</v>
      </c>
      <c r="I411">
        <v>1317</v>
      </c>
      <c r="J411">
        <v>1125</v>
      </c>
      <c r="K411">
        <v>0.42799999999999999</v>
      </c>
      <c r="L411">
        <v>0.36099999999999999</v>
      </c>
      <c r="M411">
        <v>0.83399999999999996</v>
      </c>
      <c r="N411">
        <v>23</v>
      </c>
      <c r="O411">
        <v>8.7999999999999995E-2</v>
      </c>
      <c r="P411">
        <v>2015</v>
      </c>
      <c r="Q411">
        <v>30</v>
      </c>
      <c r="R411">
        <v>12</v>
      </c>
      <c r="S411">
        <v>3.2</v>
      </c>
      <c r="T411">
        <v>2.7</v>
      </c>
      <c r="U411">
        <v>2</v>
      </c>
      <c r="V411">
        <v>10</v>
      </c>
      <c r="W411">
        <f>IF(nba_draft[[#This Row],[years_played]]&gt;5,1,0)</f>
        <v>1</v>
      </c>
    </row>
    <row r="412" spans="1:23" x14ac:dyDescent="0.25">
      <c r="A412">
        <v>29</v>
      </c>
      <c r="B412" t="s">
        <v>82</v>
      </c>
      <c r="C412" t="s">
        <v>1299</v>
      </c>
      <c r="D412" t="s">
        <v>60</v>
      </c>
      <c r="E412">
        <v>11</v>
      </c>
      <c r="F412">
        <v>710</v>
      </c>
      <c r="G412">
        <v>15708</v>
      </c>
      <c r="H412">
        <v>5020</v>
      </c>
      <c r="I412">
        <v>1828</v>
      </c>
      <c r="J412">
        <v>2133</v>
      </c>
      <c r="K412">
        <v>0.44400000000000001</v>
      </c>
      <c r="L412">
        <v>0.34300000000000003</v>
      </c>
      <c r="M412">
        <v>0.78100000000000003</v>
      </c>
      <c r="N412">
        <v>27.9</v>
      </c>
      <c r="O412">
        <v>8.5000000000000006E-2</v>
      </c>
      <c r="P412">
        <v>2011</v>
      </c>
      <c r="Q412">
        <v>22.1</v>
      </c>
      <c r="R412">
        <v>7.1</v>
      </c>
      <c r="S412">
        <v>2.6</v>
      </c>
      <c r="T412">
        <v>3</v>
      </c>
      <c r="U412">
        <v>1</v>
      </c>
      <c r="V412">
        <v>29</v>
      </c>
      <c r="W412">
        <f>IF(nba_draft[[#This Row],[years_played]]&gt;5,1,0)</f>
        <v>1</v>
      </c>
    </row>
    <row r="413" spans="1:23" x14ac:dyDescent="0.25">
      <c r="A413">
        <v>16</v>
      </c>
      <c r="B413" t="s">
        <v>95</v>
      </c>
      <c r="C413" t="s">
        <v>1457</v>
      </c>
      <c r="D413" t="s">
        <v>97</v>
      </c>
      <c r="E413">
        <v>8</v>
      </c>
      <c r="F413">
        <v>411</v>
      </c>
      <c r="G413">
        <v>9815</v>
      </c>
      <c r="H413">
        <v>5015</v>
      </c>
      <c r="I413">
        <v>3513</v>
      </c>
      <c r="J413">
        <v>903</v>
      </c>
      <c r="K413">
        <v>0.5</v>
      </c>
      <c r="L413">
        <v>0.23200000000000001</v>
      </c>
      <c r="M413">
        <v>0.67200000000000004</v>
      </c>
      <c r="N413">
        <v>24</v>
      </c>
      <c r="O413">
        <v>0.11799999999999999</v>
      </c>
      <c r="P413">
        <v>2014</v>
      </c>
      <c r="Q413">
        <v>23.9</v>
      </c>
      <c r="R413">
        <v>12.2</v>
      </c>
      <c r="S413">
        <v>8.5</v>
      </c>
      <c r="T413">
        <v>2.2000000000000002</v>
      </c>
      <c r="U413">
        <v>1</v>
      </c>
      <c r="V413">
        <v>16</v>
      </c>
      <c r="W413">
        <f>IF(nba_draft[[#This Row],[years_played]]&gt;5,1,0)</f>
        <v>1</v>
      </c>
    </row>
    <row r="414" spans="1:23" x14ac:dyDescent="0.25">
      <c r="A414">
        <v>10</v>
      </c>
      <c r="B414" t="s">
        <v>102</v>
      </c>
      <c r="C414" t="s">
        <v>1451</v>
      </c>
      <c r="D414" t="s">
        <v>170</v>
      </c>
      <c r="E414">
        <v>8</v>
      </c>
      <c r="F414">
        <v>488</v>
      </c>
      <c r="G414">
        <v>13278</v>
      </c>
      <c r="H414">
        <v>5013</v>
      </c>
      <c r="I414">
        <v>1995</v>
      </c>
      <c r="J414">
        <v>2851</v>
      </c>
      <c r="K414">
        <v>0.44800000000000001</v>
      </c>
      <c r="L414">
        <v>0.28899999999999998</v>
      </c>
      <c r="M414">
        <v>0.624</v>
      </c>
      <c r="N414">
        <v>16</v>
      </c>
      <c r="O414">
        <v>5.8000000000000003E-2</v>
      </c>
      <c r="P414">
        <v>2014</v>
      </c>
      <c r="Q414">
        <v>27.2</v>
      </c>
      <c r="R414">
        <v>10.3</v>
      </c>
      <c r="S414">
        <v>4.0999999999999996</v>
      </c>
      <c r="T414">
        <v>5.8</v>
      </c>
      <c r="U414">
        <v>1</v>
      </c>
      <c r="V414">
        <v>10</v>
      </c>
      <c r="W414">
        <f>IF(nba_draft[[#This Row],[years_played]]&gt;5,1,0)</f>
        <v>1</v>
      </c>
    </row>
    <row r="415" spans="1:23" x14ac:dyDescent="0.25">
      <c r="A415">
        <v>44</v>
      </c>
      <c r="B415" t="s">
        <v>34</v>
      </c>
      <c r="C415" t="s">
        <v>495</v>
      </c>
      <c r="D415" t="s">
        <v>496</v>
      </c>
      <c r="E415">
        <v>13</v>
      </c>
      <c r="F415">
        <v>813</v>
      </c>
      <c r="G415">
        <v>13404</v>
      </c>
      <c r="H415">
        <v>5003</v>
      </c>
      <c r="I415">
        <v>3371</v>
      </c>
      <c r="J415">
        <v>684</v>
      </c>
      <c r="K415">
        <v>0.437</v>
      </c>
      <c r="L415">
        <v>0.17699999999999999</v>
      </c>
      <c r="M415">
        <v>0.74299999999999999</v>
      </c>
      <c r="N415">
        <v>26.5</v>
      </c>
      <c r="O415">
        <v>9.5000000000000001E-2</v>
      </c>
      <c r="P415">
        <v>1996</v>
      </c>
      <c r="Q415">
        <v>16.5</v>
      </c>
      <c r="R415">
        <v>6.2</v>
      </c>
      <c r="S415">
        <v>4.0999999999999996</v>
      </c>
      <c r="T415">
        <v>0.8</v>
      </c>
      <c r="U415">
        <v>2</v>
      </c>
      <c r="V415">
        <v>15</v>
      </c>
      <c r="W415">
        <f>IF(nba_draft[[#This Row],[years_played]]&gt;5,1,0)</f>
        <v>1</v>
      </c>
    </row>
    <row r="416" spans="1:23" x14ac:dyDescent="0.25">
      <c r="A416">
        <v>13</v>
      </c>
      <c r="B416" t="s">
        <v>102</v>
      </c>
      <c r="C416" t="s">
        <v>1015</v>
      </c>
      <c r="D416" t="s">
        <v>97</v>
      </c>
      <c r="E416">
        <v>14</v>
      </c>
      <c r="F416">
        <v>869</v>
      </c>
      <c r="G416">
        <v>19062</v>
      </c>
      <c r="H416">
        <v>4994</v>
      </c>
      <c r="I416">
        <v>3252</v>
      </c>
      <c r="J416">
        <v>1196</v>
      </c>
      <c r="K416">
        <v>0.44900000000000001</v>
      </c>
      <c r="L416">
        <v>0.34899999999999998</v>
      </c>
      <c r="M416">
        <v>0.73199999999999998</v>
      </c>
      <c r="N416">
        <v>39.299999999999997</v>
      </c>
      <c r="O416">
        <v>9.9000000000000005E-2</v>
      </c>
      <c r="P416">
        <v>2006</v>
      </c>
      <c r="Q416">
        <v>21.9</v>
      </c>
      <c r="R416">
        <v>5.7</v>
      </c>
      <c r="S416">
        <v>3.7</v>
      </c>
      <c r="T416">
        <v>1.4</v>
      </c>
      <c r="U416">
        <v>1</v>
      </c>
      <c r="V416">
        <v>13</v>
      </c>
      <c r="W416">
        <f>IF(nba_draft[[#This Row],[years_played]]&gt;5,1,0)</f>
        <v>1</v>
      </c>
    </row>
    <row r="417" spans="1:23" x14ac:dyDescent="0.25">
      <c r="A417">
        <v>36</v>
      </c>
      <c r="B417" t="s">
        <v>63</v>
      </c>
      <c r="C417" t="s">
        <v>1575</v>
      </c>
      <c r="D417" t="s">
        <v>232</v>
      </c>
      <c r="E417">
        <v>6</v>
      </c>
      <c r="F417">
        <v>325</v>
      </c>
      <c r="G417">
        <v>9780</v>
      </c>
      <c r="H417">
        <v>4991</v>
      </c>
      <c r="I417">
        <v>1357</v>
      </c>
      <c r="J417">
        <v>1550</v>
      </c>
      <c r="K417">
        <v>0.46400000000000002</v>
      </c>
      <c r="L417">
        <v>0.377</v>
      </c>
      <c r="M417">
        <v>0.88300000000000001</v>
      </c>
      <c r="N417">
        <v>23.8</v>
      </c>
      <c r="O417">
        <v>0.11700000000000001</v>
      </c>
      <c r="P417">
        <v>2016</v>
      </c>
      <c r="Q417">
        <v>30.1</v>
      </c>
      <c r="R417">
        <v>15.4</v>
      </c>
      <c r="S417">
        <v>4.2</v>
      </c>
      <c r="T417">
        <v>4.8</v>
      </c>
      <c r="U417">
        <v>2</v>
      </c>
      <c r="V417">
        <v>6</v>
      </c>
      <c r="W417">
        <f>IF(nba_draft[[#This Row],[years_played]]&gt;5,1,0)</f>
        <v>1</v>
      </c>
    </row>
    <row r="418" spans="1:23" x14ac:dyDescent="0.25">
      <c r="A418">
        <v>41</v>
      </c>
      <c r="B418" t="s">
        <v>63</v>
      </c>
      <c r="C418" t="s">
        <v>1204</v>
      </c>
      <c r="D418" t="s">
        <v>282</v>
      </c>
      <c r="E418">
        <v>10</v>
      </c>
      <c r="F418">
        <v>539</v>
      </c>
      <c r="G418">
        <v>12110</v>
      </c>
      <c r="H418">
        <v>4988</v>
      </c>
      <c r="I418">
        <v>1120</v>
      </c>
      <c r="J418">
        <v>583</v>
      </c>
      <c r="K418">
        <v>0.42</v>
      </c>
      <c r="L418">
        <v>0.373</v>
      </c>
      <c r="M418">
        <v>0.879</v>
      </c>
      <c r="N418">
        <v>24.3</v>
      </c>
      <c r="O418">
        <v>9.6000000000000002E-2</v>
      </c>
      <c r="P418">
        <v>2009</v>
      </c>
      <c r="Q418">
        <v>22.5</v>
      </c>
      <c r="R418">
        <v>9.3000000000000007</v>
      </c>
      <c r="S418">
        <v>2.1</v>
      </c>
      <c r="T418">
        <v>1.1000000000000001</v>
      </c>
      <c r="U418">
        <v>2</v>
      </c>
      <c r="V418">
        <v>11</v>
      </c>
      <c r="W418">
        <f>IF(nba_draft[[#This Row],[years_played]]&gt;5,1,0)</f>
        <v>1</v>
      </c>
    </row>
    <row r="419" spans="1:23" x14ac:dyDescent="0.25">
      <c r="A419">
        <v>16</v>
      </c>
      <c r="B419" t="s">
        <v>34</v>
      </c>
      <c r="C419" t="s">
        <v>469</v>
      </c>
      <c r="D419" t="s">
        <v>282</v>
      </c>
      <c r="E419">
        <v>10</v>
      </c>
      <c r="F419">
        <v>545</v>
      </c>
      <c r="G419">
        <v>11702</v>
      </c>
      <c r="H419">
        <v>4957</v>
      </c>
      <c r="I419">
        <v>1351</v>
      </c>
      <c r="J419">
        <v>1024</v>
      </c>
      <c r="K419">
        <v>0.40799999999999997</v>
      </c>
      <c r="L419">
        <v>0.34300000000000003</v>
      </c>
      <c r="M419">
        <v>0.76900000000000002</v>
      </c>
      <c r="N419">
        <v>19.5</v>
      </c>
      <c r="O419">
        <v>0.08</v>
      </c>
      <c r="P419">
        <v>1996</v>
      </c>
      <c r="Q419">
        <v>21.5</v>
      </c>
      <c r="R419">
        <v>9.1</v>
      </c>
      <c r="S419">
        <v>2.5</v>
      </c>
      <c r="T419">
        <v>1.9</v>
      </c>
      <c r="U419">
        <v>1</v>
      </c>
      <c r="V419">
        <v>16</v>
      </c>
      <c r="W419">
        <f>IF(nba_draft[[#This Row],[years_played]]&gt;5,1,0)</f>
        <v>1</v>
      </c>
    </row>
    <row r="420" spans="1:23" x14ac:dyDescent="0.25">
      <c r="A420">
        <v>14</v>
      </c>
      <c r="B420" t="s">
        <v>127</v>
      </c>
      <c r="C420" t="s">
        <v>233</v>
      </c>
      <c r="D420" t="s">
        <v>77</v>
      </c>
      <c r="E420">
        <v>8</v>
      </c>
      <c r="F420">
        <v>493</v>
      </c>
      <c r="G420">
        <v>11720</v>
      </c>
      <c r="H420">
        <v>4955</v>
      </c>
      <c r="I420">
        <v>1585</v>
      </c>
      <c r="J420">
        <v>816</v>
      </c>
      <c r="K420">
        <v>0.42599999999999999</v>
      </c>
      <c r="L420">
        <v>0.29199999999999998</v>
      </c>
      <c r="M420">
        <v>0.80900000000000005</v>
      </c>
      <c r="N420">
        <v>17.100000000000001</v>
      </c>
      <c r="O420">
        <v>7.0000000000000007E-2</v>
      </c>
      <c r="P420">
        <v>1992</v>
      </c>
      <c r="Q420">
        <v>23.8</v>
      </c>
      <c r="R420">
        <v>10.1</v>
      </c>
      <c r="S420">
        <v>3.2</v>
      </c>
      <c r="T420">
        <v>1.7</v>
      </c>
      <c r="U420">
        <v>1</v>
      </c>
      <c r="V420">
        <v>14</v>
      </c>
      <c r="W420">
        <f>IF(nba_draft[[#This Row],[years_played]]&gt;5,1,0)</f>
        <v>1</v>
      </c>
    </row>
    <row r="421" spans="1:23" x14ac:dyDescent="0.25">
      <c r="A421">
        <v>19</v>
      </c>
      <c r="B421" t="s">
        <v>393</v>
      </c>
      <c r="C421" t="s">
        <v>964</v>
      </c>
      <c r="D421" t="s">
        <v>24</v>
      </c>
      <c r="E421">
        <v>8</v>
      </c>
      <c r="F421">
        <v>526</v>
      </c>
      <c r="G421">
        <v>10624</v>
      </c>
      <c r="H421">
        <v>4947</v>
      </c>
      <c r="I421">
        <v>2117</v>
      </c>
      <c r="J421">
        <v>400</v>
      </c>
      <c r="K421">
        <v>0.49</v>
      </c>
      <c r="L421">
        <v>0.191</v>
      </c>
      <c r="M421">
        <v>0.72599999999999998</v>
      </c>
      <c r="N421">
        <v>20.399999999999999</v>
      </c>
      <c r="O421">
        <v>9.1999999999999998E-2</v>
      </c>
      <c r="P421">
        <v>2005</v>
      </c>
      <c r="Q421">
        <v>20.2</v>
      </c>
      <c r="R421">
        <v>9.4</v>
      </c>
      <c r="S421">
        <v>4</v>
      </c>
      <c r="T421">
        <v>0.8</v>
      </c>
      <c r="U421">
        <v>1</v>
      </c>
      <c r="V421">
        <v>19</v>
      </c>
      <c r="W421">
        <f>IF(nba_draft[[#This Row],[years_played]]&gt;5,1,0)</f>
        <v>1</v>
      </c>
    </row>
    <row r="422" spans="1:23" x14ac:dyDescent="0.25">
      <c r="A422">
        <v>6</v>
      </c>
      <c r="B422" t="s">
        <v>393</v>
      </c>
      <c r="C422" t="s">
        <v>394</v>
      </c>
      <c r="D422" t="s">
        <v>206</v>
      </c>
      <c r="E422">
        <v>6</v>
      </c>
      <c r="F422">
        <v>395</v>
      </c>
      <c r="G422">
        <v>12071</v>
      </c>
      <c r="H422">
        <v>4945</v>
      </c>
      <c r="I422">
        <v>2745</v>
      </c>
      <c r="J422">
        <v>623</v>
      </c>
      <c r="K422">
        <v>0.47499999999999998</v>
      </c>
      <c r="L422">
        <v>7.3999999999999996E-2</v>
      </c>
      <c r="M422">
        <v>0.70299999999999996</v>
      </c>
      <c r="N422">
        <v>13</v>
      </c>
      <c r="O422">
        <v>5.1999999999999998E-2</v>
      </c>
      <c r="P422">
        <v>1995</v>
      </c>
      <c r="Q422">
        <v>30.6</v>
      </c>
      <c r="R422">
        <v>12.5</v>
      </c>
      <c r="S422">
        <v>6.9</v>
      </c>
      <c r="T422">
        <v>1.6</v>
      </c>
      <c r="U422">
        <v>1</v>
      </c>
      <c r="V422">
        <v>6</v>
      </c>
      <c r="W422">
        <f>IF(nba_draft[[#This Row],[years_played]]&gt;5,1,0)</f>
        <v>1</v>
      </c>
    </row>
    <row r="423" spans="1:23" x14ac:dyDescent="0.25">
      <c r="A423">
        <v>54</v>
      </c>
      <c r="B423" t="s">
        <v>25</v>
      </c>
      <c r="C423" t="s">
        <v>562</v>
      </c>
      <c r="D423" t="s">
        <v>272</v>
      </c>
      <c r="E423">
        <v>9</v>
      </c>
      <c r="F423">
        <v>605</v>
      </c>
      <c r="G423">
        <v>13981</v>
      </c>
      <c r="H423">
        <v>4941</v>
      </c>
      <c r="I423">
        <v>2784</v>
      </c>
      <c r="J423">
        <v>513</v>
      </c>
      <c r="K423">
        <v>0.504</v>
      </c>
      <c r="L423">
        <v>0.35899999999999999</v>
      </c>
      <c r="M423">
        <v>0.72299999999999998</v>
      </c>
      <c r="N423">
        <v>18.8</v>
      </c>
      <c r="O423">
        <v>6.5000000000000002E-2</v>
      </c>
      <c r="P423">
        <v>1997</v>
      </c>
      <c r="Q423">
        <v>23.1</v>
      </c>
      <c r="R423">
        <v>8.1999999999999993</v>
      </c>
      <c r="S423">
        <v>4.5999999999999996</v>
      </c>
      <c r="T423">
        <v>0.8</v>
      </c>
      <c r="U423">
        <v>2</v>
      </c>
      <c r="V423">
        <v>26</v>
      </c>
      <c r="W423">
        <f>IF(nba_draft[[#This Row],[years_played]]&gt;5,1,0)</f>
        <v>1</v>
      </c>
    </row>
    <row r="424" spans="1:23" x14ac:dyDescent="0.25">
      <c r="A424">
        <v>50</v>
      </c>
      <c r="B424" t="s">
        <v>70</v>
      </c>
      <c r="C424" t="s">
        <v>993</v>
      </c>
      <c r="D424" t="s">
        <v>175</v>
      </c>
      <c r="E424">
        <v>8</v>
      </c>
      <c r="F424">
        <v>487</v>
      </c>
      <c r="G424">
        <v>13463</v>
      </c>
      <c r="H424">
        <v>4926</v>
      </c>
      <c r="I424">
        <v>2239</v>
      </c>
      <c r="J424">
        <v>712</v>
      </c>
      <c r="K424">
        <v>0.44500000000000001</v>
      </c>
      <c r="L424">
        <v>0.34899999999999998</v>
      </c>
      <c r="M424">
        <v>0.79900000000000004</v>
      </c>
      <c r="N424">
        <v>19.399999999999999</v>
      </c>
      <c r="O424">
        <v>6.9000000000000006E-2</v>
      </c>
      <c r="P424">
        <v>2005</v>
      </c>
      <c r="Q424">
        <v>27.6</v>
      </c>
      <c r="R424">
        <v>10.1</v>
      </c>
      <c r="S424">
        <v>4.5999999999999996</v>
      </c>
      <c r="T424">
        <v>1.5</v>
      </c>
      <c r="U424">
        <v>2</v>
      </c>
      <c r="V424">
        <v>20</v>
      </c>
      <c r="W424">
        <f>IF(nba_draft[[#This Row],[years_played]]&gt;5,1,0)</f>
        <v>1</v>
      </c>
    </row>
    <row r="425" spans="1:23" x14ac:dyDescent="0.25">
      <c r="A425">
        <v>19</v>
      </c>
      <c r="B425" t="s">
        <v>34</v>
      </c>
      <c r="C425" t="s">
        <v>702</v>
      </c>
      <c r="D425" t="s">
        <v>282</v>
      </c>
      <c r="E425">
        <v>12</v>
      </c>
      <c r="F425">
        <v>680</v>
      </c>
      <c r="G425">
        <v>14621</v>
      </c>
      <c r="H425">
        <v>4917</v>
      </c>
      <c r="I425">
        <v>4408</v>
      </c>
      <c r="J425">
        <v>386</v>
      </c>
      <c r="K425">
        <v>0.48</v>
      </c>
      <c r="L425">
        <v>0</v>
      </c>
      <c r="M425">
        <v>0.63900000000000001</v>
      </c>
      <c r="N425">
        <v>27.7</v>
      </c>
      <c r="O425">
        <v>9.0999999999999998E-2</v>
      </c>
      <c r="P425">
        <v>2000</v>
      </c>
      <c r="Q425">
        <v>21.5</v>
      </c>
      <c r="R425">
        <v>7.2</v>
      </c>
      <c r="S425">
        <v>6.5</v>
      </c>
      <c r="T425">
        <v>0.6</v>
      </c>
      <c r="U425">
        <v>1</v>
      </c>
      <c r="V425">
        <v>19</v>
      </c>
      <c r="W425">
        <f>IF(nba_draft[[#This Row],[years_played]]&gt;5,1,0)</f>
        <v>1</v>
      </c>
    </row>
    <row r="426" spans="1:23" x14ac:dyDescent="0.25">
      <c r="A426">
        <v>11</v>
      </c>
      <c r="B426" t="s">
        <v>127</v>
      </c>
      <c r="C426" t="s">
        <v>1118</v>
      </c>
      <c r="D426" t="s">
        <v>117</v>
      </c>
      <c r="E426">
        <v>11</v>
      </c>
      <c r="F426">
        <v>586</v>
      </c>
      <c r="G426">
        <v>12486</v>
      </c>
      <c r="H426">
        <v>4909</v>
      </c>
      <c r="I426">
        <v>1235</v>
      </c>
      <c r="J426">
        <v>1674</v>
      </c>
      <c r="K426">
        <v>0.41099999999999998</v>
      </c>
      <c r="L426">
        <v>0.36099999999999999</v>
      </c>
      <c r="M426">
        <v>0.81799999999999995</v>
      </c>
      <c r="N426">
        <v>18.600000000000001</v>
      </c>
      <c r="O426">
        <v>7.1999999999999995E-2</v>
      </c>
      <c r="P426">
        <v>2008</v>
      </c>
      <c r="Q426">
        <v>21.3</v>
      </c>
      <c r="R426">
        <v>8.4</v>
      </c>
      <c r="S426">
        <v>2.1</v>
      </c>
      <c r="T426">
        <v>2.9</v>
      </c>
      <c r="U426">
        <v>1</v>
      </c>
      <c r="V426">
        <v>11</v>
      </c>
      <c r="W426">
        <f>IF(nba_draft[[#This Row],[years_played]]&gt;5,1,0)</f>
        <v>1</v>
      </c>
    </row>
    <row r="427" spans="1:23" x14ac:dyDescent="0.25">
      <c r="A427">
        <v>10</v>
      </c>
      <c r="B427" t="s">
        <v>90</v>
      </c>
      <c r="C427" t="s">
        <v>955</v>
      </c>
      <c r="D427" t="s">
        <v>97</v>
      </c>
      <c r="E427">
        <v>8</v>
      </c>
      <c r="F427">
        <v>418</v>
      </c>
      <c r="G427">
        <v>10690</v>
      </c>
      <c r="H427">
        <v>4822</v>
      </c>
      <c r="I427">
        <v>3221</v>
      </c>
      <c r="J427">
        <v>490</v>
      </c>
      <c r="K427">
        <v>0.55600000000000005</v>
      </c>
      <c r="L427">
        <v>0.111</v>
      </c>
      <c r="M427">
        <v>0.69</v>
      </c>
      <c r="N427">
        <v>37.4</v>
      </c>
      <c r="O427">
        <v>0.16800000000000001</v>
      </c>
      <c r="P427">
        <v>2005</v>
      </c>
      <c r="Q427">
        <v>25.6</v>
      </c>
      <c r="R427">
        <v>11.5</v>
      </c>
      <c r="S427">
        <v>7.7</v>
      </c>
      <c r="T427">
        <v>1.2</v>
      </c>
      <c r="U427">
        <v>1</v>
      </c>
      <c r="V427">
        <v>10</v>
      </c>
      <c r="W427">
        <f>IF(nba_draft[[#This Row],[years_played]]&gt;5,1,0)</f>
        <v>1</v>
      </c>
    </row>
    <row r="428" spans="1:23" x14ac:dyDescent="0.25">
      <c r="A428">
        <v>42</v>
      </c>
      <c r="B428" t="s">
        <v>63</v>
      </c>
      <c r="C428" t="s">
        <v>830</v>
      </c>
      <c r="D428" t="s">
        <v>831</v>
      </c>
      <c r="E428">
        <v>8</v>
      </c>
      <c r="F428">
        <v>487</v>
      </c>
      <c r="G428">
        <v>11077</v>
      </c>
      <c r="H428">
        <v>4817</v>
      </c>
      <c r="I428">
        <v>1006</v>
      </c>
      <c r="J428">
        <v>1096</v>
      </c>
      <c r="K428">
        <v>0.41399999999999998</v>
      </c>
      <c r="L428">
        <v>0.30399999999999999</v>
      </c>
      <c r="M428">
        <v>0.72499999999999998</v>
      </c>
      <c r="N428">
        <v>8.5</v>
      </c>
      <c r="O428">
        <v>3.6999999999999998E-2</v>
      </c>
      <c r="P428">
        <v>2002</v>
      </c>
      <c r="Q428">
        <v>22.7</v>
      </c>
      <c r="R428">
        <v>9.9</v>
      </c>
      <c r="S428">
        <v>2.1</v>
      </c>
      <c r="T428">
        <v>2.2999999999999998</v>
      </c>
      <c r="U428">
        <v>2</v>
      </c>
      <c r="V428">
        <v>13</v>
      </c>
      <c r="W428">
        <f>IF(nba_draft[[#This Row],[years_played]]&gt;5,1,0)</f>
        <v>1</v>
      </c>
    </row>
    <row r="429" spans="1:23" x14ac:dyDescent="0.25">
      <c r="A429">
        <v>19</v>
      </c>
      <c r="B429" t="s">
        <v>49</v>
      </c>
      <c r="C429" t="s">
        <v>1614</v>
      </c>
      <c r="D429" t="s">
        <v>269</v>
      </c>
      <c r="E429">
        <v>5</v>
      </c>
      <c r="F429">
        <v>289</v>
      </c>
      <c r="G429">
        <v>8389</v>
      </c>
      <c r="H429">
        <v>4800</v>
      </c>
      <c r="I429">
        <v>2416</v>
      </c>
      <c r="J429">
        <v>451</v>
      </c>
      <c r="K429">
        <v>0.56200000000000006</v>
      </c>
      <c r="L429">
        <v>0.38200000000000001</v>
      </c>
      <c r="M429">
        <v>0.78</v>
      </c>
      <c r="N429">
        <v>28.3</v>
      </c>
      <c r="O429">
        <v>0.16200000000000001</v>
      </c>
      <c r="P429">
        <v>2017</v>
      </c>
      <c r="Q429">
        <v>29</v>
      </c>
      <c r="R429">
        <v>16.600000000000001</v>
      </c>
      <c r="S429">
        <v>8.4</v>
      </c>
      <c r="T429">
        <v>1.6</v>
      </c>
      <c r="U429">
        <v>1</v>
      </c>
      <c r="V429">
        <v>19</v>
      </c>
      <c r="W429">
        <f>IF(nba_draft[[#This Row],[years_played]]&gt;5,1,0)</f>
        <v>0</v>
      </c>
    </row>
    <row r="430" spans="1:23" x14ac:dyDescent="0.25">
      <c r="A430">
        <v>8</v>
      </c>
      <c r="B430" t="s">
        <v>63</v>
      </c>
      <c r="C430" t="s">
        <v>853</v>
      </c>
      <c r="D430" t="s">
        <v>60</v>
      </c>
      <c r="E430">
        <v>8</v>
      </c>
      <c r="F430">
        <v>429</v>
      </c>
      <c r="G430">
        <v>11882</v>
      </c>
      <c r="H430">
        <v>4797</v>
      </c>
      <c r="I430">
        <v>1331</v>
      </c>
      <c r="J430">
        <v>2495</v>
      </c>
      <c r="K430">
        <v>0.433</v>
      </c>
      <c r="L430">
        <v>0.28899999999999998</v>
      </c>
      <c r="M430">
        <v>0.81499999999999995</v>
      </c>
      <c r="N430">
        <v>16.899999999999999</v>
      </c>
      <c r="O430">
        <v>6.8000000000000005E-2</v>
      </c>
      <c r="P430">
        <v>2003</v>
      </c>
      <c r="Q430">
        <v>27.7</v>
      </c>
      <c r="R430">
        <v>11.2</v>
      </c>
      <c r="S430">
        <v>3.1</v>
      </c>
      <c r="T430">
        <v>5.8</v>
      </c>
      <c r="U430">
        <v>1</v>
      </c>
      <c r="V430">
        <v>8</v>
      </c>
      <c r="W430">
        <f>IF(nba_draft[[#This Row],[years_played]]&gt;5,1,0)</f>
        <v>1</v>
      </c>
    </row>
    <row r="431" spans="1:23" x14ac:dyDescent="0.25">
      <c r="A431">
        <v>14</v>
      </c>
      <c r="B431" t="s">
        <v>55</v>
      </c>
      <c r="C431" t="s">
        <v>1231</v>
      </c>
      <c r="D431" t="s">
        <v>282</v>
      </c>
      <c r="E431">
        <v>11</v>
      </c>
      <c r="F431">
        <v>719</v>
      </c>
      <c r="G431">
        <v>14923</v>
      </c>
      <c r="H431">
        <v>4782</v>
      </c>
      <c r="I431">
        <v>2799</v>
      </c>
      <c r="J431">
        <v>736</v>
      </c>
      <c r="K431">
        <v>0.44700000000000001</v>
      </c>
      <c r="L431">
        <v>0.36899999999999999</v>
      </c>
      <c r="M431">
        <v>0.755</v>
      </c>
      <c r="N431">
        <v>31.9</v>
      </c>
      <c r="O431">
        <v>0.10199999999999999</v>
      </c>
      <c r="P431">
        <v>2010</v>
      </c>
      <c r="Q431">
        <v>20.8</v>
      </c>
      <c r="R431">
        <v>6.7</v>
      </c>
      <c r="S431">
        <v>3.9</v>
      </c>
      <c r="T431">
        <v>1</v>
      </c>
      <c r="U431">
        <v>1</v>
      </c>
      <c r="V431">
        <v>14</v>
      </c>
      <c r="W431">
        <f>IF(nba_draft[[#This Row],[years_played]]&gt;5,1,0)</f>
        <v>1</v>
      </c>
    </row>
    <row r="432" spans="1:23" x14ac:dyDescent="0.25">
      <c r="A432">
        <v>11</v>
      </c>
      <c r="B432" t="s">
        <v>28</v>
      </c>
      <c r="C432" t="s">
        <v>1452</v>
      </c>
      <c r="D432" t="s">
        <v>188</v>
      </c>
      <c r="E432">
        <v>8</v>
      </c>
      <c r="F432">
        <v>519</v>
      </c>
      <c r="G432">
        <v>10842</v>
      </c>
      <c r="H432">
        <v>4781</v>
      </c>
      <c r="I432">
        <v>1229</v>
      </c>
      <c r="J432">
        <v>482</v>
      </c>
      <c r="K432">
        <v>0.47699999999999998</v>
      </c>
      <c r="L432">
        <v>0.41199999999999998</v>
      </c>
      <c r="M432">
        <v>0.81899999999999995</v>
      </c>
      <c r="N432">
        <v>19.3</v>
      </c>
      <c r="O432">
        <v>8.5000000000000006E-2</v>
      </c>
      <c r="P432">
        <v>2014</v>
      </c>
      <c r="Q432">
        <v>20.9</v>
      </c>
      <c r="R432">
        <v>9.1999999999999993</v>
      </c>
      <c r="S432">
        <v>2.4</v>
      </c>
      <c r="T432">
        <v>0.9</v>
      </c>
      <c r="U432">
        <v>1</v>
      </c>
      <c r="V432">
        <v>11</v>
      </c>
      <c r="W432">
        <f>IF(nba_draft[[#This Row],[years_played]]&gt;5,1,0)</f>
        <v>1</v>
      </c>
    </row>
    <row r="433" spans="1:23" x14ac:dyDescent="0.25">
      <c r="A433">
        <v>9</v>
      </c>
      <c r="B433" t="s">
        <v>37</v>
      </c>
      <c r="C433" t="s">
        <v>1395</v>
      </c>
      <c r="D433" t="s">
        <v>51</v>
      </c>
      <c r="E433">
        <v>9</v>
      </c>
      <c r="F433">
        <v>488</v>
      </c>
      <c r="G433">
        <v>10306</v>
      </c>
      <c r="H433">
        <v>4759</v>
      </c>
      <c r="I433">
        <v>873</v>
      </c>
      <c r="J433">
        <v>1511</v>
      </c>
      <c r="K433">
        <v>0.41199999999999998</v>
      </c>
      <c r="L433">
        <v>0.34499999999999997</v>
      </c>
      <c r="M433">
        <v>0.81200000000000006</v>
      </c>
      <c r="N433">
        <v>13.2</v>
      </c>
      <c r="O433">
        <v>6.2E-2</v>
      </c>
      <c r="P433">
        <v>2013</v>
      </c>
      <c r="Q433">
        <v>21.1</v>
      </c>
      <c r="R433">
        <v>9.8000000000000007</v>
      </c>
      <c r="S433">
        <v>1.8</v>
      </c>
      <c r="T433">
        <v>3.1</v>
      </c>
      <c r="U433">
        <v>1</v>
      </c>
      <c r="V433">
        <v>9</v>
      </c>
      <c r="W433">
        <f>IF(nba_draft[[#This Row],[years_played]]&gt;5,1,0)</f>
        <v>1</v>
      </c>
    </row>
    <row r="434" spans="1:23" x14ac:dyDescent="0.25">
      <c r="A434">
        <v>22</v>
      </c>
      <c r="B434" t="s">
        <v>95</v>
      </c>
      <c r="C434" t="s">
        <v>1517</v>
      </c>
      <c r="D434" t="s">
        <v>222</v>
      </c>
      <c r="E434">
        <v>7</v>
      </c>
      <c r="F434">
        <v>432</v>
      </c>
      <c r="G434">
        <v>9277</v>
      </c>
      <c r="H434">
        <v>4751</v>
      </c>
      <c r="I434">
        <v>2803</v>
      </c>
      <c r="J434">
        <v>517</v>
      </c>
      <c r="K434">
        <v>0.47</v>
      </c>
      <c r="L434">
        <v>0.38400000000000001</v>
      </c>
      <c r="M434">
        <v>0.752</v>
      </c>
      <c r="N434">
        <v>19.899999999999999</v>
      </c>
      <c r="O434">
        <v>0.10299999999999999</v>
      </c>
      <c r="P434">
        <v>2015</v>
      </c>
      <c r="Q434">
        <v>21.5</v>
      </c>
      <c r="R434">
        <v>11</v>
      </c>
      <c r="S434">
        <v>6.5</v>
      </c>
      <c r="T434">
        <v>1.2</v>
      </c>
      <c r="U434">
        <v>1</v>
      </c>
      <c r="V434">
        <v>22</v>
      </c>
      <c r="W434">
        <f>IF(nba_draft[[#This Row],[years_played]]&gt;5,1,0)</f>
        <v>1</v>
      </c>
    </row>
    <row r="435" spans="1:23" x14ac:dyDescent="0.25">
      <c r="A435">
        <v>55</v>
      </c>
      <c r="B435" t="s">
        <v>70</v>
      </c>
      <c r="C435" t="s">
        <v>1325</v>
      </c>
      <c r="D435" t="s">
        <v>119</v>
      </c>
      <c r="E435">
        <v>10</v>
      </c>
      <c r="F435">
        <v>598</v>
      </c>
      <c r="G435">
        <v>12564</v>
      </c>
      <c r="H435">
        <v>4743</v>
      </c>
      <c r="I435">
        <v>1208</v>
      </c>
      <c r="J435">
        <v>1055</v>
      </c>
      <c r="K435">
        <v>0.45500000000000002</v>
      </c>
      <c r="L435">
        <v>0.38800000000000001</v>
      </c>
      <c r="M435">
        <v>0.74199999999999999</v>
      </c>
      <c r="N435">
        <v>14.8</v>
      </c>
      <c r="O435">
        <v>5.7000000000000002E-2</v>
      </c>
      <c r="P435">
        <v>2011</v>
      </c>
      <c r="Q435">
        <v>21</v>
      </c>
      <c r="R435">
        <v>7.9</v>
      </c>
      <c r="S435">
        <v>2</v>
      </c>
      <c r="T435">
        <v>1.8</v>
      </c>
      <c r="U435">
        <v>2</v>
      </c>
      <c r="V435">
        <v>25</v>
      </c>
      <c r="W435">
        <f>IF(nba_draft[[#This Row],[years_played]]&gt;5,1,0)</f>
        <v>1</v>
      </c>
    </row>
    <row r="436" spans="1:23" x14ac:dyDescent="0.25">
      <c r="A436">
        <v>7</v>
      </c>
      <c r="B436" t="s">
        <v>40</v>
      </c>
      <c r="C436" t="s">
        <v>1393</v>
      </c>
      <c r="D436" t="s">
        <v>108</v>
      </c>
      <c r="E436">
        <v>9</v>
      </c>
      <c r="F436">
        <v>534</v>
      </c>
      <c r="G436">
        <v>12037</v>
      </c>
      <c r="H436">
        <v>4743</v>
      </c>
      <c r="I436">
        <v>1232</v>
      </c>
      <c r="J436">
        <v>540</v>
      </c>
      <c r="K436">
        <v>0.41399999999999998</v>
      </c>
      <c r="L436">
        <v>0.36399999999999999</v>
      </c>
      <c r="M436">
        <v>0.77600000000000002</v>
      </c>
      <c r="N436">
        <v>9</v>
      </c>
      <c r="O436">
        <v>3.5999999999999997E-2</v>
      </c>
      <c r="P436">
        <v>2013</v>
      </c>
      <c r="Q436">
        <v>22.5</v>
      </c>
      <c r="R436">
        <v>8.9</v>
      </c>
      <c r="S436">
        <v>2.2999999999999998</v>
      </c>
      <c r="T436">
        <v>1</v>
      </c>
      <c r="U436">
        <v>1</v>
      </c>
      <c r="V436">
        <v>7</v>
      </c>
      <c r="W436">
        <f>IF(nba_draft[[#This Row],[years_played]]&gt;5,1,0)</f>
        <v>1</v>
      </c>
    </row>
    <row r="437" spans="1:23" x14ac:dyDescent="0.25">
      <c r="A437">
        <v>46</v>
      </c>
      <c r="B437" t="s">
        <v>63</v>
      </c>
      <c r="C437" t="s">
        <v>1538</v>
      </c>
      <c r="D437" t="s">
        <v>113</v>
      </c>
      <c r="E437">
        <v>7</v>
      </c>
      <c r="F437">
        <v>419</v>
      </c>
      <c r="G437">
        <v>9378</v>
      </c>
      <c r="H437">
        <v>4732</v>
      </c>
      <c r="I437">
        <v>1083</v>
      </c>
      <c r="J437">
        <v>623</v>
      </c>
      <c r="K437">
        <v>0.46200000000000002</v>
      </c>
      <c r="L437">
        <v>0.38200000000000001</v>
      </c>
      <c r="M437">
        <v>0.83099999999999996</v>
      </c>
      <c r="N437">
        <v>19.7</v>
      </c>
      <c r="O437">
        <v>0.10100000000000001</v>
      </c>
      <c r="P437">
        <v>2015</v>
      </c>
      <c r="Q437">
        <v>22.4</v>
      </c>
      <c r="R437">
        <v>11.3</v>
      </c>
      <c r="S437">
        <v>2.6</v>
      </c>
      <c r="T437">
        <v>1.5</v>
      </c>
      <c r="U437">
        <v>2</v>
      </c>
      <c r="V437">
        <v>16</v>
      </c>
      <c r="W437">
        <f>IF(nba_draft[[#This Row],[years_played]]&gt;5,1,0)</f>
        <v>1</v>
      </c>
    </row>
    <row r="438" spans="1:23" x14ac:dyDescent="0.25">
      <c r="A438">
        <v>21</v>
      </c>
      <c r="B438" t="s">
        <v>70</v>
      </c>
      <c r="C438" t="s">
        <v>241</v>
      </c>
      <c r="D438" t="s">
        <v>33</v>
      </c>
      <c r="E438">
        <v>14</v>
      </c>
      <c r="F438">
        <v>821</v>
      </c>
      <c r="G438">
        <v>13880</v>
      </c>
      <c r="H438">
        <v>4715</v>
      </c>
      <c r="I438">
        <v>1513</v>
      </c>
      <c r="J438">
        <v>1784</v>
      </c>
      <c r="K438">
        <v>0.434</v>
      </c>
      <c r="L438">
        <v>0.39200000000000002</v>
      </c>
      <c r="M438">
        <v>0.84799999999999998</v>
      </c>
      <c r="N438">
        <v>37.200000000000003</v>
      </c>
      <c r="O438">
        <v>0.129</v>
      </c>
      <c r="P438">
        <v>1992</v>
      </c>
      <c r="Q438">
        <v>16.899999999999999</v>
      </c>
      <c r="R438">
        <v>5.7</v>
      </c>
      <c r="S438">
        <v>1.8</v>
      </c>
      <c r="T438">
        <v>2.2000000000000002</v>
      </c>
      <c r="U438">
        <v>1</v>
      </c>
      <c r="V438">
        <v>21</v>
      </c>
      <c r="W438">
        <f>IF(nba_draft[[#This Row],[years_played]]&gt;5,1,0)</f>
        <v>1</v>
      </c>
    </row>
    <row r="439" spans="1:23" x14ac:dyDescent="0.25">
      <c r="A439">
        <v>23</v>
      </c>
      <c r="B439" t="s">
        <v>28</v>
      </c>
      <c r="C439" t="s">
        <v>589</v>
      </c>
      <c r="D439" t="s">
        <v>162</v>
      </c>
      <c r="E439">
        <v>11</v>
      </c>
      <c r="F439">
        <v>554</v>
      </c>
      <c r="G439">
        <v>12564</v>
      </c>
      <c r="H439">
        <v>4710</v>
      </c>
      <c r="I439">
        <v>943</v>
      </c>
      <c r="J439">
        <v>1727</v>
      </c>
      <c r="K439">
        <v>0.437</v>
      </c>
      <c r="L439">
        <v>0.39100000000000001</v>
      </c>
      <c r="M439">
        <v>0.82899999999999996</v>
      </c>
      <c r="N439">
        <v>19.7</v>
      </c>
      <c r="O439">
        <v>7.4999999999999997E-2</v>
      </c>
      <c r="P439">
        <v>1998</v>
      </c>
      <c r="Q439">
        <v>22.7</v>
      </c>
      <c r="R439">
        <v>8.5</v>
      </c>
      <c r="S439">
        <v>1.7</v>
      </c>
      <c r="T439">
        <v>3.1</v>
      </c>
      <c r="U439">
        <v>1</v>
      </c>
      <c r="V439">
        <v>23</v>
      </c>
      <c r="W439">
        <f>IF(nba_draft[[#This Row],[years_played]]&gt;5,1,0)</f>
        <v>1</v>
      </c>
    </row>
    <row r="440" spans="1:23" x14ac:dyDescent="0.25">
      <c r="A440">
        <v>38</v>
      </c>
      <c r="B440" t="s">
        <v>88</v>
      </c>
      <c r="C440" t="s">
        <v>1479</v>
      </c>
      <c r="D440" t="s">
        <v>435</v>
      </c>
      <c r="E440">
        <v>8</v>
      </c>
      <c r="F440">
        <v>366</v>
      </c>
      <c r="G440">
        <v>9610</v>
      </c>
      <c r="H440">
        <v>4691</v>
      </c>
      <c r="I440">
        <v>1101</v>
      </c>
      <c r="J440">
        <v>1849</v>
      </c>
      <c r="K440">
        <v>0.40600000000000003</v>
      </c>
      <c r="L440">
        <v>0.317</v>
      </c>
      <c r="M440">
        <v>0.79300000000000004</v>
      </c>
      <c r="N440">
        <v>20.399999999999999</v>
      </c>
      <c r="O440">
        <v>0.10199999999999999</v>
      </c>
      <c r="P440">
        <v>2014</v>
      </c>
      <c r="Q440">
        <v>26.3</v>
      </c>
      <c r="R440">
        <v>12.8</v>
      </c>
      <c r="S440">
        <v>3</v>
      </c>
      <c r="T440">
        <v>5.0999999999999996</v>
      </c>
      <c r="U440">
        <v>2</v>
      </c>
      <c r="V440">
        <v>8</v>
      </c>
      <c r="W440">
        <f>IF(nba_draft[[#This Row],[years_played]]&gt;5,1,0)</f>
        <v>1</v>
      </c>
    </row>
    <row r="441" spans="1:23" x14ac:dyDescent="0.25">
      <c r="A441">
        <v>30</v>
      </c>
      <c r="B441" t="s">
        <v>149</v>
      </c>
      <c r="C441" t="s">
        <v>251</v>
      </c>
      <c r="D441" t="s">
        <v>117</v>
      </c>
      <c r="E441">
        <v>12</v>
      </c>
      <c r="F441">
        <v>749</v>
      </c>
      <c r="G441">
        <v>13560</v>
      </c>
      <c r="H441">
        <v>4676</v>
      </c>
      <c r="I441">
        <v>2877</v>
      </c>
      <c r="J441">
        <v>631</v>
      </c>
      <c r="K441">
        <v>0.45900000000000002</v>
      </c>
      <c r="L441">
        <v>9.0999999999999998E-2</v>
      </c>
      <c r="M441">
        <v>0.69899999999999995</v>
      </c>
      <c r="N441">
        <v>16.2</v>
      </c>
      <c r="O441">
        <v>5.7000000000000002E-2</v>
      </c>
      <c r="P441">
        <v>1992</v>
      </c>
      <c r="Q441">
        <v>18.100000000000001</v>
      </c>
      <c r="R441">
        <v>6.2</v>
      </c>
      <c r="S441">
        <v>3.8</v>
      </c>
      <c r="T441">
        <v>0.8</v>
      </c>
      <c r="U441">
        <v>2</v>
      </c>
      <c r="V441">
        <v>3</v>
      </c>
      <c r="W441">
        <f>IF(nba_draft[[#This Row],[years_played]]&gt;5,1,0)</f>
        <v>1</v>
      </c>
    </row>
    <row r="442" spans="1:23" x14ac:dyDescent="0.25">
      <c r="A442">
        <v>27</v>
      </c>
      <c r="B442" t="s">
        <v>393</v>
      </c>
      <c r="C442" t="s">
        <v>768</v>
      </c>
      <c r="D442" t="s">
        <v>168</v>
      </c>
      <c r="E442">
        <v>11</v>
      </c>
      <c r="F442">
        <v>547</v>
      </c>
      <c r="G442">
        <v>14443</v>
      </c>
      <c r="H442">
        <v>4652</v>
      </c>
      <c r="I442">
        <v>1605</v>
      </c>
      <c r="J442">
        <v>3330</v>
      </c>
      <c r="K442">
        <v>0.39300000000000002</v>
      </c>
      <c r="L442">
        <v>0.29899999999999999</v>
      </c>
      <c r="M442">
        <v>0.71599999999999997</v>
      </c>
      <c r="N442">
        <v>17.2</v>
      </c>
      <c r="O442">
        <v>5.7000000000000002E-2</v>
      </c>
      <c r="P442">
        <v>2001</v>
      </c>
      <c r="Q442">
        <v>26.4</v>
      </c>
      <c r="R442">
        <v>8.5</v>
      </c>
      <c r="S442">
        <v>2.9</v>
      </c>
      <c r="T442">
        <v>6.1</v>
      </c>
      <c r="U442">
        <v>1</v>
      </c>
      <c r="V442">
        <v>27</v>
      </c>
      <c r="W442">
        <f>IF(nba_draft[[#This Row],[years_played]]&gt;5,1,0)</f>
        <v>1</v>
      </c>
    </row>
    <row r="443" spans="1:23" x14ac:dyDescent="0.25">
      <c r="A443">
        <v>23</v>
      </c>
      <c r="B443" t="s">
        <v>40</v>
      </c>
      <c r="C443" t="s">
        <v>1186</v>
      </c>
      <c r="D443" t="s">
        <v>97</v>
      </c>
      <c r="E443">
        <v>10</v>
      </c>
      <c r="F443">
        <v>588</v>
      </c>
      <c r="G443">
        <v>11959</v>
      </c>
      <c r="H443">
        <v>4642</v>
      </c>
      <c r="I443">
        <v>2355</v>
      </c>
      <c r="J443">
        <v>662</v>
      </c>
      <c r="K443">
        <v>0.45400000000000001</v>
      </c>
      <c r="L443">
        <v>0.36799999999999999</v>
      </c>
      <c r="M443">
        <v>0.67800000000000005</v>
      </c>
      <c r="N443">
        <v>19.600000000000001</v>
      </c>
      <c r="O443">
        <v>7.8E-2</v>
      </c>
      <c r="P443">
        <v>2009</v>
      </c>
      <c r="Q443">
        <v>20.3</v>
      </c>
      <c r="R443">
        <v>7.9</v>
      </c>
      <c r="S443">
        <v>4</v>
      </c>
      <c r="T443">
        <v>1.1000000000000001</v>
      </c>
      <c r="U443">
        <v>1</v>
      </c>
      <c r="V443">
        <v>23</v>
      </c>
      <c r="W443">
        <f>IF(nba_draft[[#This Row],[years_played]]&gt;5,1,0)</f>
        <v>1</v>
      </c>
    </row>
    <row r="444" spans="1:23" x14ac:dyDescent="0.25">
      <c r="A444">
        <v>45</v>
      </c>
      <c r="B444" t="s">
        <v>95</v>
      </c>
      <c r="C444" t="s">
        <v>889</v>
      </c>
      <c r="D444" t="s">
        <v>84</v>
      </c>
      <c r="E444">
        <v>12</v>
      </c>
      <c r="F444">
        <v>792</v>
      </c>
      <c r="G444">
        <v>13356</v>
      </c>
      <c r="H444">
        <v>4632</v>
      </c>
      <c r="I444">
        <v>2371</v>
      </c>
      <c r="J444">
        <v>552</v>
      </c>
      <c r="K444">
        <v>0.46400000000000002</v>
      </c>
      <c r="L444">
        <v>0.41399999999999998</v>
      </c>
      <c r="M444">
        <v>0.78</v>
      </c>
      <c r="N444">
        <v>38.5</v>
      </c>
      <c r="O444">
        <v>0.13800000000000001</v>
      </c>
      <c r="P444">
        <v>2003</v>
      </c>
      <c r="Q444">
        <v>16.899999999999999</v>
      </c>
      <c r="R444">
        <v>5.8</v>
      </c>
      <c r="S444">
        <v>3</v>
      </c>
      <c r="T444">
        <v>0.7</v>
      </c>
      <c r="U444">
        <v>2</v>
      </c>
      <c r="V444">
        <v>16</v>
      </c>
      <c r="W444">
        <f>IF(nba_draft[[#This Row],[years_played]]&gt;5,1,0)</f>
        <v>1</v>
      </c>
    </row>
    <row r="445" spans="1:23" x14ac:dyDescent="0.25">
      <c r="A445">
        <v>11</v>
      </c>
      <c r="B445" t="s">
        <v>52</v>
      </c>
      <c r="C445" t="s">
        <v>856</v>
      </c>
      <c r="D445" t="s">
        <v>97</v>
      </c>
      <c r="E445">
        <v>10</v>
      </c>
      <c r="F445">
        <v>557</v>
      </c>
      <c r="G445">
        <v>11950</v>
      </c>
      <c r="H445">
        <v>4629</v>
      </c>
      <c r="I445">
        <v>1723</v>
      </c>
      <c r="J445">
        <v>445</v>
      </c>
      <c r="K445">
        <v>0.42499999999999999</v>
      </c>
      <c r="L445">
        <v>0.35499999999999998</v>
      </c>
      <c r="M445">
        <v>0.66500000000000004</v>
      </c>
      <c r="N445">
        <v>19.7</v>
      </c>
      <c r="O445">
        <v>7.9000000000000001E-2</v>
      </c>
      <c r="P445">
        <v>2003</v>
      </c>
      <c r="Q445">
        <v>21.5</v>
      </c>
      <c r="R445">
        <v>8.3000000000000007</v>
      </c>
      <c r="S445">
        <v>3.1</v>
      </c>
      <c r="T445">
        <v>0.8</v>
      </c>
      <c r="U445">
        <v>1</v>
      </c>
      <c r="V445">
        <v>11</v>
      </c>
      <c r="W445">
        <f>IF(nba_draft[[#This Row],[years_played]]&gt;5,1,0)</f>
        <v>1</v>
      </c>
    </row>
    <row r="446" spans="1:23" x14ac:dyDescent="0.25">
      <c r="A446">
        <v>23</v>
      </c>
      <c r="B446" t="s">
        <v>104</v>
      </c>
      <c r="C446" t="s">
        <v>1464</v>
      </c>
      <c r="D446" t="s">
        <v>87</v>
      </c>
      <c r="E446">
        <v>8</v>
      </c>
      <c r="F446">
        <v>437</v>
      </c>
      <c r="G446">
        <v>10863</v>
      </c>
      <c r="H446">
        <v>4622</v>
      </c>
      <c r="I446">
        <v>1151</v>
      </c>
      <c r="J446">
        <v>729</v>
      </c>
      <c r="K446">
        <v>0.41899999999999998</v>
      </c>
      <c r="L446">
        <v>0.36399999999999999</v>
      </c>
      <c r="M446">
        <v>0.84099999999999997</v>
      </c>
      <c r="N446">
        <v>17.2</v>
      </c>
      <c r="O446">
        <v>7.5999999999999998E-2</v>
      </c>
      <c r="P446">
        <v>2014</v>
      </c>
      <c r="Q446">
        <v>24.9</v>
      </c>
      <c r="R446">
        <v>10.6</v>
      </c>
      <c r="S446">
        <v>2.6</v>
      </c>
      <c r="T446">
        <v>1.7</v>
      </c>
      <c r="U446">
        <v>1</v>
      </c>
      <c r="V446">
        <v>23</v>
      </c>
      <c r="W446">
        <f>IF(nba_draft[[#This Row],[years_played]]&gt;5,1,0)</f>
        <v>1</v>
      </c>
    </row>
    <row r="447" spans="1:23" x14ac:dyDescent="0.25">
      <c r="A447">
        <v>40</v>
      </c>
      <c r="B447" t="s">
        <v>127</v>
      </c>
      <c r="C447" t="s">
        <v>1256</v>
      </c>
      <c r="D447" t="s">
        <v>310</v>
      </c>
      <c r="E447">
        <v>10</v>
      </c>
      <c r="F447">
        <v>538</v>
      </c>
      <c r="G447">
        <v>12409</v>
      </c>
      <c r="H447">
        <v>4605</v>
      </c>
      <c r="I447">
        <v>2215</v>
      </c>
      <c r="J447">
        <v>1566</v>
      </c>
      <c r="K447">
        <v>0.44400000000000001</v>
      </c>
      <c r="L447">
        <v>0.311</v>
      </c>
      <c r="M447">
        <v>0.69199999999999995</v>
      </c>
      <c r="N447">
        <v>17.3</v>
      </c>
      <c r="O447">
        <v>6.7000000000000004E-2</v>
      </c>
      <c r="P447">
        <v>2010</v>
      </c>
      <c r="Q447">
        <v>23.1</v>
      </c>
      <c r="R447">
        <v>8.6</v>
      </c>
      <c r="S447">
        <v>4.0999999999999996</v>
      </c>
      <c r="T447">
        <v>2.9</v>
      </c>
      <c r="U447">
        <v>2</v>
      </c>
      <c r="V447">
        <v>10</v>
      </c>
      <c r="W447">
        <f>IF(nba_draft[[#This Row],[years_played]]&gt;5,1,0)</f>
        <v>1</v>
      </c>
    </row>
    <row r="448" spans="1:23" x14ac:dyDescent="0.25">
      <c r="A448">
        <v>19</v>
      </c>
      <c r="B448" t="s">
        <v>46</v>
      </c>
      <c r="C448" t="s">
        <v>915</v>
      </c>
      <c r="D448" t="s">
        <v>97</v>
      </c>
      <c r="E448">
        <v>11</v>
      </c>
      <c r="F448">
        <v>549</v>
      </c>
      <c r="G448">
        <v>12280</v>
      </c>
      <c r="H448">
        <v>4597</v>
      </c>
      <c r="I448">
        <v>2093</v>
      </c>
      <c r="J448">
        <v>850</v>
      </c>
      <c r="K448">
        <v>0.42399999999999999</v>
      </c>
      <c r="L448">
        <v>0.36499999999999999</v>
      </c>
      <c r="M448">
        <v>0.80600000000000005</v>
      </c>
      <c r="N448">
        <v>25.9</v>
      </c>
      <c r="O448">
        <v>0.10100000000000001</v>
      </c>
      <c r="P448">
        <v>2004</v>
      </c>
      <c r="Q448">
        <v>22.4</v>
      </c>
      <c r="R448">
        <v>8.4</v>
      </c>
      <c r="S448">
        <v>3.8</v>
      </c>
      <c r="T448">
        <v>1.5</v>
      </c>
      <c r="U448">
        <v>1</v>
      </c>
      <c r="V448">
        <v>19</v>
      </c>
      <c r="W448">
        <f>IF(nba_draft[[#This Row],[years_played]]&gt;5,1,0)</f>
        <v>1</v>
      </c>
    </row>
    <row r="449" spans="1:23" x14ac:dyDescent="0.25">
      <c r="A449">
        <v>33</v>
      </c>
      <c r="B449" t="s">
        <v>138</v>
      </c>
      <c r="C449" t="s">
        <v>1474</v>
      </c>
      <c r="D449" t="s">
        <v>232</v>
      </c>
      <c r="E449">
        <v>8</v>
      </c>
      <c r="F449">
        <v>414</v>
      </c>
      <c r="G449">
        <v>10601</v>
      </c>
      <c r="H449">
        <v>4584</v>
      </c>
      <c r="I449">
        <v>1344</v>
      </c>
      <c r="J449">
        <v>679</v>
      </c>
      <c r="K449">
        <v>0.48299999999999998</v>
      </c>
      <c r="L449">
        <v>0.439</v>
      </c>
      <c r="M449">
        <v>0.78</v>
      </c>
      <c r="N449">
        <v>20.5</v>
      </c>
      <c r="O449">
        <v>9.2999999999999999E-2</v>
      </c>
      <c r="P449">
        <v>2014</v>
      </c>
      <c r="Q449">
        <v>25.6</v>
      </c>
      <c r="R449">
        <v>11.1</v>
      </c>
      <c r="S449">
        <v>3.2</v>
      </c>
      <c r="T449">
        <v>1.6</v>
      </c>
      <c r="U449">
        <v>2</v>
      </c>
      <c r="V449">
        <v>3</v>
      </c>
      <c r="W449">
        <f>IF(nba_draft[[#This Row],[years_played]]&gt;5,1,0)</f>
        <v>1</v>
      </c>
    </row>
    <row r="450" spans="1:23" x14ac:dyDescent="0.25">
      <c r="A450">
        <v>2</v>
      </c>
      <c r="B450" t="s">
        <v>393</v>
      </c>
      <c r="C450" t="s">
        <v>684</v>
      </c>
      <c r="D450" t="s">
        <v>30</v>
      </c>
      <c r="E450">
        <v>9</v>
      </c>
      <c r="F450">
        <v>547</v>
      </c>
      <c r="G450">
        <v>10804</v>
      </c>
      <c r="H450">
        <v>4582</v>
      </c>
      <c r="I450">
        <v>2535</v>
      </c>
      <c r="J450">
        <v>275</v>
      </c>
      <c r="K450">
        <v>0.47299999999999998</v>
      </c>
      <c r="L450">
        <v>7.3999999999999996E-2</v>
      </c>
      <c r="M450">
        <v>0.69899999999999995</v>
      </c>
      <c r="N450">
        <v>21.3</v>
      </c>
      <c r="O450">
        <v>9.5000000000000001E-2</v>
      </c>
      <c r="P450">
        <v>2000</v>
      </c>
      <c r="Q450">
        <v>19.8</v>
      </c>
      <c r="R450">
        <v>8.4</v>
      </c>
      <c r="S450">
        <v>4.5999999999999996</v>
      </c>
      <c r="T450">
        <v>0.5</v>
      </c>
      <c r="U450">
        <v>1</v>
      </c>
      <c r="V450">
        <v>2</v>
      </c>
      <c r="W450">
        <f>IF(nba_draft[[#This Row],[years_played]]&gt;5,1,0)</f>
        <v>1</v>
      </c>
    </row>
    <row r="451" spans="1:23" x14ac:dyDescent="0.25">
      <c r="A451">
        <v>30</v>
      </c>
      <c r="B451" t="s">
        <v>31</v>
      </c>
      <c r="C451" t="s">
        <v>927</v>
      </c>
      <c r="D451" t="s">
        <v>97</v>
      </c>
      <c r="E451">
        <v>14</v>
      </c>
      <c r="F451">
        <v>632</v>
      </c>
      <c r="G451">
        <v>15087</v>
      </c>
      <c r="H451">
        <v>4574</v>
      </c>
      <c r="I451">
        <v>4531</v>
      </c>
      <c r="J451">
        <v>737</v>
      </c>
      <c r="K451">
        <v>0.50900000000000001</v>
      </c>
      <c r="L451">
        <v>2.3E-2</v>
      </c>
      <c r="M451">
        <v>0.63</v>
      </c>
      <c r="N451">
        <v>46.4</v>
      </c>
      <c r="O451">
        <v>0.14799999999999999</v>
      </c>
      <c r="P451">
        <v>2004</v>
      </c>
      <c r="Q451">
        <v>23.9</v>
      </c>
      <c r="R451">
        <v>7.2</v>
      </c>
      <c r="S451">
        <v>7.2</v>
      </c>
      <c r="T451">
        <v>1.2</v>
      </c>
      <c r="U451">
        <v>2</v>
      </c>
      <c r="V451">
        <v>1</v>
      </c>
      <c r="W451">
        <f>IF(nba_draft[[#This Row],[years_played]]&gt;5,1,0)</f>
        <v>1</v>
      </c>
    </row>
    <row r="452" spans="1:23" x14ac:dyDescent="0.25">
      <c r="A452">
        <v>10</v>
      </c>
      <c r="B452" t="s">
        <v>31</v>
      </c>
      <c r="C452" t="s">
        <v>156</v>
      </c>
      <c r="D452" t="s">
        <v>117</v>
      </c>
      <c r="E452">
        <v>8</v>
      </c>
      <c r="F452">
        <v>413</v>
      </c>
      <c r="G452">
        <v>10004</v>
      </c>
      <c r="H452">
        <v>4536</v>
      </c>
      <c r="I452">
        <v>2564</v>
      </c>
      <c r="J452">
        <v>440</v>
      </c>
      <c r="K452">
        <v>0.52800000000000002</v>
      </c>
      <c r="L452">
        <v>0.14299999999999999</v>
      </c>
      <c r="M452">
        <v>0.69099999999999995</v>
      </c>
      <c r="N452">
        <v>22.8</v>
      </c>
      <c r="O452">
        <v>0.109</v>
      </c>
      <c r="P452">
        <v>1991</v>
      </c>
      <c r="Q452">
        <v>24.2</v>
      </c>
      <c r="R452">
        <v>11</v>
      </c>
      <c r="S452">
        <v>6.2</v>
      </c>
      <c r="T452">
        <v>1.1000000000000001</v>
      </c>
      <c r="U452">
        <v>1</v>
      </c>
      <c r="V452">
        <v>10</v>
      </c>
      <c r="W452">
        <f>IF(nba_draft[[#This Row],[years_played]]&gt;5,1,0)</f>
        <v>1</v>
      </c>
    </row>
    <row r="453" spans="1:23" x14ac:dyDescent="0.25">
      <c r="A453">
        <v>3</v>
      </c>
      <c r="B453" t="s">
        <v>43</v>
      </c>
      <c r="C453" t="s">
        <v>685</v>
      </c>
      <c r="D453" t="s">
        <v>97</v>
      </c>
      <c r="E453">
        <v>7</v>
      </c>
      <c r="F453">
        <v>446</v>
      </c>
      <c r="G453">
        <v>11730</v>
      </c>
      <c r="H453">
        <v>4507</v>
      </c>
      <c r="I453">
        <v>2190</v>
      </c>
      <c r="J453">
        <v>840</v>
      </c>
      <c r="K453">
        <v>0.47199999999999998</v>
      </c>
      <c r="L453">
        <v>0.16800000000000001</v>
      </c>
      <c r="M453">
        <v>0.59</v>
      </c>
      <c r="N453">
        <v>9.5</v>
      </c>
      <c r="O453">
        <v>3.9E-2</v>
      </c>
      <c r="P453">
        <v>2000</v>
      </c>
      <c r="Q453">
        <v>26.3</v>
      </c>
      <c r="R453">
        <v>10.1</v>
      </c>
      <c r="S453">
        <v>4.9000000000000004</v>
      </c>
      <c r="T453">
        <v>1.9</v>
      </c>
      <c r="U453">
        <v>1</v>
      </c>
      <c r="V453">
        <v>3</v>
      </c>
      <c r="W453">
        <f>IF(nba_draft[[#This Row],[years_played]]&gt;5,1,0)</f>
        <v>1</v>
      </c>
    </row>
    <row r="454" spans="1:23" x14ac:dyDescent="0.25">
      <c r="A454">
        <v>42</v>
      </c>
      <c r="B454" t="s">
        <v>90</v>
      </c>
      <c r="C454" t="s">
        <v>1205</v>
      </c>
      <c r="D454" t="s">
        <v>222</v>
      </c>
      <c r="E454">
        <v>10</v>
      </c>
      <c r="F454">
        <v>508</v>
      </c>
      <c r="G454">
        <v>13990</v>
      </c>
      <c r="H454">
        <v>4489</v>
      </c>
      <c r="I454">
        <v>2179</v>
      </c>
      <c r="J454">
        <v>1766</v>
      </c>
      <c r="K454">
        <v>0.41399999999999998</v>
      </c>
      <c r="L454">
        <v>0.378</v>
      </c>
      <c r="M454">
        <v>0.75700000000000001</v>
      </c>
      <c r="N454">
        <v>33.299999999999997</v>
      </c>
      <c r="O454">
        <v>0.114</v>
      </c>
      <c r="P454">
        <v>2009</v>
      </c>
      <c r="Q454">
        <v>27.5</v>
      </c>
      <c r="R454">
        <v>8.8000000000000007</v>
      </c>
      <c r="S454">
        <v>4.3</v>
      </c>
      <c r="T454">
        <v>3.5</v>
      </c>
      <c r="U454">
        <v>2</v>
      </c>
      <c r="V454">
        <v>12</v>
      </c>
      <c r="W454">
        <f>IF(nba_draft[[#This Row],[years_played]]&gt;5,1,0)</f>
        <v>1</v>
      </c>
    </row>
    <row r="455" spans="1:23" x14ac:dyDescent="0.25">
      <c r="A455">
        <v>21</v>
      </c>
      <c r="B455" t="s">
        <v>22</v>
      </c>
      <c r="C455" t="s">
        <v>530</v>
      </c>
      <c r="D455" t="s">
        <v>531</v>
      </c>
      <c r="E455">
        <v>9</v>
      </c>
      <c r="F455">
        <v>494</v>
      </c>
      <c r="G455">
        <v>13752</v>
      </c>
      <c r="H455">
        <v>4478</v>
      </c>
      <c r="I455">
        <v>1574</v>
      </c>
      <c r="J455">
        <v>1129</v>
      </c>
      <c r="K455">
        <v>0.44400000000000001</v>
      </c>
      <c r="L455">
        <v>0.40400000000000003</v>
      </c>
      <c r="M455">
        <v>0.79400000000000004</v>
      </c>
      <c r="N455">
        <v>24.5</v>
      </c>
      <c r="O455">
        <v>8.5000000000000006E-2</v>
      </c>
      <c r="P455">
        <v>1997</v>
      </c>
      <c r="Q455">
        <v>27.8</v>
      </c>
      <c r="R455">
        <v>9.1</v>
      </c>
      <c r="S455">
        <v>3.2</v>
      </c>
      <c r="T455">
        <v>2.2999999999999998</v>
      </c>
      <c r="U455">
        <v>1</v>
      </c>
      <c r="V455">
        <v>21</v>
      </c>
      <c r="W455">
        <f>IF(nba_draft[[#This Row],[years_played]]&gt;5,1,0)</f>
        <v>1</v>
      </c>
    </row>
    <row r="456" spans="1:23" x14ac:dyDescent="0.25">
      <c r="A456">
        <v>12</v>
      </c>
      <c r="B456" t="s">
        <v>127</v>
      </c>
      <c r="C456" t="s">
        <v>520</v>
      </c>
      <c r="D456" t="s">
        <v>175</v>
      </c>
      <c r="E456">
        <v>12</v>
      </c>
      <c r="F456">
        <v>659</v>
      </c>
      <c r="G456">
        <v>11480</v>
      </c>
      <c r="H456">
        <v>4475</v>
      </c>
      <c r="I456">
        <v>2649</v>
      </c>
      <c r="J456">
        <v>627</v>
      </c>
      <c r="K456">
        <v>0.40699999999999997</v>
      </c>
      <c r="L456">
        <v>0.34</v>
      </c>
      <c r="M456">
        <v>0.86099999999999999</v>
      </c>
      <c r="N456">
        <v>27.6</v>
      </c>
      <c r="O456">
        <v>0.115</v>
      </c>
      <c r="P456">
        <v>1997</v>
      </c>
      <c r="Q456">
        <v>17.399999999999999</v>
      </c>
      <c r="R456">
        <v>6.8</v>
      </c>
      <c r="S456">
        <v>4</v>
      </c>
      <c r="T456">
        <v>1</v>
      </c>
      <c r="U456">
        <v>1</v>
      </c>
      <c r="V456">
        <v>12</v>
      </c>
      <c r="W456">
        <f>IF(nba_draft[[#This Row],[years_played]]&gt;5,1,0)</f>
        <v>1</v>
      </c>
    </row>
    <row r="457" spans="1:23" x14ac:dyDescent="0.25">
      <c r="A457">
        <v>21</v>
      </c>
      <c r="B457" t="s">
        <v>104</v>
      </c>
      <c r="C457" t="s">
        <v>1408</v>
      </c>
      <c r="D457" t="s">
        <v>39</v>
      </c>
      <c r="E457">
        <v>9</v>
      </c>
      <c r="F457">
        <v>590</v>
      </c>
      <c r="G457">
        <v>12228</v>
      </c>
      <c r="H457">
        <v>4448</v>
      </c>
      <c r="I457">
        <v>3418</v>
      </c>
      <c r="J457">
        <v>779</v>
      </c>
      <c r="K457">
        <v>0.5</v>
      </c>
      <c r="L457">
        <v>0.36499999999999999</v>
      </c>
      <c r="M457">
        <v>0.79100000000000004</v>
      </c>
      <c r="N457">
        <v>30.5</v>
      </c>
      <c r="O457">
        <v>0.12</v>
      </c>
      <c r="P457">
        <v>2013</v>
      </c>
      <c r="Q457">
        <v>20.7</v>
      </c>
      <c r="R457">
        <v>7.5</v>
      </c>
      <c r="S457">
        <v>5.8</v>
      </c>
      <c r="T457">
        <v>1.3</v>
      </c>
      <c r="U457">
        <v>1</v>
      </c>
      <c r="V457">
        <v>21</v>
      </c>
      <c r="W457">
        <f>IF(nba_draft[[#This Row],[years_played]]&gt;5,1,0)</f>
        <v>1</v>
      </c>
    </row>
    <row r="458" spans="1:23" x14ac:dyDescent="0.25">
      <c r="A458">
        <v>20</v>
      </c>
      <c r="B458" t="s">
        <v>127</v>
      </c>
      <c r="C458" t="s">
        <v>1560</v>
      </c>
      <c r="D458" t="s">
        <v>51</v>
      </c>
      <c r="E458">
        <v>6</v>
      </c>
      <c r="F458">
        <v>303</v>
      </c>
      <c r="G458">
        <v>8318</v>
      </c>
      <c r="H458">
        <v>4444</v>
      </c>
      <c r="I458">
        <v>1158</v>
      </c>
      <c r="J458">
        <v>1197</v>
      </c>
      <c r="K458">
        <v>0.436</v>
      </c>
      <c r="L458">
        <v>0.33300000000000002</v>
      </c>
      <c r="M458">
        <v>0.73699999999999999</v>
      </c>
      <c r="N458">
        <v>11.6</v>
      </c>
      <c r="O458">
        <v>6.7000000000000004E-2</v>
      </c>
      <c r="P458">
        <v>2016</v>
      </c>
      <c r="Q458">
        <v>27.5</v>
      </c>
      <c r="R458">
        <v>14.7</v>
      </c>
      <c r="S458">
        <v>3.8</v>
      </c>
      <c r="T458">
        <v>4</v>
      </c>
      <c r="U458">
        <v>1</v>
      </c>
      <c r="V458">
        <v>20</v>
      </c>
      <c r="W458">
        <f>IF(nba_draft[[#This Row],[years_played]]&gt;5,1,0)</f>
        <v>1</v>
      </c>
    </row>
    <row r="459" spans="1:23" x14ac:dyDescent="0.25">
      <c r="A459">
        <v>39</v>
      </c>
      <c r="B459" t="s">
        <v>40</v>
      </c>
      <c r="C459" t="s">
        <v>550</v>
      </c>
      <c r="D459" t="s">
        <v>551</v>
      </c>
      <c r="E459">
        <v>13</v>
      </c>
      <c r="F459">
        <v>793</v>
      </c>
      <c r="G459">
        <v>15552</v>
      </c>
      <c r="H459">
        <v>4432</v>
      </c>
      <c r="I459">
        <v>1358</v>
      </c>
      <c r="J459">
        <v>2274</v>
      </c>
      <c r="K459">
        <v>0.41399999999999998</v>
      </c>
      <c r="L459">
        <v>0.35599999999999998</v>
      </c>
      <c r="M459">
        <v>0.745</v>
      </c>
      <c r="N459">
        <v>23.2</v>
      </c>
      <c r="O459">
        <v>7.1999999999999995E-2</v>
      </c>
      <c r="P459">
        <v>1997</v>
      </c>
      <c r="Q459">
        <v>19.600000000000001</v>
      </c>
      <c r="R459">
        <v>5.6</v>
      </c>
      <c r="S459">
        <v>1.7</v>
      </c>
      <c r="T459">
        <v>2.9</v>
      </c>
      <c r="U459">
        <v>2</v>
      </c>
      <c r="V459">
        <v>11</v>
      </c>
      <c r="W459">
        <f>IF(nba_draft[[#This Row],[years_played]]&gt;5,1,0)</f>
        <v>1</v>
      </c>
    </row>
    <row r="460" spans="1:23" x14ac:dyDescent="0.25">
      <c r="A460">
        <v>1</v>
      </c>
      <c r="B460" t="s">
        <v>102</v>
      </c>
      <c r="C460" t="s">
        <v>1541</v>
      </c>
      <c r="D460" t="s">
        <v>30</v>
      </c>
      <c r="E460">
        <v>4</v>
      </c>
      <c r="F460">
        <v>275</v>
      </c>
      <c r="G460">
        <v>9326</v>
      </c>
      <c r="H460">
        <v>4382</v>
      </c>
      <c r="I460">
        <v>2217</v>
      </c>
      <c r="J460">
        <v>2127</v>
      </c>
      <c r="K460">
        <v>0.56000000000000005</v>
      </c>
      <c r="L460">
        <v>0.14699999999999999</v>
      </c>
      <c r="M460">
        <v>0.59699999999999998</v>
      </c>
      <c r="N460">
        <v>30.4</v>
      </c>
      <c r="O460">
        <v>0.156</v>
      </c>
      <c r="P460">
        <v>2016</v>
      </c>
      <c r="Q460">
        <v>33.9</v>
      </c>
      <c r="R460">
        <v>15.9</v>
      </c>
      <c r="S460">
        <v>8.1</v>
      </c>
      <c r="T460">
        <v>7.7</v>
      </c>
      <c r="U460">
        <v>1</v>
      </c>
      <c r="V460">
        <v>1</v>
      </c>
      <c r="W460">
        <f>IF(nba_draft[[#This Row],[years_played]]&gt;5,1,0)</f>
        <v>0</v>
      </c>
    </row>
    <row r="461" spans="1:23" x14ac:dyDescent="0.25">
      <c r="A461">
        <v>37</v>
      </c>
      <c r="B461" t="s">
        <v>63</v>
      </c>
      <c r="C461" t="s">
        <v>1147</v>
      </c>
      <c r="D461" t="s">
        <v>113</v>
      </c>
      <c r="E461">
        <v>12</v>
      </c>
      <c r="F461">
        <v>689</v>
      </c>
      <c r="G461">
        <v>16038</v>
      </c>
      <c r="H461">
        <v>4380</v>
      </c>
      <c r="I461">
        <v>2800</v>
      </c>
      <c r="J461">
        <v>588</v>
      </c>
      <c r="K461">
        <v>0.45400000000000001</v>
      </c>
      <c r="L461">
        <v>0.33400000000000002</v>
      </c>
      <c r="M461">
        <v>0.65900000000000003</v>
      </c>
      <c r="N461">
        <v>26</v>
      </c>
      <c r="O461">
        <v>7.8E-2</v>
      </c>
      <c r="P461">
        <v>2008</v>
      </c>
      <c r="Q461">
        <v>23.3</v>
      </c>
      <c r="R461">
        <v>6.4</v>
      </c>
      <c r="S461">
        <v>4.0999999999999996</v>
      </c>
      <c r="T461">
        <v>0.9</v>
      </c>
      <c r="U461">
        <v>2</v>
      </c>
      <c r="V461">
        <v>7</v>
      </c>
      <c r="W461">
        <f>IF(nba_draft[[#This Row],[years_played]]&gt;5,1,0)</f>
        <v>1</v>
      </c>
    </row>
    <row r="462" spans="1:23" x14ac:dyDescent="0.25">
      <c r="A462">
        <v>2</v>
      </c>
      <c r="B462" t="s">
        <v>63</v>
      </c>
      <c r="C462" t="s">
        <v>1443</v>
      </c>
      <c r="D462" t="s">
        <v>87</v>
      </c>
      <c r="E462">
        <v>8</v>
      </c>
      <c r="F462">
        <v>310</v>
      </c>
      <c r="G462">
        <v>8535</v>
      </c>
      <c r="H462">
        <v>4380</v>
      </c>
      <c r="I462">
        <v>1703</v>
      </c>
      <c r="J462">
        <v>610</v>
      </c>
      <c r="K462">
        <v>0.49399999999999999</v>
      </c>
      <c r="L462">
        <v>0.32600000000000001</v>
      </c>
      <c r="M462">
        <v>0.74299999999999999</v>
      </c>
      <c r="N462">
        <v>13.9</v>
      </c>
      <c r="O462">
        <v>7.8E-2</v>
      </c>
      <c r="P462">
        <v>2014</v>
      </c>
      <c r="Q462">
        <v>27.5</v>
      </c>
      <c r="R462">
        <v>14.1</v>
      </c>
      <c r="S462">
        <v>5.5</v>
      </c>
      <c r="T462">
        <v>2</v>
      </c>
      <c r="U462">
        <v>1</v>
      </c>
      <c r="V462">
        <v>2</v>
      </c>
      <c r="W462">
        <f>IF(nba_draft[[#This Row],[years_played]]&gt;5,1,0)</f>
        <v>1</v>
      </c>
    </row>
    <row r="463" spans="1:23" x14ac:dyDescent="0.25">
      <c r="A463">
        <v>11</v>
      </c>
      <c r="B463" t="s">
        <v>63</v>
      </c>
      <c r="C463" t="s">
        <v>400</v>
      </c>
      <c r="D463" t="s">
        <v>62</v>
      </c>
      <c r="E463">
        <v>9</v>
      </c>
      <c r="F463">
        <v>506</v>
      </c>
      <c r="G463">
        <v>9866</v>
      </c>
      <c r="H463">
        <v>4366</v>
      </c>
      <c r="I463">
        <v>2276</v>
      </c>
      <c r="J463">
        <v>504</v>
      </c>
      <c r="K463">
        <v>0.501</v>
      </c>
      <c r="L463">
        <v>0.08</v>
      </c>
      <c r="M463">
        <v>0.64300000000000002</v>
      </c>
      <c r="N463">
        <v>23.2</v>
      </c>
      <c r="O463">
        <v>0.113</v>
      </c>
      <c r="P463">
        <v>1995</v>
      </c>
      <c r="Q463">
        <v>19.5</v>
      </c>
      <c r="R463">
        <v>8.6</v>
      </c>
      <c r="S463">
        <v>4.5</v>
      </c>
      <c r="T463">
        <v>1</v>
      </c>
      <c r="U463">
        <v>1</v>
      </c>
      <c r="V463">
        <v>11</v>
      </c>
      <c r="W463">
        <f>IF(nba_draft[[#This Row],[years_played]]&gt;5,1,0)</f>
        <v>1</v>
      </c>
    </row>
    <row r="464" spans="1:23" x14ac:dyDescent="0.25">
      <c r="A464">
        <v>8</v>
      </c>
      <c r="B464" t="s">
        <v>138</v>
      </c>
      <c r="C464" t="s">
        <v>1659</v>
      </c>
      <c r="D464" t="s">
        <v>228</v>
      </c>
      <c r="E464">
        <v>4</v>
      </c>
      <c r="F464">
        <v>218</v>
      </c>
      <c r="G464">
        <v>7179</v>
      </c>
      <c r="H464">
        <v>4356</v>
      </c>
      <c r="I464">
        <v>663</v>
      </c>
      <c r="J464">
        <v>720</v>
      </c>
      <c r="K464">
        <v>0.45800000000000002</v>
      </c>
      <c r="L464">
        <v>0.378</v>
      </c>
      <c r="M464">
        <v>0.82699999999999996</v>
      </c>
      <c r="N464">
        <v>5.5</v>
      </c>
      <c r="O464">
        <v>3.6999999999999998E-2</v>
      </c>
      <c r="P464">
        <v>2018</v>
      </c>
      <c r="Q464">
        <v>32.9</v>
      </c>
      <c r="R464">
        <v>20</v>
      </c>
      <c r="S464">
        <v>3</v>
      </c>
      <c r="T464">
        <v>3.3</v>
      </c>
      <c r="U464">
        <v>1</v>
      </c>
      <c r="V464">
        <v>8</v>
      </c>
      <c r="W464">
        <f>IF(nba_draft[[#This Row],[years_played]]&gt;5,1,0)</f>
        <v>0</v>
      </c>
    </row>
    <row r="465" spans="1:23" x14ac:dyDescent="0.25">
      <c r="A465">
        <v>5</v>
      </c>
      <c r="B465" t="s">
        <v>75</v>
      </c>
      <c r="C465" t="s">
        <v>1391</v>
      </c>
      <c r="D465" t="s">
        <v>67</v>
      </c>
      <c r="E465">
        <v>9</v>
      </c>
      <c r="F465">
        <v>564</v>
      </c>
      <c r="G465">
        <v>10706</v>
      </c>
      <c r="H465">
        <v>4342</v>
      </c>
      <c r="I465">
        <v>3333</v>
      </c>
      <c r="J465">
        <v>485</v>
      </c>
      <c r="K465">
        <v>0.50700000000000001</v>
      </c>
      <c r="L465">
        <v>0.33100000000000002</v>
      </c>
      <c r="M465">
        <v>0.68300000000000005</v>
      </c>
      <c r="N465">
        <v>21.5</v>
      </c>
      <c r="O465">
        <v>9.7000000000000003E-2</v>
      </c>
      <c r="P465">
        <v>2013</v>
      </c>
      <c r="Q465">
        <v>19</v>
      </c>
      <c r="R465">
        <v>7.7</v>
      </c>
      <c r="S465">
        <v>5.9</v>
      </c>
      <c r="T465">
        <v>0.9</v>
      </c>
      <c r="U465">
        <v>1</v>
      </c>
      <c r="V465">
        <v>5</v>
      </c>
      <c r="W465">
        <f>IF(nba_draft[[#This Row],[years_played]]&gt;5,1,0)</f>
        <v>1</v>
      </c>
    </row>
    <row r="466" spans="1:23" x14ac:dyDescent="0.25">
      <c r="A466">
        <v>23</v>
      </c>
      <c r="B466" t="s">
        <v>40</v>
      </c>
      <c r="C466" t="s">
        <v>968</v>
      </c>
      <c r="D466" t="s">
        <v>39</v>
      </c>
      <c r="E466">
        <v>10</v>
      </c>
      <c r="F466">
        <v>549</v>
      </c>
      <c r="G466">
        <v>11853</v>
      </c>
      <c r="H466">
        <v>4323</v>
      </c>
      <c r="I466">
        <v>1400</v>
      </c>
      <c r="J466">
        <v>747</v>
      </c>
      <c r="K466">
        <v>0.42699999999999999</v>
      </c>
      <c r="L466">
        <v>0.35699999999999998</v>
      </c>
      <c r="M466">
        <v>0.79900000000000004</v>
      </c>
      <c r="N466">
        <v>18.2</v>
      </c>
      <c r="O466">
        <v>7.3999999999999996E-2</v>
      </c>
      <c r="P466">
        <v>2005</v>
      </c>
      <c r="Q466">
        <v>21.6</v>
      </c>
      <c r="R466">
        <v>7.9</v>
      </c>
      <c r="S466">
        <v>2.6</v>
      </c>
      <c r="T466">
        <v>1.4</v>
      </c>
      <c r="U466">
        <v>1</v>
      </c>
      <c r="V466">
        <v>23</v>
      </c>
      <c r="W466">
        <f>IF(nba_draft[[#This Row],[years_played]]&gt;5,1,0)</f>
        <v>1</v>
      </c>
    </row>
    <row r="467" spans="1:23" x14ac:dyDescent="0.25">
      <c r="A467">
        <v>13</v>
      </c>
      <c r="B467" t="s">
        <v>395</v>
      </c>
      <c r="C467" t="s">
        <v>1230</v>
      </c>
      <c r="D467" t="s">
        <v>179</v>
      </c>
      <c r="E467">
        <v>12</v>
      </c>
      <c r="F467">
        <v>710</v>
      </c>
      <c r="G467">
        <v>13697</v>
      </c>
      <c r="H467">
        <v>4284</v>
      </c>
      <c r="I467">
        <v>4596</v>
      </c>
      <c r="J467">
        <v>537</v>
      </c>
      <c r="K467">
        <v>0.56699999999999995</v>
      </c>
      <c r="L467">
        <v>0</v>
      </c>
      <c r="M467">
        <v>0.58399999999999996</v>
      </c>
      <c r="N467">
        <v>43.1</v>
      </c>
      <c r="O467">
        <v>0.151</v>
      </c>
      <c r="P467">
        <v>2010</v>
      </c>
      <c r="Q467">
        <v>19.3</v>
      </c>
      <c r="R467">
        <v>6</v>
      </c>
      <c r="S467">
        <v>6.5</v>
      </c>
      <c r="T467">
        <v>0.8</v>
      </c>
      <c r="U467">
        <v>1</v>
      </c>
      <c r="V467">
        <v>13</v>
      </c>
      <c r="W467">
        <f>IF(nba_draft[[#This Row],[years_played]]&gt;5,1,0)</f>
        <v>1</v>
      </c>
    </row>
    <row r="468" spans="1:23" x14ac:dyDescent="0.25">
      <c r="A468">
        <v>43</v>
      </c>
      <c r="B468" t="s">
        <v>63</v>
      </c>
      <c r="C468" t="s">
        <v>888</v>
      </c>
      <c r="D468" t="s">
        <v>282</v>
      </c>
      <c r="E468">
        <v>11</v>
      </c>
      <c r="F468">
        <v>671</v>
      </c>
      <c r="G468">
        <v>14527</v>
      </c>
      <c r="H468">
        <v>4257</v>
      </c>
      <c r="I468">
        <v>1817</v>
      </c>
      <c r="J468">
        <v>866</v>
      </c>
      <c r="K468">
        <v>0.39400000000000002</v>
      </c>
      <c r="L468">
        <v>0.35299999999999998</v>
      </c>
      <c r="M468">
        <v>0.71599999999999997</v>
      </c>
      <c r="N468">
        <v>20.399999999999999</v>
      </c>
      <c r="O468">
        <v>6.8000000000000005E-2</v>
      </c>
      <c r="P468">
        <v>2003</v>
      </c>
      <c r="Q468">
        <v>21.6</v>
      </c>
      <c r="R468">
        <v>6.3</v>
      </c>
      <c r="S468">
        <v>2.7</v>
      </c>
      <c r="T468">
        <v>1.3</v>
      </c>
      <c r="U468">
        <v>2</v>
      </c>
      <c r="V468">
        <v>14</v>
      </c>
      <c r="W468">
        <f>IF(nba_draft[[#This Row],[years_played]]&gt;5,1,0)</f>
        <v>1</v>
      </c>
    </row>
    <row r="469" spans="1:23" x14ac:dyDescent="0.25">
      <c r="A469">
        <v>15</v>
      </c>
      <c r="B469" t="s">
        <v>102</v>
      </c>
      <c r="C469" t="s">
        <v>1342</v>
      </c>
      <c r="D469" t="s">
        <v>77</v>
      </c>
      <c r="E469">
        <v>10</v>
      </c>
      <c r="F469">
        <v>615</v>
      </c>
      <c r="G469">
        <v>13971</v>
      </c>
      <c r="H469">
        <v>4250</v>
      </c>
      <c r="I469">
        <v>2191</v>
      </c>
      <c r="J469">
        <v>571</v>
      </c>
      <c r="K469">
        <v>0.47399999999999998</v>
      </c>
      <c r="L469">
        <v>0.32</v>
      </c>
      <c r="M469">
        <v>0.624</v>
      </c>
      <c r="N469">
        <v>22.9</v>
      </c>
      <c r="O469">
        <v>7.9000000000000001E-2</v>
      </c>
      <c r="P469">
        <v>2012</v>
      </c>
      <c r="Q469">
        <v>22.7</v>
      </c>
      <c r="R469">
        <v>6.9</v>
      </c>
      <c r="S469">
        <v>3.6</v>
      </c>
      <c r="T469">
        <v>0.9</v>
      </c>
      <c r="U469">
        <v>1</v>
      </c>
      <c r="V469">
        <v>15</v>
      </c>
      <c r="W469">
        <f>IF(nba_draft[[#This Row],[years_played]]&gt;5,1,0)</f>
        <v>1</v>
      </c>
    </row>
    <row r="470" spans="1:23" x14ac:dyDescent="0.25">
      <c r="A470">
        <v>43</v>
      </c>
      <c r="B470" t="s">
        <v>82</v>
      </c>
      <c r="C470" t="s">
        <v>124</v>
      </c>
      <c r="D470" t="s">
        <v>67</v>
      </c>
      <c r="E470">
        <v>13</v>
      </c>
      <c r="F470">
        <v>683</v>
      </c>
      <c r="G470">
        <v>12291</v>
      </c>
      <c r="H470">
        <v>4238</v>
      </c>
      <c r="I470">
        <v>2964</v>
      </c>
      <c r="J470">
        <v>266</v>
      </c>
      <c r="K470">
        <v>0.47</v>
      </c>
      <c r="L470">
        <v>9.0999999999999998E-2</v>
      </c>
      <c r="M470">
        <v>0.70499999999999996</v>
      </c>
      <c r="N470">
        <v>15.6</v>
      </c>
      <c r="O470">
        <v>6.0999999999999999E-2</v>
      </c>
      <c r="P470">
        <v>1990</v>
      </c>
      <c r="Q470">
        <v>18</v>
      </c>
      <c r="R470">
        <v>6.2</v>
      </c>
      <c r="S470">
        <v>4.3</v>
      </c>
      <c r="T470">
        <v>0.4</v>
      </c>
      <c r="U470">
        <v>2</v>
      </c>
      <c r="V470">
        <v>16</v>
      </c>
      <c r="W470">
        <f>IF(nba_draft[[#This Row],[years_played]]&gt;5,1,0)</f>
        <v>1</v>
      </c>
    </row>
    <row r="471" spans="1:23" x14ac:dyDescent="0.25">
      <c r="A471">
        <v>4</v>
      </c>
      <c r="B471" t="s">
        <v>37</v>
      </c>
      <c r="C471" t="s">
        <v>1220</v>
      </c>
      <c r="D471" t="s">
        <v>24</v>
      </c>
      <c r="E471">
        <v>9</v>
      </c>
      <c r="F471">
        <v>609</v>
      </c>
      <c r="G471">
        <v>13472</v>
      </c>
      <c r="H471">
        <v>4235</v>
      </c>
      <c r="I471">
        <v>1924</v>
      </c>
      <c r="J471">
        <v>645</v>
      </c>
      <c r="K471">
        <v>0.40400000000000003</v>
      </c>
      <c r="L471">
        <v>0.33700000000000002</v>
      </c>
      <c r="M471">
        <v>0.74099999999999999</v>
      </c>
      <c r="N471">
        <v>10.7</v>
      </c>
      <c r="O471">
        <v>3.7999999999999999E-2</v>
      </c>
      <c r="P471">
        <v>2010</v>
      </c>
      <c r="Q471">
        <v>22.1</v>
      </c>
      <c r="R471">
        <v>7</v>
      </c>
      <c r="S471">
        <v>3.2</v>
      </c>
      <c r="T471">
        <v>1.1000000000000001</v>
      </c>
      <c r="U471">
        <v>1</v>
      </c>
      <c r="V471">
        <v>4</v>
      </c>
      <c r="W471">
        <f>IF(nba_draft[[#This Row],[years_played]]&gt;5,1,0)</f>
        <v>1</v>
      </c>
    </row>
    <row r="472" spans="1:23" x14ac:dyDescent="0.25">
      <c r="A472">
        <v>27</v>
      </c>
      <c r="B472" t="s">
        <v>393</v>
      </c>
      <c r="C472" t="s">
        <v>873</v>
      </c>
      <c r="D472" t="s">
        <v>97</v>
      </c>
      <c r="E472">
        <v>14</v>
      </c>
      <c r="F472">
        <v>782</v>
      </c>
      <c r="G472">
        <v>17162</v>
      </c>
      <c r="H472">
        <v>4214</v>
      </c>
      <c r="I472">
        <v>4532</v>
      </c>
      <c r="J472">
        <v>813</v>
      </c>
      <c r="K472">
        <v>0.53</v>
      </c>
      <c r="L472">
        <v>0</v>
      </c>
      <c r="M472">
        <v>0.59399999999999997</v>
      </c>
      <c r="N472">
        <v>27.9</v>
      </c>
      <c r="O472">
        <v>7.8E-2</v>
      </c>
      <c r="P472">
        <v>2003</v>
      </c>
      <c r="Q472">
        <v>21.9</v>
      </c>
      <c r="R472">
        <v>5.4</v>
      </c>
      <c r="S472">
        <v>5.8</v>
      </c>
      <c r="T472">
        <v>1</v>
      </c>
      <c r="U472">
        <v>1</v>
      </c>
      <c r="V472">
        <v>27</v>
      </c>
      <c r="W472">
        <f>IF(nba_draft[[#This Row],[years_played]]&gt;5,1,0)</f>
        <v>1</v>
      </c>
    </row>
    <row r="473" spans="1:23" x14ac:dyDescent="0.25">
      <c r="A473">
        <v>24</v>
      </c>
      <c r="B473" t="s">
        <v>22</v>
      </c>
      <c r="C473" t="s">
        <v>815</v>
      </c>
      <c r="D473" t="s">
        <v>97</v>
      </c>
      <c r="E473">
        <v>7</v>
      </c>
      <c r="F473">
        <v>419</v>
      </c>
      <c r="G473">
        <v>10547</v>
      </c>
      <c r="H473">
        <v>4210</v>
      </c>
      <c r="I473">
        <v>2261</v>
      </c>
      <c r="J473">
        <v>346</v>
      </c>
      <c r="K473">
        <v>0.49399999999999999</v>
      </c>
      <c r="L473">
        <v>0.14299999999999999</v>
      </c>
      <c r="M473">
        <v>0.73</v>
      </c>
      <c r="N473">
        <v>21.5</v>
      </c>
      <c r="O473">
        <v>9.8000000000000004E-2</v>
      </c>
      <c r="P473">
        <v>2002</v>
      </c>
      <c r="Q473">
        <v>25.2</v>
      </c>
      <c r="R473">
        <v>10</v>
      </c>
      <c r="S473">
        <v>5.4</v>
      </c>
      <c r="T473">
        <v>0.8</v>
      </c>
      <c r="U473">
        <v>1</v>
      </c>
      <c r="V473">
        <v>24</v>
      </c>
      <c r="W473">
        <f>IF(nba_draft[[#This Row],[years_played]]&gt;5,1,0)</f>
        <v>1</v>
      </c>
    </row>
    <row r="474" spans="1:23" x14ac:dyDescent="0.25">
      <c r="A474">
        <v>4</v>
      </c>
      <c r="B474" t="s">
        <v>34</v>
      </c>
      <c r="C474" t="s">
        <v>1390</v>
      </c>
      <c r="D474" t="s">
        <v>285</v>
      </c>
      <c r="E474">
        <v>9</v>
      </c>
      <c r="F474">
        <v>494</v>
      </c>
      <c r="G474">
        <v>10973</v>
      </c>
      <c r="H474">
        <v>4202</v>
      </c>
      <c r="I474">
        <v>2949</v>
      </c>
      <c r="J474">
        <v>691</v>
      </c>
      <c r="K474">
        <v>0.52</v>
      </c>
      <c r="L474">
        <v>0.221</v>
      </c>
      <c r="M474">
        <v>0.73099999999999998</v>
      </c>
      <c r="N474">
        <v>32.200000000000003</v>
      </c>
      <c r="O474">
        <v>0.14099999999999999</v>
      </c>
      <c r="P474">
        <v>2013</v>
      </c>
      <c r="Q474">
        <v>22.2</v>
      </c>
      <c r="R474">
        <v>8.5</v>
      </c>
      <c r="S474">
        <v>6</v>
      </c>
      <c r="T474">
        <v>1.4</v>
      </c>
      <c r="U474">
        <v>1</v>
      </c>
      <c r="V474">
        <v>4</v>
      </c>
      <c r="W474">
        <f>IF(nba_draft[[#This Row],[years_played]]&gt;5,1,0)</f>
        <v>1</v>
      </c>
    </row>
    <row r="475" spans="1:23" x14ac:dyDescent="0.25">
      <c r="A475">
        <v>24</v>
      </c>
      <c r="B475" t="s">
        <v>70</v>
      </c>
      <c r="C475" t="s">
        <v>921</v>
      </c>
      <c r="D475" t="s">
        <v>917</v>
      </c>
      <c r="E475">
        <v>8</v>
      </c>
      <c r="F475">
        <v>432</v>
      </c>
      <c r="G475">
        <v>11842</v>
      </c>
      <c r="H475">
        <v>4198</v>
      </c>
      <c r="I475">
        <v>1265</v>
      </c>
      <c r="J475">
        <v>1540</v>
      </c>
      <c r="K475">
        <v>0.44800000000000001</v>
      </c>
      <c r="L475">
        <v>0.372</v>
      </c>
      <c r="M475">
        <v>0.82599999999999996</v>
      </c>
      <c r="N475">
        <v>24.5</v>
      </c>
      <c r="O475">
        <v>9.9000000000000005E-2</v>
      </c>
      <c r="P475">
        <v>2004</v>
      </c>
      <c r="Q475">
        <v>27.4</v>
      </c>
      <c r="R475">
        <v>9.6999999999999993</v>
      </c>
      <c r="S475">
        <v>2.9</v>
      </c>
      <c r="T475">
        <v>3.6</v>
      </c>
      <c r="U475">
        <v>1</v>
      </c>
      <c r="V475">
        <v>24</v>
      </c>
      <c r="W475">
        <f>IF(nba_draft[[#This Row],[years_played]]&gt;5,1,0)</f>
        <v>1</v>
      </c>
    </row>
    <row r="476" spans="1:23" x14ac:dyDescent="0.25">
      <c r="A476">
        <v>42</v>
      </c>
      <c r="B476" t="s">
        <v>25</v>
      </c>
      <c r="C476" t="s">
        <v>781</v>
      </c>
      <c r="D476" t="s">
        <v>701</v>
      </c>
      <c r="E476">
        <v>10</v>
      </c>
      <c r="F476">
        <v>466</v>
      </c>
      <c r="G476">
        <v>11513</v>
      </c>
      <c r="H476">
        <v>4189</v>
      </c>
      <c r="I476">
        <v>1791</v>
      </c>
      <c r="J476">
        <v>710</v>
      </c>
      <c r="K476">
        <v>0.437</v>
      </c>
      <c r="L476">
        <v>0.39600000000000002</v>
      </c>
      <c r="M476">
        <v>0.82299999999999995</v>
      </c>
      <c r="N476">
        <v>20.100000000000001</v>
      </c>
      <c r="O476">
        <v>8.4000000000000005E-2</v>
      </c>
      <c r="P476">
        <v>2001</v>
      </c>
      <c r="Q476">
        <v>24.7</v>
      </c>
      <c r="R476">
        <v>9</v>
      </c>
      <c r="S476">
        <v>3.8</v>
      </c>
      <c r="T476">
        <v>1.5</v>
      </c>
      <c r="U476">
        <v>2</v>
      </c>
      <c r="V476">
        <v>13</v>
      </c>
      <c r="W476">
        <f>IF(nba_draft[[#This Row],[years_played]]&gt;5,1,0)</f>
        <v>1</v>
      </c>
    </row>
    <row r="477" spans="1:23" x14ac:dyDescent="0.25">
      <c r="A477">
        <v>13</v>
      </c>
      <c r="B477" t="s">
        <v>85</v>
      </c>
      <c r="C477" t="s">
        <v>908</v>
      </c>
      <c r="D477" t="s">
        <v>97</v>
      </c>
      <c r="E477">
        <v>10</v>
      </c>
      <c r="F477">
        <v>564</v>
      </c>
      <c r="G477">
        <v>12149</v>
      </c>
      <c r="H477">
        <v>4183</v>
      </c>
      <c r="I477">
        <v>898</v>
      </c>
      <c r="J477">
        <v>1960</v>
      </c>
      <c r="K477">
        <v>0.39</v>
      </c>
      <c r="L477">
        <v>0.31900000000000001</v>
      </c>
      <c r="M477">
        <v>0.77700000000000002</v>
      </c>
      <c r="N477">
        <v>5</v>
      </c>
      <c r="O477">
        <v>0.02</v>
      </c>
      <c r="P477">
        <v>2004</v>
      </c>
      <c r="Q477">
        <v>21.5</v>
      </c>
      <c r="R477">
        <v>7.4</v>
      </c>
      <c r="S477">
        <v>1.6</v>
      </c>
      <c r="T477">
        <v>3.5</v>
      </c>
      <c r="U477">
        <v>1</v>
      </c>
      <c r="V477">
        <v>13</v>
      </c>
      <c r="W477">
        <f>IF(nba_draft[[#This Row],[years_played]]&gt;5,1,0)</f>
        <v>1</v>
      </c>
    </row>
    <row r="478" spans="1:23" x14ac:dyDescent="0.25">
      <c r="A478">
        <v>14</v>
      </c>
      <c r="B478" t="s">
        <v>46</v>
      </c>
      <c r="C478" t="s">
        <v>1609</v>
      </c>
      <c r="D478" t="s">
        <v>282</v>
      </c>
      <c r="E478">
        <v>5</v>
      </c>
      <c r="F478">
        <v>321</v>
      </c>
      <c r="G478">
        <v>8975</v>
      </c>
      <c r="H478">
        <v>4182</v>
      </c>
      <c r="I478">
        <v>2634</v>
      </c>
      <c r="J478">
        <v>1118</v>
      </c>
      <c r="K478">
        <v>0.55300000000000005</v>
      </c>
      <c r="L478">
        <v>0.14599999999999999</v>
      </c>
      <c r="M478">
        <v>0.74</v>
      </c>
      <c r="N478">
        <v>32.1</v>
      </c>
      <c r="O478">
        <v>0.17199999999999999</v>
      </c>
      <c r="P478">
        <v>2017</v>
      </c>
      <c r="Q478">
        <v>28</v>
      </c>
      <c r="R478">
        <v>13</v>
      </c>
      <c r="S478">
        <v>8.1999999999999993</v>
      </c>
      <c r="T478">
        <v>3.5</v>
      </c>
      <c r="U478">
        <v>1</v>
      </c>
      <c r="V478">
        <v>14</v>
      </c>
      <c r="W478">
        <f>IF(nba_draft[[#This Row],[years_played]]&gt;5,1,0)</f>
        <v>0</v>
      </c>
    </row>
    <row r="479" spans="1:23" x14ac:dyDescent="0.25">
      <c r="A479">
        <v>12</v>
      </c>
      <c r="B479" t="s">
        <v>31</v>
      </c>
      <c r="C479" t="s">
        <v>1453</v>
      </c>
      <c r="D479" t="s">
        <v>97</v>
      </c>
      <c r="E479">
        <v>5</v>
      </c>
      <c r="F479">
        <v>356</v>
      </c>
      <c r="G479">
        <v>8965</v>
      </c>
      <c r="H479">
        <v>4180</v>
      </c>
      <c r="I479">
        <v>2086</v>
      </c>
      <c r="J479">
        <v>699</v>
      </c>
      <c r="K479">
        <v>0.441</v>
      </c>
      <c r="L479">
        <v>0.35699999999999998</v>
      </c>
      <c r="M479">
        <v>0.83799999999999997</v>
      </c>
      <c r="N479">
        <v>16.399999999999999</v>
      </c>
      <c r="O479">
        <v>8.7999999999999995E-2</v>
      </c>
      <c r="P479">
        <v>2014</v>
      </c>
      <c r="Q479">
        <v>25.2</v>
      </c>
      <c r="R479">
        <v>11.7</v>
      </c>
      <c r="S479">
        <v>5.9</v>
      </c>
      <c r="T479">
        <v>2</v>
      </c>
      <c r="U479">
        <v>1</v>
      </c>
      <c r="V479">
        <v>12</v>
      </c>
      <c r="W479">
        <f>IF(nba_draft[[#This Row],[years_played]]&gt;5,1,0)</f>
        <v>0</v>
      </c>
    </row>
    <row r="480" spans="1:23" x14ac:dyDescent="0.25">
      <c r="A480">
        <v>47</v>
      </c>
      <c r="B480" t="s">
        <v>85</v>
      </c>
      <c r="C480" t="s">
        <v>558</v>
      </c>
      <c r="D480" t="s">
        <v>458</v>
      </c>
      <c r="E480">
        <v>9</v>
      </c>
      <c r="F480">
        <v>460</v>
      </c>
      <c r="G480">
        <v>12610</v>
      </c>
      <c r="H480">
        <v>4161</v>
      </c>
      <c r="I480">
        <v>1140</v>
      </c>
      <c r="J480">
        <v>1877</v>
      </c>
      <c r="K480">
        <v>0.42099999999999999</v>
      </c>
      <c r="L480">
        <v>0.313</v>
      </c>
      <c r="M480">
        <v>0.76</v>
      </c>
      <c r="N480">
        <v>21.7</v>
      </c>
      <c r="O480">
        <v>8.2000000000000003E-2</v>
      </c>
      <c r="P480">
        <v>1997</v>
      </c>
      <c r="Q480">
        <v>27.4</v>
      </c>
      <c r="R480">
        <v>9</v>
      </c>
      <c r="S480">
        <v>2.5</v>
      </c>
      <c r="T480">
        <v>4.0999999999999996</v>
      </c>
      <c r="U480">
        <v>2</v>
      </c>
      <c r="V480">
        <v>19</v>
      </c>
      <c r="W480">
        <f>IF(nba_draft[[#This Row],[years_played]]&gt;5,1,0)</f>
        <v>1</v>
      </c>
    </row>
    <row r="481" spans="1:23" x14ac:dyDescent="0.25">
      <c r="A481">
        <v>1</v>
      </c>
      <c r="B481" t="s">
        <v>43</v>
      </c>
      <c r="C481" t="s">
        <v>563</v>
      </c>
      <c r="D481" t="s">
        <v>564</v>
      </c>
      <c r="E481">
        <v>9</v>
      </c>
      <c r="F481">
        <v>500</v>
      </c>
      <c r="G481">
        <v>13129</v>
      </c>
      <c r="H481">
        <v>4135</v>
      </c>
      <c r="I481">
        <v>3414</v>
      </c>
      <c r="J481">
        <v>327</v>
      </c>
      <c r="K481">
        <v>0.435</v>
      </c>
      <c r="L481">
        <v>0</v>
      </c>
      <c r="M481">
        <v>0.59699999999999998</v>
      </c>
      <c r="N481">
        <v>2.5</v>
      </c>
      <c r="O481">
        <v>8.9999999999999993E-3</v>
      </c>
      <c r="P481">
        <v>1998</v>
      </c>
      <c r="Q481">
        <v>26.3</v>
      </c>
      <c r="R481">
        <v>8.3000000000000007</v>
      </c>
      <c r="S481">
        <v>6.8</v>
      </c>
      <c r="T481">
        <v>0.7</v>
      </c>
      <c r="U481">
        <v>1</v>
      </c>
      <c r="V481">
        <v>1</v>
      </c>
      <c r="W481">
        <f>IF(nba_draft[[#This Row],[years_played]]&gt;5,1,0)</f>
        <v>1</v>
      </c>
    </row>
    <row r="482" spans="1:23" x14ac:dyDescent="0.25">
      <c r="A482">
        <v>33</v>
      </c>
      <c r="B482" t="s">
        <v>85</v>
      </c>
      <c r="C482" t="s">
        <v>1197</v>
      </c>
      <c r="D482" t="s">
        <v>458</v>
      </c>
      <c r="E482">
        <v>10</v>
      </c>
      <c r="F482">
        <v>715</v>
      </c>
      <c r="G482">
        <v>14875</v>
      </c>
      <c r="H482">
        <v>4133</v>
      </c>
      <c r="I482">
        <v>2676</v>
      </c>
      <c r="J482">
        <v>506</v>
      </c>
      <c r="K482">
        <v>0.46899999999999997</v>
      </c>
      <c r="L482">
        <v>0.34499999999999997</v>
      </c>
      <c r="M482">
        <v>0.64900000000000002</v>
      </c>
      <c r="N482">
        <v>24.9</v>
      </c>
      <c r="O482">
        <v>0.08</v>
      </c>
      <c r="P482">
        <v>2009</v>
      </c>
      <c r="Q482">
        <v>20.8</v>
      </c>
      <c r="R482">
        <v>5.8</v>
      </c>
      <c r="S482">
        <v>3.7</v>
      </c>
      <c r="T482">
        <v>0.7</v>
      </c>
      <c r="U482">
        <v>2</v>
      </c>
      <c r="V482">
        <v>3</v>
      </c>
      <c r="W482">
        <f>IF(nba_draft[[#This Row],[years_played]]&gt;5,1,0)</f>
        <v>1</v>
      </c>
    </row>
    <row r="483" spans="1:23" x14ac:dyDescent="0.25">
      <c r="A483">
        <v>25</v>
      </c>
      <c r="B483" t="s">
        <v>88</v>
      </c>
      <c r="C483" t="s">
        <v>871</v>
      </c>
      <c r="D483" t="s">
        <v>97</v>
      </c>
      <c r="E483">
        <v>8</v>
      </c>
      <c r="F483">
        <v>507</v>
      </c>
      <c r="G483">
        <v>11580</v>
      </c>
      <c r="H483">
        <v>4115</v>
      </c>
      <c r="I483">
        <v>1815</v>
      </c>
      <c r="J483">
        <v>887</v>
      </c>
      <c r="K483">
        <v>0.40100000000000002</v>
      </c>
      <c r="L483">
        <v>0.36499999999999999</v>
      </c>
      <c r="M483">
        <v>0.75800000000000001</v>
      </c>
      <c r="N483">
        <v>22.5</v>
      </c>
      <c r="O483">
        <v>9.2999999999999999E-2</v>
      </c>
      <c r="P483">
        <v>2003</v>
      </c>
      <c r="Q483">
        <v>22.8</v>
      </c>
      <c r="R483">
        <v>8.1</v>
      </c>
      <c r="S483">
        <v>3.6</v>
      </c>
      <c r="T483">
        <v>1.7</v>
      </c>
      <c r="U483">
        <v>1</v>
      </c>
      <c r="V483">
        <v>25</v>
      </c>
      <c r="W483">
        <f>IF(nba_draft[[#This Row],[years_played]]&gt;5,1,0)</f>
        <v>1</v>
      </c>
    </row>
    <row r="484" spans="1:23" x14ac:dyDescent="0.25">
      <c r="A484">
        <v>35</v>
      </c>
      <c r="B484" t="s">
        <v>25</v>
      </c>
      <c r="C484" t="s">
        <v>1091</v>
      </c>
      <c r="D484" t="s">
        <v>30</v>
      </c>
      <c r="E484">
        <v>8</v>
      </c>
      <c r="F484">
        <v>514</v>
      </c>
      <c r="G484">
        <v>10865</v>
      </c>
      <c r="H484">
        <v>4111</v>
      </c>
      <c r="I484">
        <v>2236</v>
      </c>
      <c r="J484">
        <v>457</v>
      </c>
      <c r="K484">
        <v>0.44700000000000001</v>
      </c>
      <c r="L484">
        <v>0.182</v>
      </c>
      <c r="M484">
        <v>0.7</v>
      </c>
      <c r="N484">
        <v>18.600000000000001</v>
      </c>
      <c r="O484">
        <v>8.2000000000000003E-2</v>
      </c>
      <c r="P484">
        <v>2007</v>
      </c>
      <c r="Q484">
        <v>21.1</v>
      </c>
      <c r="R484">
        <v>8</v>
      </c>
      <c r="S484">
        <v>4.4000000000000004</v>
      </c>
      <c r="T484">
        <v>0.9</v>
      </c>
      <c r="U484">
        <v>2</v>
      </c>
      <c r="V484">
        <v>5</v>
      </c>
      <c r="W484">
        <f>IF(nba_draft[[#This Row],[years_played]]&gt;5,1,0)</f>
        <v>1</v>
      </c>
    </row>
    <row r="485" spans="1:23" x14ac:dyDescent="0.25">
      <c r="A485">
        <v>7</v>
      </c>
      <c r="B485" t="s">
        <v>37</v>
      </c>
      <c r="C485" t="s">
        <v>152</v>
      </c>
      <c r="D485" t="s">
        <v>153</v>
      </c>
      <c r="E485">
        <v>10</v>
      </c>
      <c r="F485">
        <v>567</v>
      </c>
      <c r="G485">
        <v>12006</v>
      </c>
      <c r="H485">
        <v>4090</v>
      </c>
      <c r="I485">
        <v>2794</v>
      </c>
      <c r="J485">
        <v>836</v>
      </c>
      <c r="K485">
        <v>0.46200000000000002</v>
      </c>
      <c r="L485">
        <v>0</v>
      </c>
      <c r="M485">
        <v>0.76</v>
      </c>
      <c r="N485">
        <v>17.5</v>
      </c>
      <c r="O485">
        <v>7.0000000000000007E-2</v>
      </c>
      <c r="P485">
        <v>1991</v>
      </c>
      <c r="Q485">
        <v>21.2</v>
      </c>
      <c r="R485">
        <v>7.2</v>
      </c>
      <c r="S485">
        <v>4.9000000000000004</v>
      </c>
      <c r="T485">
        <v>1.5</v>
      </c>
      <c r="U485">
        <v>1</v>
      </c>
      <c r="V485">
        <v>7</v>
      </c>
      <c r="W485">
        <f>IF(nba_draft[[#This Row],[years_played]]&gt;5,1,0)</f>
        <v>1</v>
      </c>
    </row>
    <row r="486" spans="1:23" x14ac:dyDescent="0.25">
      <c r="A486">
        <v>27</v>
      </c>
      <c r="B486" t="s">
        <v>75</v>
      </c>
      <c r="C486" t="s">
        <v>1468</v>
      </c>
      <c r="D486" t="s">
        <v>97</v>
      </c>
      <c r="E486">
        <v>5</v>
      </c>
      <c r="F486">
        <v>293</v>
      </c>
      <c r="G486">
        <v>8342</v>
      </c>
      <c r="H486">
        <v>4082</v>
      </c>
      <c r="I486">
        <v>987</v>
      </c>
      <c r="J486">
        <v>999</v>
      </c>
      <c r="K486">
        <v>0.44</v>
      </c>
      <c r="L486">
        <v>0.38600000000000001</v>
      </c>
      <c r="M486">
        <v>0.81599999999999995</v>
      </c>
      <c r="N486">
        <v>14.5</v>
      </c>
      <c r="O486">
        <v>8.4000000000000005E-2</v>
      </c>
      <c r="P486">
        <v>2014</v>
      </c>
      <c r="Q486">
        <v>28.5</v>
      </c>
      <c r="R486">
        <v>13.9</v>
      </c>
      <c r="S486">
        <v>3.4</v>
      </c>
      <c r="T486">
        <v>3.4</v>
      </c>
      <c r="U486">
        <v>1</v>
      </c>
      <c r="V486">
        <v>27</v>
      </c>
      <c r="W486">
        <f>IF(nba_draft[[#This Row],[years_played]]&gt;5,1,0)</f>
        <v>0</v>
      </c>
    </row>
    <row r="487" spans="1:23" x14ac:dyDescent="0.25">
      <c r="A487">
        <v>1</v>
      </c>
      <c r="B487" t="s">
        <v>109</v>
      </c>
      <c r="C487" t="s">
        <v>740</v>
      </c>
      <c r="D487" t="s">
        <v>97</v>
      </c>
      <c r="E487">
        <v>12</v>
      </c>
      <c r="F487">
        <v>607</v>
      </c>
      <c r="G487">
        <v>13389</v>
      </c>
      <c r="H487">
        <v>4035</v>
      </c>
      <c r="I487">
        <v>3333</v>
      </c>
      <c r="J487">
        <v>554</v>
      </c>
      <c r="K487">
        <v>0.49199999999999999</v>
      </c>
      <c r="L487">
        <v>0.111</v>
      </c>
      <c r="M487">
        <v>0.56999999999999995</v>
      </c>
      <c r="N487">
        <v>20.8</v>
      </c>
      <c r="O487">
        <v>7.3999999999999996E-2</v>
      </c>
      <c r="P487">
        <v>2001</v>
      </c>
      <c r="Q487">
        <v>22.1</v>
      </c>
      <c r="R487">
        <v>6.6</v>
      </c>
      <c r="S487">
        <v>5.5</v>
      </c>
      <c r="T487">
        <v>0.9</v>
      </c>
      <c r="U487">
        <v>1</v>
      </c>
      <c r="V487">
        <v>1</v>
      </c>
      <c r="W487">
        <f>IF(nba_draft[[#This Row],[years_played]]&gt;5,1,0)</f>
        <v>1</v>
      </c>
    </row>
    <row r="488" spans="1:23" x14ac:dyDescent="0.25">
      <c r="A488">
        <v>11</v>
      </c>
      <c r="B488" t="s">
        <v>34</v>
      </c>
      <c r="C488" t="s">
        <v>1662</v>
      </c>
      <c r="D488" t="s">
        <v>282</v>
      </c>
      <c r="E488">
        <v>4</v>
      </c>
      <c r="F488">
        <v>230</v>
      </c>
      <c r="G488">
        <v>7269</v>
      </c>
      <c r="H488">
        <v>4026</v>
      </c>
      <c r="I488">
        <v>1013</v>
      </c>
      <c r="J488">
        <v>945</v>
      </c>
      <c r="K488">
        <v>0.46700000000000003</v>
      </c>
      <c r="L488">
        <v>0.34499999999999997</v>
      </c>
      <c r="M488">
        <v>0.80700000000000005</v>
      </c>
      <c r="N488">
        <v>16.2</v>
      </c>
      <c r="O488">
        <v>0.107</v>
      </c>
      <c r="P488">
        <v>2018</v>
      </c>
      <c r="Q488">
        <v>31.6</v>
      </c>
      <c r="R488">
        <v>17.5</v>
      </c>
      <c r="S488">
        <v>4.4000000000000004</v>
      </c>
      <c r="T488">
        <v>4.0999999999999996</v>
      </c>
      <c r="U488">
        <v>1</v>
      </c>
      <c r="V488">
        <v>11</v>
      </c>
      <c r="W488">
        <f>IF(nba_draft[[#This Row],[years_played]]&gt;5,1,0)</f>
        <v>0</v>
      </c>
    </row>
    <row r="489" spans="1:23" x14ac:dyDescent="0.25">
      <c r="A489">
        <v>11</v>
      </c>
      <c r="B489" t="s">
        <v>102</v>
      </c>
      <c r="C489" t="s">
        <v>1398</v>
      </c>
      <c r="D489" t="s">
        <v>24</v>
      </c>
      <c r="E489">
        <v>8</v>
      </c>
      <c r="F489">
        <v>391</v>
      </c>
      <c r="G489">
        <v>9898</v>
      </c>
      <c r="H489">
        <v>4023</v>
      </c>
      <c r="I489">
        <v>1713</v>
      </c>
      <c r="J489">
        <v>1701</v>
      </c>
      <c r="K489">
        <v>0.40200000000000002</v>
      </c>
      <c r="L489">
        <v>0.255</v>
      </c>
      <c r="M489">
        <v>0.70599999999999996</v>
      </c>
      <c r="N489">
        <v>6.6</v>
      </c>
      <c r="O489">
        <v>3.2000000000000001E-2</v>
      </c>
      <c r="P489">
        <v>2013</v>
      </c>
      <c r="Q489">
        <v>25.3</v>
      </c>
      <c r="R489">
        <v>10.3</v>
      </c>
      <c r="S489">
        <v>4.4000000000000004</v>
      </c>
      <c r="T489">
        <v>4.4000000000000004</v>
      </c>
      <c r="U489">
        <v>1</v>
      </c>
      <c r="V489">
        <v>11</v>
      </c>
      <c r="W489">
        <f>IF(nba_draft[[#This Row],[years_played]]&gt;5,1,0)</f>
        <v>1</v>
      </c>
    </row>
    <row r="490" spans="1:23" x14ac:dyDescent="0.25">
      <c r="A490">
        <v>19</v>
      </c>
      <c r="B490" t="s">
        <v>63</v>
      </c>
      <c r="C490" t="s">
        <v>584</v>
      </c>
      <c r="D490" t="s">
        <v>218</v>
      </c>
      <c r="E490">
        <v>10</v>
      </c>
      <c r="F490">
        <v>552</v>
      </c>
      <c r="G490">
        <v>11062</v>
      </c>
      <c r="H490">
        <v>4017</v>
      </c>
      <c r="I490">
        <v>1457</v>
      </c>
      <c r="J490">
        <v>443</v>
      </c>
      <c r="K490">
        <v>0.41699999999999998</v>
      </c>
      <c r="L490">
        <v>0.39800000000000002</v>
      </c>
      <c r="M490">
        <v>0.80600000000000005</v>
      </c>
      <c r="N490">
        <v>18.7</v>
      </c>
      <c r="O490">
        <v>8.1000000000000003E-2</v>
      </c>
      <c r="P490">
        <v>1998</v>
      </c>
      <c r="Q490">
        <v>20</v>
      </c>
      <c r="R490">
        <v>7.3</v>
      </c>
      <c r="S490">
        <v>2.6</v>
      </c>
      <c r="T490">
        <v>0.8</v>
      </c>
      <c r="U490">
        <v>1</v>
      </c>
      <c r="V490">
        <v>19</v>
      </c>
      <c r="W490">
        <f>IF(nba_draft[[#This Row],[years_played]]&gt;5,1,0)</f>
        <v>1</v>
      </c>
    </row>
    <row r="491" spans="1:23" x14ac:dyDescent="0.25">
      <c r="A491">
        <v>12</v>
      </c>
      <c r="B491" t="s">
        <v>138</v>
      </c>
      <c r="C491" t="s">
        <v>463</v>
      </c>
      <c r="D491" t="s">
        <v>464</v>
      </c>
      <c r="E491">
        <v>11</v>
      </c>
      <c r="F491">
        <v>610</v>
      </c>
      <c r="G491">
        <v>11608</v>
      </c>
      <c r="H491">
        <v>3995</v>
      </c>
      <c r="I491">
        <v>2725</v>
      </c>
      <c r="J491">
        <v>418</v>
      </c>
      <c r="K491">
        <v>0.47899999999999998</v>
      </c>
      <c r="L491">
        <v>0.16700000000000001</v>
      </c>
      <c r="M491">
        <v>0.69399999999999995</v>
      </c>
      <c r="N491">
        <v>15.5</v>
      </c>
      <c r="O491">
        <v>6.4000000000000001E-2</v>
      </c>
      <c r="P491">
        <v>1996</v>
      </c>
      <c r="Q491">
        <v>19</v>
      </c>
      <c r="R491">
        <v>6.5</v>
      </c>
      <c r="S491">
        <v>4.5</v>
      </c>
      <c r="T491">
        <v>0.7</v>
      </c>
      <c r="U491">
        <v>1</v>
      </c>
      <c r="V491">
        <v>12</v>
      </c>
      <c r="W491">
        <f>IF(nba_draft[[#This Row],[years_played]]&gt;5,1,0)</f>
        <v>1</v>
      </c>
    </row>
    <row r="492" spans="1:23" x14ac:dyDescent="0.25">
      <c r="A492">
        <v>7</v>
      </c>
      <c r="B492" t="s">
        <v>37</v>
      </c>
      <c r="C492" t="s">
        <v>1602</v>
      </c>
      <c r="D492" t="s">
        <v>117</v>
      </c>
      <c r="E492">
        <v>5</v>
      </c>
      <c r="F492">
        <v>259</v>
      </c>
      <c r="G492">
        <v>7659</v>
      </c>
      <c r="H492">
        <v>3955</v>
      </c>
      <c r="I492">
        <v>1761</v>
      </c>
      <c r="J492">
        <v>329</v>
      </c>
      <c r="K492">
        <v>0.439</v>
      </c>
      <c r="L492">
        <v>0.36299999999999999</v>
      </c>
      <c r="M492">
        <v>0.84699999999999998</v>
      </c>
      <c r="N492">
        <v>14.7</v>
      </c>
      <c r="O492">
        <v>9.1999999999999998E-2</v>
      </c>
      <c r="P492">
        <v>2017</v>
      </c>
      <c r="Q492">
        <v>29.6</v>
      </c>
      <c r="R492">
        <v>15.3</v>
      </c>
      <c r="S492">
        <v>6.8</v>
      </c>
      <c r="T492">
        <v>1.3</v>
      </c>
      <c r="U492">
        <v>1</v>
      </c>
      <c r="V492">
        <v>7</v>
      </c>
      <c r="W492">
        <f>IF(nba_draft[[#This Row],[years_played]]&gt;5,1,0)</f>
        <v>0</v>
      </c>
    </row>
    <row r="493" spans="1:23" x14ac:dyDescent="0.25">
      <c r="A493">
        <v>26</v>
      </c>
      <c r="B493" t="s">
        <v>65</v>
      </c>
      <c r="C493" t="s">
        <v>365</v>
      </c>
      <c r="D493" t="s">
        <v>298</v>
      </c>
      <c r="E493">
        <v>11</v>
      </c>
      <c r="F493">
        <v>630</v>
      </c>
      <c r="G493">
        <v>14080</v>
      </c>
      <c r="H493">
        <v>3947</v>
      </c>
      <c r="I493">
        <v>1648</v>
      </c>
      <c r="J493">
        <v>2539</v>
      </c>
      <c r="K493">
        <v>0.40799999999999997</v>
      </c>
      <c r="L493">
        <v>0.36399999999999999</v>
      </c>
      <c r="M493">
        <v>0.77100000000000002</v>
      </c>
      <c r="N493">
        <v>33</v>
      </c>
      <c r="O493">
        <v>0.113</v>
      </c>
      <c r="P493">
        <v>1994</v>
      </c>
      <c r="Q493">
        <v>22.3</v>
      </c>
      <c r="R493">
        <v>6.3</v>
      </c>
      <c r="S493">
        <v>2.6</v>
      </c>
      <c r="T493">
        <v>4</v>
      </c>
      <c r="U493">
        <v>1</v>
      </c>
      <c r="V493">
        <v>26</v>
      </c>
      <c r="W493">
        <f>IF(nba_draft[[#This Row],[years_played]]&gt;5,1,0)</f>
        <v>1</v>
      </c>
    </row>
    <row r="494" spans="1:23" x14ac:dyDescent="0.25">
      <c r="A494">
        <v>38</v>
      </c>
      <c r="B494" t="s">
        <v>95</v>
      </c>
      <c r="C494" t="s">
        <v>936</v>
      </c>
      <c r="D494" t="s">
        <v>87</v>
      </c>
      <c r="E494">
        <v>9</v>
      </c>
      <c r="F494">
        <v>606</v>
      </c>
      <c r="G494">
        <v>15526</v>
      </c>
      <c r="H494">
        <v>3946</v>
      </c>
      <c r="I494">
        <v>1364</v>
      </c>
      <c r="J494">
        <v>2690</v>
      </c>
      <c r="K494">
        <v>0.39300000000000002</v>
      </c>
      <c r="L494">
        <v>0.36299999999999999</v>
      </c>
      <c r="M494">
        <v>0.78400000000000003</v>
      </c>
      <c r="N494">
        <v>25</v>
      </c>
      <c r="O494">
        <v>7.6999999999999999E-2</v>
      </c>
      <c r="P494">
        <v>2004</v>
      </c>
      <c r="Q494">
        <v>25.6</v>
      </c>
      <c r="R494">
        <v>6.5</v>
      </c>
      <c r="S494">
        <v>2.2999999999999998</v>
      </c>
      <c r="T494">
        <v>4.4000000000000004</v>
      </c>
      <c r="U494">
        <v>2</v>
      </c>
      <c r="V494">
        <v>9</v>
      </c>
      <c r="W494">
        <f>IF(nba_draft[[#This Row],[years_played]]&gt;5,1,0)</f>
        <v>1</v>
      </c>
    </row>
    <row r="495" spans="1:23" x14ac:dyDescent="0.25">
      <c r="A495">
        <v>14</v>
      </c>
      <c r="B495" t="s">
        <v>104</v>
      </c>
      <c r="C495" t="s">
        <v>1016</v>
      </c>
      <c r="D495" t="s">
        <v>222</v>
      </c>
      <c r="E495">
        <v>8</v>
      </c>
      <c r="F495">
        <v>502</v>
      </c>
      <c r="G495">
        <v>11539</v>
      </c>
      <c r="H495">
        <v>3940</v>
      </c>
      <c r="I495">
        <v>1427</v>
      </c>
      <c r="J495">
        <v>828</v>
      </c>
      <c r="K495">
        <v>0.49</v>
      </c>
      <c r="L495">
        <v>0.254</v>
      </c>
      <c r="M495">
        <v>0.67500000000000004</v>
      </c>
      <c r="N495">
        <v>30.4</v>
      </c>
      <c r="O495">
        <v>0.127</v>
      </c>
      <c r="P495">
        <v>2006</v>
      </c>
      <c r="Q495">
        <v>23</v>
      </c>
      <c r="R495">
        <v>7.8</v>
      </c>
      <c r="S495">
        <v>2.8</v>
      </c>
      <c r="T495">
        <v>1.6</v>
      </c>
      <c r="U495">
        <v>1</v>
      </c>
      <c r="V495">
        <v>14</v>
      </c>
      <c r="W495">
        <f>IF(nba_draft[[#This Row],[years_played]]&gt;5,1,0)</f>
        <v>1</v>
      </c>
    </row>
    <row r="496" spans="1:23" x14ac:dyDescent="0.25">
      <c r="A496">
        <v>39</v>
      </c>
      <c r="B496" t="s">
        <v>88</v>
      </c>
      <c r="C496" t="s">
        <v>1202</v>
      </c>
      <c r="D496" t="s">
        <v>97</v>
      </c>
      <c r="E496">
        <v>9</v>
      </c>
      <c r="F496">
        <v>635</v>
      </c>
      <c r="G496">
        <v>11323</v>
      </c>
      <c r="H496">
        <v>3919</v>
      </c>
      <c r="I496">
        <v>2522</v>
      </c>
      <c r="J496">
        <v>525</v>
      </c>
      <c r="K496">
        <v>0.45700000000000002</v>
      </c>
      <c r="L496">
        <v>0.36299999999999999</v>
      </c>
      <c r="M496">
        <v>0.77</v>
      </c>
      <c r="N496">
        <v>25.8</v>
      </c>
      <c r="O496">
        <v>0.109</v>
      </c>
      <c r="P496">
        <v>2009</v>
      </c>
      <c r="Q496">
        <v>17.8</v>
      </c>
      <c r="R496">
        <v>6.2</v>
      </c>
      <c r="S496">
        <v>4</v>
      </c>
      <c r="T496">
        <v>0.8</v>
      </c>
      <c r="U496">
        <v>2</v>
      </c>
      <c r="V496">
        <v>9</v>
      </c>
      <c r="W496">
        <f>IF(nba_draft[[#This Row],[years_played]]&gt;5,1,0)</f>
        <v>1</v>
      </c>
    </row>
    <row r="497" spans="1:23" x14ac:dyDescent="0.25">
      <c r="A497">
        <v>23</v>
      </c>
      <c r="B497" t="s">
        <v>104</v>
      </c>
      <c r="C497" t="s">
        <v>1131</v>
      </c>
      <c r="D497" t="s">
        <v>216</v>
      </c>
      <c r="E497">
        <v>11</v>
      </c>
      <c r="F497">
        <v>686</v>
      </c>
      <c r="G497">
        <v>11271</v>
      </c>
      <c r="H497">
        <v>3913</v>
      </c>
      <c r="I497">
        <v>3452</v>
      </c>
      <c r="J497">
        <v>359</v>
      </c>
      <c r="K497">
        <v>0.53400000000000003</v>
      </c>
      <c r="L497">
        <v>0</v>
      </c>
      <c r="M497">
        <v>0.58199999999999996</v>
      </c>
      <c r="N497">
        <v>28.3</v>
      </c>
      <c r="O497">
        <v>0.12</v>
      </c>
      <c r="P497">
        <v>2008</v>
      </c>
      <c r="Q497">
        <v>16.399999999999999</v>
      </c>
      <c r="R497">
        <v>5.7</v>
      </c>
      <c r="S497">
        <v>5</v>
      </c>
      <c r="T497">
        <v>0.5</v>
      </c>
      <c r="U497">
        <v>1</v>
      </c>
      <c r="V497">
        <v>23</v>
      </c>
      <c r="W497">
        <f>IF(nba_draft[[#This Row],[years_played]]&gt;5,1,0)</f>
        <v>1</v>
      </c>
    </row>
    <row r="498" spans="1:23" x14ac:dyDescent="0.25">
      <c r="A498">
        <v>23</v>
      </c>
      <c r="B498" t="s">
        <v>55</v>
      </c>
      <c r="C498" t="s">
        <v>1292</v>
      </c>
      <c r="D498" t="s">
        <v>97</v>
      </c>
      <c r="E498">
        <v>5</v>
      </c>
      <c r="F498">
        <v>319</v>
      </c>
      <c r="G498">
        <v>7718</v>
      </c>
      <c r="H498">
        <v>3910</v>
      </c>
      <c r="I498">
        <v>1894</v>
      </c>
      <c r="J498">
        <v>407</v>
      </c>
      <c r="K498">
        <v>0.42299999999999999</v>
      </c>
      <c r="L498">
        <v>0.35899999999999999</v>
      </c>
      <c r="M498">
        <v>0.80800000000000005</v>
      </c>
      <c r="N498">
        <v>20.8</v>
      </c>
      <c r="O498">
        <v>0.129</v>
      </c>
      <c r="P498">
        <v>2011</v>
      </c>
      <c r="Q498">
        <v>24.2</v>
      </c>
      <c r="R498">
        <v>12.3</v>
      </c>
      <c r="S498">
        <v>5.9</v>
      </c>
      <c r="T498">
        <v>1.3</v>
      </c>
      <c r="U498">
        <v>1</v>
      </c>
      <c r="V498">
        <v>23</v>
      </c>
      <c r="W498">
        <f>IF(nba_draft[[#This Row],[years_played]]&gt;5,1,0)</f>
        <v>0</v>
      </c>
    </row>
    <row r="499" spans="1:23" x14ac:dyDescent="0.25">
      <c r="A499">
        <v>26</v>
      </c>
      <c r="B499" t="s">
        <v>90</v>
      </c>
      <c r="C499" t="s">
        <v>1029</v>
      </c>
      <c r="D499" t="s">
        <v>113</v>
      </c>
      <c r="E499">
        <v>10</v>
      </c>
      <c r="F499">
        <v>504</v>
      </c>
      <c r="G499">
        <v>9840</v>
      </c>
      <c r="H499">
        <v>3888</v>
      </c>
      <c r="I499">
        <v>958</v>
      </c>
      <c r="J499">
        <v>1453</v>
      </c>
      <c r="K499">
        <v>0.42299999999999999</v>
      </c>
      <c r="L499">
        <v>0.374</v>
      </c>
      <c r="M499">
        <v>0.73899999999999999</v>
      </c>
      <c r="N499">
        <v>13.9</v>
      </c>
      <c r="O499">
        <v>6.8000000000000005E-2</v>
      </c>
      <c r="P499">
        <v>2006</v>
      </c>
      <c r="Q499">
        <v>19.5</v>
      </c>
      <c r="R499">
        <v>7.7</v>
      </c>
      <c r="S499">
        <v>1.9</v>
      </c>
      <c r="T499">
        <v>2.9</v>
      </c>
      <c r="U499">
        <v>1</v>
      </c>
      <c r="V499">
        <v>26</v>
      </c>
      <c r="W499">
        <f>IF(nba_draft[[#This Row],[years_played]]&gt;5,1,0)</f>
        <v>1</v>
      </c>
    </row>
    <row r="500" spans="1:23" x14ac:dyDescent="0.25">
      <c r="A500">
        <v>26</v>
      </c>
      <c r="B500" t="s">
        <v>88</v>
      </c>
      <c r="C500" t="s">
        <v>480</v>
      </c>
      <c r="D500" t="s">
        <v>146</v>
      </c>
      <c r="E500">
        <v>9</v>
      </c>
      <c r="F500">
        <v>587</v>
      </c>
      <c r="G500">
        <v>12755</v>
      </c>
      <c r="H500">
        <v>3865</v>
      </c>
      <c r="I500">
        <v>3743</v>
      </c>
      <c r="J500">
        <v>474</v>
      </c>
      <c r="K500">
        <v>0.502</v>
      </c>
      <c r="L500">
        <v>3.7999999999999999E-2</v>
      </c>
      <c r="M500">
        <v>0.64500000000000002</v>
      </c>
      <c r="N500">
        <v>37.9</v>
      </c>
      <c r="O500">
        <v>0.14299999999999999</v>
      </c>
      <c r="P500">
        <v>1996</v>
      </c>
      <c r="Q500">
        <v>21.7</v>
      </c>
      <c r="R500">
        <v>6.6</v>
      </c>
      <c r="S500">
        <v>6.4</v>
      </c>
      <c r="T500">
        <v>0.8</v>
      </c>
      <c r="U500">
        <v>1</v>
      </c>
      <c r="V500">
        <v>26</v>
      </c>
      <c r="W500">
        <f>IF(nba_draft[[#This Row],[years_played]]&gt;5,1,0)</f>
        <v>1</v>
      </c>
    </row>
    <row r="501" spans="1:23" x14ac:dyDescent="0.25">
      <c r="A501">
        <v>22</v>
      </c>
      <c r="B501" t="s">
        <v>22</v>
      </c>
      <c r="C501" t="s">
        <v>1617</v>
      </c>
      <c r="D501" t="s">
        <v>60</v>
      </c>
      <c r="E501">
        <v>5</v>
      </c>
      <c r="F501">
        <v>335</v>
      </c>
      <c r="G501">
        <v>8883</v>
      </c>
      <c r="H501">
        <v>3851</v>
      </c>
      <c r="I501">
        <v>2913</v>
      </c>
      <c r="J501">
        <v>466</v>
      </c>
      <c r="K501">
        <v>0.623</v>
      </c>
      <c r="L501">
        <v>0.189</v>
      </c>
      <c r="M501">
        <v>0.69799999999999995</v>
      </c>
      <c r="N501">
        <v>34.6</v>
      </c>
      <c r="O501">
        <v>0.187</v>
      </c>
      <c r="P501">
        <v>2017</v>
      </c>
      <c r="Q501">
        <v>26.5</v>
      </c>
      <c r="R501">
        <v>11.5</v>
      </c>
      <c r="S501">
        <v>8.6999999999999993</v>
      </c>
      <c r="T501">
        <v>1.4</v>
      </c>
      <c r="U501">
        <v>1</v>
      </c>
      <c r="V501">
        <v>22</v>
      </c>
      <c r="W501">
        <f>IF(nba_draft[[#This Row],[years_played]]&gt;5,1,0)</f>
        <v>0</v>
      </c>
    </row>
    <row r="502" spans="1:23" x14ac:dyDescent="0.25">
      <c r="A502">
        <v>2</v>
      </c>
      <c r="B502" t="s">
        <v>37</v>
      </c>
      <c r="C502" t="s">
        <v>1270</v>
      </c>
      <c r="D502" t="s">
        <v>117</v>
      </c>
      <c r="E502">
        <v>7</v>
      </c>
      <c r="F502">
        <v>428</v>
      </c>
      <c r="G502">
        <v>8864</v>
      </c>
      <c r="H502">
        <v>3809</v>
      </c>
      <c r="I502">
        <v>1693</v>
      </c>
      <c r="J502">
        <v>293</v>
      </c>
      <c r="K502">
        <v>0.434</v>
      </c>
      <c r="L502">
        <v>0.3</v>
      </c>
      <c r="M502">
        <v>0.71</v>
      </c>
      <c r="N502">
        <v>14.1</v>
      </c>
      <c r="O502">
        <v>7.5999999999999998E-2</v>
      </c>
      <c r="P502">
        <v>2011</v>
      </c>
      <c r="Q502">
        <v>20.7</v>
      </c>
      <c r="R502">
        <v>8.9</v>
      </c>
      <c r="S502">
        <v>4</v>
      </c>
      <c r="T502">
        <v>0.7</v>
      </c>
      <c r="U502">
        <v>1</v>
      </c>
      <c r="V502">
        <v>2</v>
      </c>
      <c r="W502">
        <f>IF(nba_draft[[#This Row],[years_played]]&gt;5,1,0)</f>
        <v>1</v>
      </c>
    </row>
    <row r="503" spans="1:23" x14ac:dyDescent="0.25">
      <c r="A503">
        <v>20</v>
      </c>
      <c r="B503" t="s">
        <v>46</v>
      </c>
      <c r="C503" t="s">
        <v>1076</v>
      </c>
      <c r="D503" t="s">
        <v>1077</v>
      </c>
      <c r="E503">
        <v>11</v>
      </c>
      <c r="F503">
        <v>616</v>
      </c>
      <c r="G503">
        <v>10029</v>
      </c>
      <c r="H503">
        <v>3777</v>
      </c>
      <c r="I503">
        <v>2075</v>
      </c>
      <c r="J503">
        <v>453</v>
      </c>
      <c r="K503">
        <v>0.46800000000000003</v>
      </c>
      <c r="L503">
        <v>0.33300000000000002</v>
      </c>
      <c r="M503">
        <v>0.78300000000000003</v>
      </c>
      <c r="N503">
        <v>14.1</v>
      </c>
      <c r="O503">
        <v>6.7000000000000004E-2</v>
      </c>
      <c r="P503">
        <v>2007</v>
      </c>
      <c r="Q503">
        <v>16.3</v>
      </c>
      <c r="R503">
        <v>6.1</v>
      </c>
      <c r="S503">
        <v>3.4</v>
      </c>
      <c r="T503">
        <v>0.7</v>
      </c>
      <c r="U503">
        <v>1</v>
      </c>
      <c r="V503">
        <v>20</v>
      </c>
      <c r="W503">
        <f>IF(nba_draft[[#This Row],[years_played]]&gt;5,1,0)</f>
        <v>1</v>
      </c>
    </row>
    <row r="504" spans="1:23" x14ac:dyDescent="0.25">
      <c r="A504">
        <v>45</v>
      </c>
      <c r="B504" t="s">
        <v>55</v>
      </c>
      <c r="C504" t="s">
        <v>1640</v>
      </c>
      <c r="D504" t="s">
        <v>158</v>
      </c>
      <c r="E504">
        <v>5</v>
      </c>
      <c r="F504">
        <v>261</v>
      </c>
      <c r="G504">
        <v>7376</v>
      </c>
      <c r="H504">
        <v>3752</v>
      </c>
      <c r="I504">
        <v>796</v>
      </c>
      <c r="J504">
        <v>515</v>
      </c>
      <c r="K504">
        <v>0.42</v>
      </c>
      <c r="L504">
        <v>0.35099999999999998</v>
      </c>
      <c r="M504">
        <v>0.8</v>
      </c>
      <c r="N504">
        <v>4.8</v>
      </c>
      <c r="O504">
        <v>3.1E-2</v>
      </c>
      <c r="P504">
        <v>2017</v>
      </c>
      <c r="Q504">
        <v>28.3</v>
      </c>
      <c r="R504">
        <v>14.4</v>
      </c>
      <c r="S504">
        <v>3</v>
      </c>
      <c r="T504">
        <v>2</v>
      </c>
      <c r="U504">
        <v>2</v>
      </c>
      <c r="V504">
        <v>15</v>
      </c>
      <c r="W504">
        <f>IF(nba_draft[[#This Row],[years_played]]&gt;5,1,0)</f>
        <v>0</v>
      </c>
    </row>
    <row r="505" spans="1:23" x14ac:dyDescent="0.25">
      <c r="A505">
        <v>2</v>
      </c>
      <c r="B505" t="s">
        <v>34</v>
      </c>
      <c r="C505" t="s">
        <v>1328</v>
      </c>
      <c r="D505" t="s">
        <v>282</v>
      </c>
      <c r="E505">
        <v>8</v>
      </c>
      <c r="F505">
        <v>446</v>
      </c>
      <c r="G505">
        <v>10978</v>
      </c>
      <c r="H505">
        <v>3750</v>
      </c>
      <c r="I505">
        <v>2420</v>
      </c>
      <c r="J505">
        <v>515</v>
      </c>
      <c r="K505">
        <v>0.47399999999999998</v>
      </c>
      <c r="L505">
        <v>0.27200000000000002</v>
      </c>
      <c r="M505">
        <v>0.71499999999999997</v>
      </c>
      <c r="N505">
        <v>21</v>
      </c>
      <c r="O505">
        <v>9.1999999999999998E-2</v>
      </c>
      <c r="P505">
        <v>2012</v>
      </c>
      <c r="Q505">
        <v>24.6</v>
      </c>
      <c r="R505">
        <v>8.4</v>
      </c>
      <c r="S505">
        <v>5.4</v>
      </c>
      <c r="T505">
        <v>1.2</v>
      </c>
      <c r="U505">
        <v>1</v>
      </c>
      <c r="V505">
        <v>2</v>
      </c>
      <c r="W505">
        <f>IF(nba_draft[[#This Row],[years_played]]&gt;5,1,0)</f>
        <v>1</v>
      </c>
    </row>
    <row r="506" spans="1:23" x14ac:dyDescent="0.25">
      <c r="A506">
        <v>7</v>
      </c>
      <c r="B506" t="s">
        <v>40</v>
      </c>
      <c r="C506" t="s">
        <v>1275</v>
      </c>
      <c r="D506" t="s">
        <v>97</v>
      </c>
      <c r="E506">
        <v>11</v>
      </c>
      <c r="F506">
        <v>719</v>
      </c>
      <c r="G506">
        <v>14521</v>
      </c>
      <c r="H506">
        <v>3749</v>
      </c>
      <c r="I506">
        <v>4423</v>
      </c>
      <c r="J506">
        <v>433</v>
      </c>
      <c r="K506">
        <v>0.53</v>
      </c>
      <c r="L506">
        <v>0</v>
      </c>
      <c r="M506">
        <v>0.56499999999999995</v>
      </c>
      <c r="N506">
        <v>29</v>
      </c>
      <c r="O506">
        <v>9.6000000000000002E-2</v>
      </c>
      <c r="P506">
        <v>2011</v>
      </c>
      <c r="Q506">
        <v>20.2</v>
      </c>
      <c r="R506">
        <v>5.2</v>
      </c>
      <c r="S506">
        <v>6.2</v>
      </c>
      <c r="T506">
        <v>0.6</v>
      </c>
      <c r="U506">
        <v>1</v>
      </c>
      <c r="V506">
        <v>7</v>
      </c>
      <c r="W506">
        <f>IF(nba_draft[[#This Row],[years_played]]&gt;5,1,0)</f>
        <v>1</v>
      </c>
    </row>
    <row r="507" spans="1:23" x14ac:dyDescent="0.25">
      <c r="A507">
        <v>21</v>
      </c>
      <c r="B507" t="s">
        <v>52</v>
      </c>
      <c r="C507" t="s">
        <v>650</v>
      </c>
      <c r="D507" t="s">
        <v>651</v>
      </c>
      <c r="E507">
        <v>13</v>
      </c>
      <c r="F507">
        <v>764</v>
      </c>
      <c r="G507">
        <v>15750</v>
      </c>
      <c r="H507">
        <v>3747</v>
      </c>
      <c r="I507">
        <v>5248</v>
      </c>
      <c r="J507">
        <v>703</v>
      </c>
      <c r="K507">
        <v>0.497</v>
      </c>
      <c r="L507">
        <v>0.13</v>
      </c>
      <c r="M507">
        <v>0.61499999999999999</v>
      </c>
      <c r="N507">
        <v>47.5</v>
      </c>
      <c r="O507">
        <v>0.14499999999999999</v>
      </c>
      <c r="P507">
        <v>1999</v>
      </c>
      <c r="Q507">
        <v>20.6</v>
      </c>
      <c r="R507">
        <v>4.9000000000000004</v>
      </c>
      <c r="S507">
        <v>6.9</v>
      </c>
      <c r="T507">
        <v>0.9</v>
      </c>
      <c r="U507">
        <v>1</v>
      </c>
      <c r="V507">
        <v>21</v>
      </c>
      <c r="W507">
        <f>IF(nba_draft[[#This Row],[years_played]]&gt;5,1,0)</f>
        <v>1</v>
      </c>
    </row>
    <row r="508" spans="1:23" x14ac:dyDescent="0.25">
      <c r="A508">
        <v>30</v>
      </c>
      <c r="B508" t="s">
        <v>95</v>
      </c>
      <c r="C508" t="s">
        <v>770</v>
      </c>
      <c r="D508" t="s">
        <v>543</v>
      </c>
      <c r="E508">
        <v>9</v>
      </c>
      <c r="F508">
        <v>644</v>
      </c>
      <c r="G508">
        <v>16278</v>
      </c>
      <c r="H508">
        <v>3741</v>
      </c>
      <c r="I508">
        <v>1826</v>
      </c>
      <c r="J508">
        <v>1132</v>
      </c>
      <c r="K508">
        <v>0.44500000000000001</v>
      </c>
      <c r="L508">
        <v>0.318</v>
      </c>
      <c r="M508">
        <v>0.76500000000000001</v>
      </c>
      <c r="N508">
        <v>13.8</v>
      </c>
      <c r="O508">
        <v>4.1000000000000002E-2</v>
      </c>
      <c r="P508">
        <v>2001</v>
      </c>
      <c r="Q508">
        <v>25.3</v>
      </c>
      <c r="R508">
        <v>5.8</v>
      </c>
      <c r="S508">
        <v>2.8</v>
      </c>
      <c r="T508">
        <v>1.8</v>
      </c>
      <c r="U508">
        <v>2</v>
      </c>
      <c r="V508">
        <v>1</v>
      </c>
      <c r="W508">
        <f>IF(nba_draft[[#This Row],[years_played]]&gt;5,1,0)</f>
        <v>1</v>
      </c>
    </row>
    <row r="509" spans="1:23" x14ac:dyDescent="0.25">
      <c r="A509">
        <v>47</v>
      </c>
      <c r="B509" t="s">
        <v>82</v>
      </c>
      <c r="C509" t="s">
        <v>331</v>
      </c>
      <c r="D509" t="s">
        <v>92</v>
      </c>
      <c r="E509">
        <v>11</v>
      </c>
      <c r="F509">
        <v>579</v>
      </c>
      <c r="G509">
        <v>10052</v>
      </c>
      <c r="H509">
        <v>3738</v>
      </c>
      <c r="I509">
        <v>815</v>
      </c>
      <c r="J509">
        <v>1613</v>
      </c>
      <c r="K509">
        <v>0.39500000000000002</v>
      </c>
      <c r="L509">
        <v>0.36099999999999999</v>
      </c>
      <c r="M509">
        <v>0.875</v>
      </c>
      <c r="N509">
        <v>21.2</v>
      </c>
      <c r="O509">
        <v>0.10100000000000001</v>
      </c>
      <c r="P509">
        <v>1993</v>
      </c>
      <c r="Q509">
        <v>17.399999999999999</v>
      </c>
      <c r="R509">
        <v>6.5</v>
      </c>
      <c r="S509">
        <v>1.4</v>
      </c>
      <c r="T509">
        <v>2.8</v>
      </c>
      <c r="U509">
        <v>2</v>
      </c>
      <c r="V509">
        <v>20</v>
      </c>
      <c r="W509">
        <f>IF(nba_draft[[#This Row],[years_played]]&gt;5,1,0)</f>
        <v>1</v>
      </c>
    </row>
    <row r="510" spans="1:23" x14ac:dyDescent="0.25">
      <c r="A510">
        <v>43</v>
      </c>
      <c r="B510" t="s">
        <v>49</v>
      </c>
      <c r="C510" t="s">
        <v>1372</v>
      </c>
      <c r="D510" t="s">
        <v>232</v>
      </c>
      <c r="E510">
        <v>9</v>
      </c>
      <c r="F510">
        <v>555</v>
      </c>
      <c r="G510">
        <v>9182</v>
      </c>
      <c r="H510">
        <v>3736</v>
      </c>
      <c r="I510">
        <v>1727</v>
      </c>
      <c r="J510">
        <v>499</v>
      </c>
      <c r="K510">
        <v>0.45300000000000001</v>
      </c>
      <c r="L510">
        <v>0.36199999999999999</v>
      </c>
      <c r="M510">
        <v>0.75700000000000001</v>
      </c>
      <c r="N510">
        <v>16.8</v>
      </c>
      <c r="O510">
        <v>8.7999999999999995E-2</v>
      </c>
      <c r="P510">
        <v>2012</v>
      </c>
      <c r="Q510">
        <v>16.5</v>
      </c>
      <c r="R510">
        <v>6.7</v>
      </c>
      <c r="S510">
        <v>3.1</v>
      </c>
      <c r="T510">
        <v>0.9</v>
      </c>
      <c r="U510">
        <v>2</v>
      </c>
      <c r="V510">
        <v>13</v>
      </c>
      <c r="W510">
        <f>IF(nba_draft[[#This Row],[years_played]]&gt;5,1,0)</f>
        <v>1</v>
      </c>
    </row>
    <row r="511" spans="1:23" x14ac:dyDescent="0.25">
      <c r="A511">
        <v>41</v>
      </c>
      <c r="B511" t="s">
        <v>55</v>
      </c>
      <c r="C511" t="s">
        <v>264</v>
      </c>
      <c r="D511" t="s">
        <v>265</v>
      </c>
      <c r="E511">
        <v>11</v>
      </c>
      <c r="F511">
        <v>535</v>
      </c>
      <c r="G511">
        <v>12579</v>
      </c>
      <c r="H511">
        <v>3726</v>
      </c>
      <c r="I511">
        <v>3981</v>
      </c>
      <c r="J511">
        <v>696</v>
      </c>
      <c r="K511">
        <v>0.44700000000000001</v>
      </c>
      <c r="L511">
        <v>0.28100000000000003</v>
      </c>
      <c r="M511">
        <v>0.751</v>
      </c>
      <c r="N511">
        <v>22</v>
      </c>
      <c r="O511">
        <v>8.4000000000000005E-2</v>
      </c>
      <c r="P511">
        <v>1992</v>
      </c>
      <c r="Q511">
        <v>23.5</v>
      </c>
      <c r="R511">
        <v>7</v>
      </c>
      <c r="S511">
        <v>7.4</v>
      </c>
      <c r="T511">
        <v>1.3</v>
      </c>
      <c r="U511">
        <v>2</v>
      </c>
      <c r="V511">
        <v>14</v>
      </c>
      <c r="W511">
        <f>IF(nba_draft[[#This Row],[years_played]]&gt;5,1,0)</f>
        <v>1</v>
      </c>
    </row>
    <row r="512" spans="1:23" x14ac:dyDescent="0.25">
      <c r="A512">
        <v>49</v>
      </c>
      <c r="B512" t="s">
        <v>127</v>
      </c>
      <c r="C512" t="s">
        <v>892</v>
      </c>
      <c r="D512" t="s">
        <v>657</v>
      </c>
      <c r="E512">
        <v>14</v>
      </c>
      <c r="F512">
        <v>709</v>
      </c>
      <c r="G512">
        <v>11098</v>
      </c>
      <c r="H512">
        <v>3717</v>
      </c>
      <c r="I512">
        <v>1276</v>
      </c>
      <c r="J512">
        <v>366</v>
      </c>
      <c r="K512">
        <v>0.40100000000000002</v>
      </c>
      <c r="L512">
        <v>0.40100000000000002</v>
      </c>
      <c r="M512">
        <v>0.84</v>
      </c>
      <c r="N512">
        <v>25.2</v>
      </c>
      <c r="O512">
        <v>0.109</v>
      </c>
      <c r="P512">
        <v>2003</v>
      </c>
      <c r="Q512">
        <v>15.7</v>
      </c>
      <c r="R512">
        <v>5.2</v>
      </c>
      <c r="S512">
        <v>1.8</v>
      </c>
      <c r="T512">
        <v>0.5</v>
      </c>
      <c r="U512">
        <v>2</v>
      </c>
      <c r="V512">
        <v>20</v>
      </c>
      <c r="W512">
        <f>IF(nba_draft[[#This Row],[years_played]]&gt;5,1,0)</f>
        <v>1</v>
      </c>
    </row>
    <row r="513" spans="1:23" x14ac:dyDescent="0.25">
      <c r="A513">
        <v>23</v>
      </c>
      <c r="B513" t="s">
        <v>37</v>
      </c>
      <c r="C513" t="s">
        <v>1240</v>
      </c>
      <c r="D513" t="s">
        <v>92</v>
      </c>
      <c r="E513">
        <v>8</v>
      </c>
      <c r="F513">
        <v>532</v>
      </c>
      <c r="G513">
        <v>10872</v>
      </c>
      <c r="H513">
        <v>3679</v>
      </c>
      <c r="I513">
        <v>2932</v>
      </c>
      <c r="J513">
        <v>566</v>
      </c>
      <c r="K513">
        <v>0.51500000000000001</v>
      </c>
      <c r="L513">
        <v>0.30499999999999999</v>
      </c>
      <c r="M513">
        <v>0.63600000000000001</v>
      </c>
      <c r="N513">
        <v>26.2</v>
      </c>
      <c r="O513">
        <v>0.11600000000000001</v>
      </c>
      <c r="P513">
        <v>2010</v>
      </c>
      <c r="Q513">
        <v>20.399999999999999</v>
      </c>
      <c r="R513">
        <v>6.9</v>
      </c>
      <c r="S513">
        <v>5.5</v>
      </c>
      <c r="T513">
        <v>1.1000000000000001</v>
      </c>
      <c r="U513">
        <v>1</v>
      </c>
      <c r="V513">
        <v>23</v>
      </c>
      <c r="W513">
        <f>IF(nba_draft[[#This Row],[years_played]]&gt;5,1,0)</f>
        <v>1</v>
      </c>
    </row>
    <row r="514" spans="1:23" x14ac:dyDescent="0.25">
      <c r="A514">
        <v>17</v>
      </c>
      <c r="B514" t="s">
        <v>109</v>
      </c>
      <c r="C514" t="s">
        <v>807</v>
      </c>
      <c r="D514" t="s">
        <v>67</v>
      </c>
      <c r="E514">
        <v>7</v>
      </c>
      <c r="F514">
        <v>436</v>
      </c>
      <c r="G514">
        <v>8509</v>
      </c>
      <c r="H514">
        <v>3678</v>
      </c>
      <c r="I514">
        <v>816</v>
      </c>
      <c r="J514">
        <v>775</v>
      </c>
      <c r="K514">
        <v>0.41299999999999998</v>
      </c>
      <c r="L514">
        <v>0.34100000000000003</v>
      </c>
      <c r="M514">
        <v>0.83299999999999996</v>
      </c>
      <c r="N514">
        <v>6.1</v>
      </c>
      <c r="O514">
        <v>3.4000000000000002E-2</v>
      </c>
      <c r="P514">
        <v>2002</v>
      </c>
      <c r="Q514">
        <v>19.5</v>
      </c>
      <c r="R514">
        <v>8.4</v>
      </c>
      <c r="S514">
        <v>1.9</v>
      </c>
      <c r="T514">
        <v>1.8</v>
      </c>
      <c r="U514">
        <v>1</v>
      </c>
      <c r="V514">
        <v>17</v>
      </c>
      <c r="W514">
        <f>IF(nba_draft[[#This Row],[years_played]]&gt;5,1,0)</f>
        <v>1</v>
      </c>
    </row>
    <row r="515" spans="1:23" x14ac:dyDescent="0.25">
      <c r="A515">
        <v>6</v>
      </c>
      <c r="B515" t="s">
        <v>40</v>
      </c>
      <c r="C515" t="s">
        <v>1501</v>
      </c>
      <c r="D515" t="s">
        <v>282</v>
      </c>
      <c r="E515">
        <v>7</v>
      </c>
      <c r="F515">
        <v>420</v>
      </c>
      <c r="G515">
        <v>9270</v>
      </c>
      <c r="H515">
        <v>3675</v>
      </c>
      <c r="I515">
        <v>2468</v>
      </c>
      <c r="J515">
        <v>597</v>
      </c>
      <c r="K515">
        <v>0.54400000000000004</v>
      </c>
      <c r="L515">
        <v>0.188</v>
      </c>
      <c r="M515">
        <v>0.61199999999999999</v>
      </c>
      <c r="N515">
        <v>23.3</v>
      </c>
      <c r="O515">
        <v>0.121</v>
      </c>
      <c r="P515">
        <v>2015</v>
      </c>
      <c r="Q515">
        <v>22.1</v>
      </c>
      <c r="R515">
        <v>8.8000000000000007</v>
      </c>
      <c r="S515">
        <v>5.9</v>
      </c>
      <c r="T515">
        <v>1.4</v>
      </c>
      <c r="U515">
        <v>1</v>
      </c>
      <c r="V515">
        <v>6</v>
      </c>
      <c r="W515">
        <f>IF(nba_draft[[#This Row],[years_played]]&gt;5,1,0)</f>
        <v>1</v>
      </c>
    </row>
    <row r="516" spans="1:23" x14ac:dyDescent="0.25">
      <c r="A516">
        <v>40</v>
      </c>
      <c r="B516" t="s">
        <v>149</v>
      </c>
      <c r="C516" t="s">
        <v>674</v>
      </c>
      <c r="D516" t="s">
        <v>97</v>
      </c>
      <c r="E516">
        <v>6</v>
      </c>
      <c r="F516">
        <v>384</v>
      </c>
      <c r="G516">
        <v>8824</v>
      </c>
      <c r="H516">
        <v>3670</v>
      </c>
      <c r="I516">
        <v>941</v>
      </c>
      <c r="J516">
        <v>584</v>
      </c>
      <c r="K516">
        <v>0.442</v>
      </c>
      <c r="L516">
        <v>0.36799999999999999</v>
      </c>
      <c r="M516">
        <v>0.82299999999999995</v>
      </c>
      <c r="N516">
        <v>8</v>
      </c>
      <c r="O516">
        <v>4.3999999999999997E-2</v>
      </c>
      <c r="P516">
        <v>1999</v>
      </c>
      <c r="Q516">
        <v>23</v>
      </c>
      <c r="R516">
        <v>9.6</v>
      </c>
      <c r="S516">
        <v>2.5</v>
      </c>
      <c r="T516">
        <v>1.5</v>
      </c>
      <c r="U516">
        <v>2</v>
      </c>
      <c r="V516">
        <v>11</v>
      </c>
      <c r="W516">
        <f>IF(nba_draft[[#This Row],[years_played]]&gt;5,1,0)</f>
        <v>1</v>
      </c>
    </row>
    <row r="517" spans="1:23" x14ac:dyDescent="0.25">
      <c r="A517">
        <v>12</v>
      </c>
      <c r="B517" t="s">
        <v>104</v>
      </c>
      <c r="C517" t="s">
        <v>1552</v>
      </c>
      <c r="D517" t="s">
        <v>588</v>
      </c>
      <c r="E517">
        <v>6</v>
      </c>
      <c r="F517">
        <v>348</v>
      </c>
      <c r="G517">
        <v>8480</v>
      </c>
      <c r="H517">
        <v>3667</v>
      </c>
      <c r="I517">
        <v>1378</v>
      </c>
      <c r="J517">
        <v>619</v>
      </c>
      <c r="K517">
        <v>0.41399999999999998</v>
      </c>
      <c r="L517">
        <v>0.372</v>
      </c>
      <c r="M517">
        <v>0.81899999999999995</v>
      </c>
      <c r="N517">
        <v>7.4</v>
      </c>
      <c r="O517">
        <v>4.2000000000000003E-2</v>
      </c>
      <c r="P517">
        <v>2016</v>
      </c>
      <c r="Q517">
        <v>24.4</v>
      </c>
      <c r="R517">
        <v>10.5</v>
      </c>
      <c r="S517">
        <v>4</v>
      </c>
      <c r="T517">
        <v>1.8</v>
      </c>
      <c r="U517">
        <v>1</v>
      </c>
      <c r="V517">
        <v>12</v>
      </c>
      <c r="W517">
        <f>IF(nba_draft[[#This Row],[years_played]]&gt;5,1,0)</f>
        <v>1</v>
      </c>
    </row>
    <row r="518" spans="1:23" x14ac:dyDescent="0.25">
      <c r="A518">
        <v>45</v>
      </c>
      <c r="B518" t="s">
        <v>34</v>
      </c>
      <c r="C518" t="s">
        <v>1486</v>
      </c>
      <c r="D518" t="s">
        <v>226</v>
      </c>
      <c r="E518">
        <v>8</v>
      </c>
      <c r="F518">
        <v>488</v>
      </c>
      <c r="G518">
        <v>9136</v>
      </c>
      <c r="H518">
        <v>3643</v>
      </c>
      <c r="I518">
        <v>2205</v>
      </c>
      <c r="J518">
        <v>493</v>
      </c>
      <c r="K518">
        <v>0.57699999999999996</v>
      </c>
      <c r="L518">
        <v>0.29799999999999999</v>
      </c>
      <c r="M518">
        <v>0.74399999999999999</v>
      </c>
      <c r="N518">
        <v>34.9</v>
      </c>
      <c r="O518">
        <v>0.183</v>
      </c>
      <c r="P518">
        <v>2014</v>
      </c>
      <c r="Q518">
        <v>18.7</v>
      </c>
      <c r="R518">
        <v>7.5</v>
      </c>
      <c r="S518">
        <v>4.5</v>
      </c>
      <c r="T518">
        <v>1</v>
      </c>
      <c r="U518">
        <v>2</v>
      </c>
      <c r="V518">
        <v>15</v>
      </c>
      <c r="W518">
        <f>IF(nba_draft[[#This Row],[years_played]]&gt;5,1,0)</f>
        <v>1</v>
      </c>
    </row>
    <row r="519" spans="1:23" x14ac:dyDescent="0.25">
      <c r="A519">
        <v>2</v>
      </c>
      <c r="B519" t="s">
        <v>393</v>
      </c>
      <c r="C519" t="s">
        <v>1713</v>
      </c>
      <c r="D519" t="s">
        <v>265</v>
      </c>
      <c r="E519">
        <v>3</v>
      </c>
      <c r="F519">
        <v>176</v>
      </c>
      <c r="G519">
        <v>5653</v>
      </c>
      <c r="H519">
        <v>3630</v>
      </c>
      <c r="I519">
        <v>780</v>
      </c>
      <c r="J519">
        <v>1269</v>
      </c>
      <c r="K519">
        <v>0.47299999999999998</v>
      </c>
      <c r="L519">
        <v>0.32100000000000001</v>
      </c>
      <c r="M519">
        <v>0.752</v>
      </c>
      <c r="N519">
        <v>12.6</v>
      </c>
      <c r="O519">
        <v>0.107</v>
      </c>
      <c r="P519">
        <v>2019</v>
      </c>
      <c r="Q519">
        <v>32.1</v>
      </c>
      <c r="R519">
        <v>20.6</v>
      </c>
      <c r="S519">
        <v>4.4000000000000004</v>
      </c>
      <c r="T519">
        <v>7.2</v>
      </c>
      <c r="U519">
        <v>1</v>
      </c>
      <c r="V519">
        <v>2</v>
      </c>
      <c r="W519">
        <f>IF(nba_draft[[#This Row],[years_played]]&gt;5,1,0)</f>
        <v>0</v>
      </c>
    </row>
    <row r="520" spans="1:23" x14ac:dyDescent="0.25">
      <c r="A520">
        <v>22</v>
      </c>
      <c r="B520" t="s">
        <v>75</v>
      </c>
      <c r="C520" t="s">
        <v>242</v>
      </c>
      <c r="D520" t="s">
        <v>222</v>
      </c>
      <c r="E520">
        <v>9</v>
      </c>
      <c r="F520">
        <v>493</v>
      </c>
      <c r="G520">
        <v>11338</v>
      </c>
      <c r="H520">
        <v>3625</v>
      </c>
      <c r="I520">
        <v>2893</v>
      </c>
      <c r="J520">
        <v>1061</v>
      </c>
      <c r="K520">
        <v>0.53400000000000003</v>
      </c>
      <c r="L520">
        <v>0.11600000000000001</v>
      </c>
      <c r="M520">
        <v>0.63900000000000001</v>
      </c>
      <c r="N520">
        <v>21.1</v>
      </c>
      <c r="O520">
        <v>8.8999999999999996E-2</v>
      </c>
      <c r="P520">
        <v>1992</v>
      </c>
      <c r="Q520">
        <v>23</v>
      </c>
      <c r="R520">
        <v>7.4</v>
      </c>
      <c r="S520">
        <v>5.9</v>
      </c>
      <c r="T520">
        <v>2.2000000000000002</v>
      </c>
      <c r="U520">
        <v>1</v>
      </c>
      <c r="V520">
        <v>22</v>
      </c>
      <c r="W520">
        <f>IF(nba_draft[[#This Row],[years_played]]&gt;5,1,0)</f>
        <v>1</v>
      </c>
    </row>
    <row r="521" spans="1:23" x14ac:dyDescent="0.25">
      <c r="A521">
        <v>10</v>
      </c>
      <c r="B521" t="s">
        <v>63</v>
      </c>
      <c r="C521" t="s">
        <v>517</v>
      </c>
      <c r="D521" t="s">
        <v>310</v>
      </c>
      <c r="E521">
        <v>10</v>
      </c>
      <c r="F521">
        <v>440</v>
      </c>
      <c r="G521">
        <v>8832</v>
      </c>
      <c r="H521">
        <v>3615</v>
      </c>
      <c r="I521">
        <v>3184</v>
      </c>
      <c r="J521">
        <v>301</v>
      </c>
      <c r="K521">
        <v>0.47199999999999998</v>
      </c>
      <c r="L521">
        <v>0.16700000000000001</v>
      </c>
      <c r="M521">
        <v>0.78500000000000003</v>
      </c>
      <c r="N521">
        <v>22.3</v>
      </c>
      <c r="O521">
        <v>0.121</v>
      </c>
      <c r="P521">
        <v>1997</v>
      </c>
      <c r="Q521">
        <v>20.100000000000001</v>
      </c>
      <c r="R521">
        <v>8.1999999999999993</v>
      </c>
      <c r="S521">
        <v>7.2</v>
      </c>
      <c r="T521">
        <v>0.7</v>
      </c>
      <c r="U521">
        <v>1</v>
      </c>
      <c r="V521">
        <v>10</v>
      </c>
      <c r="W521">
        <f>IF(nba_draft[[#This Row],[years_played]]&gt;5,1,0)</f>
        <v>1</v>
      </c>
    </row>
    <row r="522" spans="1:23" x14ac:dyDescent="0.25">
      <c r="A522">
        <v>20</v>
      </c>
      <c r="B522" t="s">
        <v>95</v>
      </c>
      <c r="C522" t="s">
        <v>1407</v>
      </c>
      <c r="D522" t="s">
        <v>153</v>
      </c>
      <c r="E522">
        <v>9</v>
      </c>
      <c r="F522">
        <v>589</v>
      </c>
      <c r="G522">
        <v>12870</v>
      </c>
      <c r="H522">
        <v>3608</v>
      </c>
      <c r="I522">
        <v>1346</v>
      </c>
      <c r="J522">
        <v>663</v>
      </c>
      <c r="K522">
        <v>0.43099999999999999</v>
      </c>
      <c r="L522">
        <v>0.39400000000000002</v>
      </c>
      <c r="M522">
        <v>0.84499999999999997</v>
      </c>
      <c r="N522">
        <v>18.399999999999999</v>
      </c>
      <c r="O522">
        <v>6.9000000000000006E-2</v>
      </c>
      <c r="P522">
        <v>2013</v>
      </c>
      <c r="Q522">
        <v>21.9</v>
      </c>
      <c r="R522">
        <v>6.1</v>
      </c>
      <c r="S522">
        <v>2.2999999999999998</v>
      </c>
      <c r="T522">
        <v>1.1000000000000001</v>
      </c>
      <c r="U522">
        <v>1</v>
      </c>
      <c r="V522">
        <v>20</v>
      </c>
      <c r="W522">
        <f>IF(nba_draft[[#This Row],[years_played]]&gt;5,1,0)</f>
        <v>1</v>
      </c>
    </row>
    <row r="523" spans="1:23" x14ac:dyDescent="0.25">
      <c r="A523">
        <v>28</v>
      </c>
      <c r="B523" t="s">
        <v>393</v>
      </c>
      <c r="C523" t="s">
        <v>1245</v>
      </c>
      <c r="D523" t="s">
        <v>67</v>
      </c>
      <c r="E523">
        <v>7</v>
      </c>
      <c r="F523">
        <v>401</v>
      </c>
      <c r="G523">
        <v>9520</v>
      </c>
      <c r="H523">
        <v>3591</v>
      </c>
      <c r="I523">
        <v>1021</v>
      </c>
      <c r="J523">
        <v>1935</v>
      </c>
      <c r="K523">
        <v>0.41799999999999998</v>
      </c>
      <c r="L523">
        <v>0.34899999999999998</v>
      </c>
      <c r="M523">
        <v>0.81699999999999995</v>
      </c>
      <c r="N523">
        <v>12.6</v>
      </c>
      <c r="O523">
        <v>6.4000000000000001E-2</v>
      </c>
      <c r="P523">
        <v>2010</v>
      </c>
      <c r="Q523">
        <v>23.7</v>
      </c>
      <c r="R523">
        <v>9</v>
      </c>
      <c r="S523">
        <v>2.5</v>
      </c>
      <c r="T523">
        <v>4.8</v>
      </c>
      <c r="U523">
        <v>1</v>
      </c>
      <c r="V523">
        <v>28</v>
      </c>
      <c r="W523">
        <f>IF(nba_draft[[#This Row],[years_played]]&gt;5,1,0)</f>
        <v>1</v>
      </c>
    </row>
    <row r="524" spans="1:23" x14ac:dyDescent="0.25">
      <c r="A524">
        <v>29</v>
      </c>
      <c r="B524" t="s">
        <v>82</v>
      </c>
      <c r="C524" t="s">
        <v>1569</v>
      </c>
      <c r="D524" t="s">
        <v>325</v>
      </c>
      <c r="E524">
        <v>5</v>
      </c>
      <c r="F524">
        <v>304</v>
      </c>
      <c r="G524">
        <v>7681</v>
      </c>
      <c r="H524">
        <v>3591</v>
      </c>
      <c r="I524">
        <v>1789</v>
      </c>
      <c r="J524">
        <v>1399</v>
      </c>
      <c r="K524">
        <v>0.45400000000000001</v>
      </c>
      <c r="L524">
        <v>0.32800000000000001</v>
      </c>
      <c r="M524">
        <v>0.75800000000000001</v>
      </c>
      <c r="N524">
        <v>14.8</v>
      </c>
      <c r="O524">
        <v>9.1999999999999998E-2</v>
      </c>
      <c r="P524">
        <v>2016</v>
      </c>
      <c r="Q524">
        <v>25.3</v>
      </c>
      <c r="R524">
        <v>11.8</v>
      </c>
      <c r="S524">
        <v>5.9</v>
      </c>
      <c r="T524">
        <v>4.5999999999999996</v>
      </c>
      <c r="U524">
        <v>1</v>
      </c>
      <c r="V524">
        <v>29</v>
      </c>
      <c r="W524">
        <f>IF(nba_draft[[#This Row],[years_played]]&gt;5,1,0)</f>
        <v>0</v>
      </c>
    </row>
    <row r="525" spans="1:23" x14ac:dyDescent="0.25">
      <c r="A525">
        <v>37</v>
      </c>
      <c r="B525" t="s">
        <v>102</v>
      </c>
      <c r="C525" t="s">
        <v>1532</v>
      </c>
      <c r="D525" t="s">
        <v>510</v>
      </c>
      <c r="E525">
        <v>7</v>
      </c>
      <c r="F525">
        <v>372</v>
      </c>
      <c r="G525">
        <v>7861</v>
      </c>
      <c r="H525">
        <v>3586</v>
      </c>
      <c r="I525">
        <v>2152</v>
      </c>
      <c r="J525">
        <v>401</v>
      </c>
      <c r="K525">
        <v>0.60599999999999998</v>
      </c>
      <c r="L525">
        <v>0.25600000000000001</v>
      </c>
      <c r="M525">
        <v>0.745</v>
      </c>
      <c r="N525">
        <v>26.6</v>
      </c>
      <c r="O525">
        <v>0.16200000000000001</v>
      </c>
      <c r="P525">
        <v>2015</v>
      </c>
      <c r="Q525">
        <v>21.1</v>
      </c>
      <c r="R525">
        <v>9.6</v>
      </c>
      <c r="S525">
        <v>5.8</v>
      </c>
      <c r="T525">
        <v>1.1000000000000001</v>
      </c>
      <c r="U525">
        <v>2</v>
      </c>
      <c r="V525">
        <v>7</v>
      </c>
      <c r="W525">
        <f>IF(nba_draft[[#This Row],[years_played]]&gt;5,1,0)</f>
        <v>1</v>
      </c>
    </row>
    <row r="526" spans="1:23" x14ac:dyDescent="0.25">
      <c r="A526">
        <v>27</v>
      </c>
      <c r="B526" t="s">
        <v>85</v>
      </c>
      <c r="C526" t="s">
        <v>972</v>
      </c>
      <c r="D526" t="s">
        <v>151</v>
      </c>
      <c r="E526">
        <v>7</v>
      </c>
      <c r="F526">
        <v>409</v>
      </c>
      <c r="G526">
        <v>8185</v>
      </c>
      <c r="H526">
        <v>3561</v>
      </c>
      <c r="I526">
        <v>1470</v>
      </c>
      <c r="J526">
        <v>321</v>
      </c>
      <c r="K526">
        <v>0.435</v>
      </c>
      <c r="L526">
        <v>0.33500000000000002</v>
      </c>
      <c r="M526">
        <v>0.76300000000000001</v>
      </c>
      <c r="N526">
        <v>13.6</v>
      </c>
      <c r="O526">
        <v>0.08</v>
      </c>
      <c r="P526">
        <v>2005</v>
      </c>
      <c r="Q526">
        <v>20</v>
      </c>
      <c r="R526">
        <v>8.6999999999999993</v>
      </c>
      <c r="S526">
        <v>3.6</v>
      </c>
      <c r="T526">
        <v>0.8</v>
      </c>
      <c r="U526">
        <v>1</v>
      </c>
      <c r="V526">
        <v>27</v>
      </c>
      <c r="W526">
        <f>IF(nba_draft[[#This Row],[years_played]]&gt;5,1,0)</f>
        <v>1</v>
      </c>
    </row>
    <row r="527" spans="1:23" x14ac:dyDescent="0.25">
      <c r="A527">
        <v>10</v>
      </c>
      <c r="B527" t="s">
        <v>109</v>
      </c>
      <c r="C527" t="s">
        <v>855</v>
      </c>
      <c r="D527" t="s">
        <v>57</v>
      </c>
      <c r="E527">
        <v>7</v>
      </c>
      <c r="F527">
        <v>427</v>
      </c>
      <c r="G527">
        <v>9898</v>
      </c>
      <c r="H527">
        <v>3553</v>
      </c>
      <c r="I527">
        <v>1330</v>
      </c>
      <c r="J527">
        <v>459</v>
      </c>
      <c r="K527">
        <v>0.41499999999999998</v>
      </c>
      <c r="L527">
        <v>0.35599999999999998</v>
      </c>
      <c r="M527">
        <v>0.79800000000000004</v>
      </c>
      <c r="N527">
        <v>10.199999999999999</v>
      </c>
      <c r="O527">
        <v>4.9000000000000002E-2</v>
      </c>
      <c r="P527">
        <v>2003</v>
      </c>
      <c r="Q527">
        <v>23.2</v>
      </c>
      <c r="R527">
        <v>8.3000000000000007</v>
      </c>
      <c r="S527">
        <v>3.1</v>
      </c>
      <c r="T527">
        <v>1.1000000000000001</v>
      </c>
      <c r="U527">
        <v>1</v>
      </c>
      <c r="V527">
        <v>10</v>
      </c>
      <c r="W527">
        <f>IF(nba_draft[[#This Row],[years_played]]&gt;5,1,0)</f>
        <v>1</v>
      </c>
    </row>
    <row r="528" spans="1:23" x14ac:dyDescent="0.25">
      <c r="A528">
        <v>6</v>
      </c>
      <c r="B528" t="s">
        <v>49</v>
      </c>
      <c r="C528" t="s">
        <v>901</v>
      </c>
      <c r="D528" t="s">
        <v>226</v>
      </c>
      <c r="E528">
        <v>8</v>
      </c>
      <c r="F528">
        <v>391</v>
      </c>
      <c r="G528">
        <v>10432</v>
      </c>
      <c r="H528">
        <v>3548</v>
      </c>
      <c r="I528">
        <v>1850</v>
      </c>
      <c r="J528">
        <v>609</v>
      </c>
      <c r="K528">
        <v>0.52200000000000002</v>
      </c>
      <c r="L528">
        <v>0.32900000000000001</v>
      </c>
      <c r="M528">
        <v>0.77900000000000003</v>
      </c>
      <c r="N528">
        <v>25.7</v>
      </c>
      <c r="O528">
        <v>0.11799999999999999</v>
      </c>
      <c r="P528">
        <v>2004</v>
      </c>
      <c r="Q528">
        <v>26.7</v>
      </c>
      <c r="R528">
        <v>9.1</v>
      </c>
      <c r="S528">
        <v>4.7</v>
      </c>
      <c r="T528">
        <v>1.6</v>
      </c>
      <c r="U528">
        <v>1</v>
      </c>
      <c r="V528">
        <v>6</v>
      </c>
      <c r="W528">
        <f>IF(nba_draft[[#This Row],[years_played]]&gt;5,1,0)</f>
        <v>1</v>
      </c>
    </row>
    <row r="529" spans="1:23" x14ac:dyDescent="0.25">
      <c r="A529">
        <v>9</v>
      </c>
      <c r="B529" t="s">
        <v>34</v>
      </c>
      <c r="C529" t="s">
        <v>1504</v>
      </c>
      <c r="D529" t="s">
        <v>412</v>
      </c>
      <c r="E529">
        <v>7</v>
      </c>
      <c r="F529">
        <v>377</v>
      </c>
      <c r="G529">
        <v>7925</v>
      </c>
      <c r="H529">
        <v>3541</v>
      </c>
      <c r="I529">
        <v>1527</v>
      </c>
      <c r="J529">
        <v>619</v>
      </c>
      <c r="K529">
        <v>0.42899999999999999</v>
      </c>
      <c r="L529">
        <v>0.34799999999999998</v>
      </c>
      <c r="M529">
        <v>0.74299999999999999</v>
      </c>
      <c r="N529">
        <v>15.3</v>
      </c>
      <c r="O529">
        <v>9.2999999999999999E-2</v>
      </c>
      <c r="P529">
        <v>2015</v>
      </c>
      <c r="Q529">
        <v>21</v>
      </c>
      <c r="R529">
        <v>9.4</v>
      </c>
      <c r="S529">
        <v>4.0999999999999996</v>
      </c>
      <c r="T529">
        <v>1.6</v>
      </c>
      <c r="U529">
        <v>1</v>
      </c>
      <c r="V529">
        <v>9</v>
      </c>
      <c r="W529">
        <f>IF(nba_draft[[#This Row],[years_played]]&gt;5,1,0)</f>
        <v>1</v>
      </c>
    </row>
    <row r="530" spans="1:23" x14ac:dyDescent="0.25">
      <c r="A530">
        <v>23</v>
      </c>
      <c r="B530" t="s">
        <v>90</v>
      </c>
      <c r="C530" t="s">
        <v>653</v>
      </c>
      <c r="D530" t="s">
        <v>654</v>
      </c>
      <c r="E530">
        <v>11</v>
      </c>
      <c r="F530">
        <v>630</v>
      </c>
      <c r="G530">
        <v>11682</v>
      </c>
      <c r="H530">
        <v>3536</v>
      </c>
      <c r="I530">
        <v>1975</v>
      </c>
      <c r="J530">
        <v>543</v>
      </c>
      <c r="K530">
        <v>0.39200000000000002</v>
      </c>
      <c r="L530">
        <v>0.34300000000000003</v>
      </c>
      <c r="M530">
        <v>0.72099999999999997</v>
      </c>
      <c r="N530">
        <v>18.2</v>
      </c>
      <c r="O530">
        <v>7.4999999999999997E-2</v>
      </c>
      <c r="P530">
        <v>1999</v>
      </c>
      <c r="Q530">
        <v>18.5</v>
      </c>
      <c r="R530">
        <v>5.6</v>
      </c>
      <c r="S530">
        <v>3.1</v>
      </c>
      <c r="T530">
        <v>0.9</v>
      </c>
      <c r="U530">
        <v>1</v>
      </c>
      <c r="V530">
        <v>23</v>
      </c>
      <c r="W530">
        <f>IF(nba_draft[[#This Row],[years_played]]&gt;5,1,0)</f>
        <v>1</v>
      </c>
    </row>
    <row r="531" spans="1:23" x14ac:dyDescent="0.25">
      <c r="A531">
        <v>14</v>
      </c>
      <c r="B531" t="s">
        <v>43</v>
      </c>
      <c r="C531" t="s">
        <v>1069</v>
      </c>
      <c r="D531" t="s">
        <v>298</v>
      </c>
      <c r="E531">
        <v>4</v>
      </c>
      <c r="F531">
        <v>296</v>
      </c>
      <c r="G531">
        <v>8274</v>
      </c>
      <c r="H531">
        <v>3527</v>
      </c>
      <c r="I531">
        <v>1233</v>
      </c>
      <c r="J531">
        <v>353</v>
      </c>
      <c r="K531">
        <v>0.45200000000000001</v>
      </c>
      <c r="L531">
        <v>0.29299999999999998</v>
      </c>
      <c r="M531">
        <v>0.747</v>
      </c>
      <c r="N531">
        <v>6.1</v>
      </c>
      <c r="O531">
        <v>3.5000000000000003E-2</v>
      </c>
      <c r="P531">
        <v>2007</v>
      </c>
      <c r="Q531">
        <v>28</v>
      </c>
      <c r="R531">
        <v>11.9</v>
      </c>
      <c r="S531">
        <v>4.2</v>
      </c>
      <c r="T531">
        <v>1.2</v>
      </c>
      <c r="U531">
        <v>1</v>
      </c>
      <c r="V531">
        <v>14</v>
      </c>
      <c r="W531">
        <f>IF(nba_draft[[#This Row],[years_played]]&gt;5,1,0)</f>
        <v>0</v>
      </c>
    </row>
    <row r="532" spans="1:23" x14ac:dyDescent="0.25">
      <c r="A532">
        <v>28</v>
      </c>
      <c r="B532" t="s">
        <v>104</v>
      </c>
      <c r="C532" t="s">
        <v>420</v>
      </c>
      <c r="D532" t="s">
        <v>108</v>
      </c>
      <c r="E532">
        <v>11</v>
      </c>
      <c r="F532">
        <v>756</v>
      </c>
      <c r="G532">
        <v>14753</v>
      </c>
      <c r="H532">
        <v>3512</v>
      </c>
      <c r="I532">
        <v>4145</v>
      </c>
      <c r="J532">
        <v>443</v>
      </c>
      <c r="K532">
        <v>0.48599999999999999</v>
      </c>
      <c r="L532">
        <v>0.1</v>
      </c>
      <c r="M532">
        <v>0.56899999999999995</v>
      </c>
      <c r="N532">
        <v>33.799999999999997</v>
      </c>
      <c r="O532">
        <v>0.11</v>
      </c>
      <c r="P532">
        <v>1995</v>
      </c>
      <c r="Q532">
        <v>19.5</v>
      </c>
      <c r="R532">
        <v>4.5999999999999996</v>
      </c>
      <c r="S532">
        <v>5.5</v>
      </c>
      <c r="T532">
        <v>0.6</v>
      </c>
      <c r="U532">
        <v>1</v>
      </c>
      <c r="V532">
        <v>28</v>
      </c>
      <c r="W532">
        <f>IF(nba_draft[[#This Row],[years_played]]&gt;5,1,0)</f>
        <v>1</v>
      </c>
    </row>
    <row r="533" spans="1:23" x14ac:dyDescent="0.25">
      <c r="A533">
        <v>19</v>
      </c>
      <c r="B533" t="s">
        <v>88</v>
      </c>
      <c r="C533" t="s">
        <v>239</v>
      </c>
      <c r="D533" t="s">
        <v>113</v>
      </c>
      <c r="E533">
        <v>9</v>
      </c>
      <c r="F533">
        <v>319</v>
      </c>
      <c r="G533">
        <v>6679</v>
      </c>
      <c r="H533">
        <v>3490</v>
      </c>
      <c r="I533">
        <v>1210</v>
      </c>
      <c r="J533">
        <v>404</v>
      </c>
      <c r="K533">
        <v>0.45500000000000002</v>
      </c>
      <c r="L533">
        <v>0.28399999999999997</v>
      </c>
      <c r="M533">
        <v>0.76500000000000001</v>
      </c>
      <c r="N533">
        <v>9.4</v>
      </c>
      <c r="O533">
        <v>6.7000000000000004E-2</v>
      </c>
      <c r="P533">
        <v>1992</v>
      </c>
      <c r="Q533">
        <v>20.9</v>
      </c>
      <c r="R533">
        <v>10.9</v>
      </c>
      <c r="S533">
        <v>3.8</v>
      </c>
      <c r="T533">
        <v>1.3</v>
      </c>
      <c r="U533">
        <v>1</v>
      </c>
      <c r="V533">
        <v>19</v>
      </c>
      <c r="W533">
        <f>IF(nba_draft[[#This Row],[years_played]]&gt;5,1,0)</f>
        <v>1</v>
      </c>
    </row>
    <row r="534" spans="1:23" x14ac:dyDescent="0.25">
      <c r="A534">
        <v>26</v>
      </c>
      <c r="B534" t="s">
        <v>88</v>
      </c>
      <c r="C534" t="s">
        <v>971</v>
      </c>
      <c r="D534" t="s">
        <v>310</v>
      </c>
      <c r="E534">
        <v>10</v>
      </c>
      <c r="F534">
        <v>618</v>
      </c>
      <c r="G534">
        <v>11379</v>
      </c>
      <c r="H534">
        <v>3481</v>
      </c>
      <c r="I534">
        <v>2576</v>
      </c>
      <c r="J534">
        <v>266</v>
      </c>
      <c r="K534">
        <v>0.495</v>
      </c>
      <c r="L534">
        <v>0</v>
      </c>
      <c r="M534">
        <v>0.56399999999999995</v>
      </c>
      <c r="N534">
        <v>20.3</v>
      </c>
      <c r="O534">
        <v>8.5999999999999993E-2</v>
      </c>
      <c r="P534">
        <v>2005</v>
      </c>
      <c r="Q534">
        <v>18.399999999999999</v>
      </c>
      <c r="R534">
        <v>5.6</v>
      </c>
      <c r="S534">
        <v>4.2</v>
      </c>
      <c r="T534">
        <v>0.4</v>
      </c>
      <c r="U534">
        <v>1</v>
      </c>
      <c r="V534">
        <v>26</v>
      </c>
      <c r="W534">
        <f>IF(nba_draft[[#This Row],[years_played]]&gt;5,1,0)</f>
        <v>1</v>
      </c>
    </row>
    <row r="535" spans="1:23" x14ac:dyDescent="0.25">
      <c r="A535">
        <v>23</v>
      </c>
      <c r="B535" t="s">
        <v>25</v>
      </c>
      <c r="C535" t="s">
        <v>306</v>
      </c>
      <c r="D535" t="s">
        <v>307</v>
      </c>
      <c r="E535">
        <v>13</v>
      </c>
      <c r="F535">
        <v>845</v>
      </c>
      <c r="G535">
        <v>16989</v>
      </c>
      <c r="H535">
        <v>3473</v>
      </c>
      <c r="I535">
        <v>5148</v>
      </c>
      <c r="J535">
        <v>387</v>
      </c>
      <c r="K535">
        <v>0.505</v>
      </c>
      <c r="L535">
        <v>0.2</v>
      </c>
      <c r="M535">
        <v>0.60499999999999998</v>
      </c>
      <c r="N535">
        <v>37.799999999999997</v>
      </c>
      <c r="O535">
        <v>0.107</v>
      </c>
      <c r="P535">
        <v>1993</v>
      </c>
      <c r="Q535">
        <v>20.100000000000001</v>
      </c>
      <c r="R535">
        <v>4.0999999999999996</v>
      </c>
      <c r="S535">
        <v>6.1</v>
      </c>
      <c r="T535">
        <v>0.5</v>
      </c>
      <c r="U535">
        <v>1</v>
      </c>
      <c r="V535">
        <v>23</v>
      </c>
      <c r="W535">
        <f>IF(nba_draft[[#This Row],[years_played]]&gt;5,1,0)</f>
        <v>1</v>
      </c>
    </row>
    <row r="536" spans="1:23" x14ac:dyDescent="0.25">
      <c r="A536">
        <v>21</v>
      </c>
      <c r="B536" t="s">
        <v>75</v>
      </c>
      <c r="C536" t="s">
        <v>76</v>
      </c>
      <c r="D536" t="s">
        <v>77</v>
      </c>
      <c r="E536">
        <v>9</v>
      </c>
      <c r="F536">
        <v>475</v>
      </c>
      <c r="G536">
        <v>9805</v>
      </c>
      <c r="H536">
        <v>3472</v>
      </c>
      <c r="I536">
        <v>3584</v>
      </c>
      <c r="J536">
        <v>287</v>
      </c>
      <c r="K536">
        <v>0.44</v>
      </c>
      <c r="L536">
        <v>0.125</v>
      </c>
      <c r="M536">
        <v>0.60599999999999998</v>
      </c>
      <c r="N536">
        <v>20</v>
      </c>
      <c r="O536">
        <v>9.8000000000000004E-2</v>
      </c>
      <c r="P536">
        <v>1990</v>
      </c>
      <c r="Q536">
        <v>20.6</v>
      </c>
      <c r="R536">
        <v>7.3</v>
      </c>
      <c r="S536">
        <v>7.5</v>
      </c>
      <c r="T536">
        <v>0.6</v>
      </c>
      <c r="U536">
        <v>1</v>
      </c>
      <c r="V536">
        <v>21</v>
      </c>
      <c r="W536">
        <f>IF(nba_draft[[#This Row],[years_played]]&gt;5,1,0)</f>
        <v>1</v>
      </c>
    </row>
    <row r="537" spans="1:23" x14ac:dyDescent="0.25">
      <c r="A537">
        <v>27</v>
      </c>
      <c r="B537" t="s">
        <v>104</v>
      </c>
      <c r="C537" t="s">
        <v>537</v>
      </c>
      <c r="D537" t="s">
        <v>108</v>
      </c>
      <c r="E537">
        <v>12</v>
      </c>
      <c r="F537">
        <v>776</v>
      </c>
      <c r="G537">
        <v>12658</v>
      </c>
      <c r="H537">
        <v>3463</v>
      </c>
      <c r="I537">
        <v>1028</v>
      </c>
      <c r="J537">
        <v>1919</v>
      </c>
      <c r="K537">
        <v>0.42899999999999999</v>
      </c>
      <c r="L537">
        <v>0.35199999999999998</v>
      </c>
      <c r="M537">
        <v>0.77900000000000003</v>
      </c>
      <c r="N537">
        <v>15.4</v>
      </c>
      <c r="O537">
        <v>5.8000000000000003E-2</v>
      </c>
      <c r="P537">
        <v>1997</v>
      </c>
      <c r="Q537">
        <v>16.3</v>
      </c>
      <c r="R537">
        <v>4.5</v>
      </c>
      <c r="S537">
        <v>1.3</v>
      </c>
      <c r="T537">
        <v>2.5</v>
      </c>
      <c r="U537">
        <v>1</v>
      </c>
      <c r="V537">
        <v>27</v>
      </c>
      <c r="W537">
        <f>IF(nba_draft[[#This Row],[years_played]]&gt;5,1,0)</f>
        <v>1</v>
      </c>
    </row>
    <row r="538" spans="1:23" x14ac:dyDescent="0.25">
      <c r="A538">
        <v>1</v>
      </c>
      <c r="B538" t="s">
        <v>75</v>
      </c>
      <c r="C538" t="s">
        <v>1652</v>
      </c>
      <c r="D538" t="s">
        <v>117</v>
      </c>
      <c r="E538">
        <v>4</v>
      </c>
      <c r="F538">
        <v>215</v>
      </c>
      <c r="G538">
        <v>6610</v>
      </c>
      <c r="H538">
        <v>3455</v>
      </c>
      <c r="I538">
        <v>2272</v>
      </c>
      <c r="J538">
        <v>349</v>
      </c>
      <c r="K538">
        <v>0.59499999999999997</v>
      </c>
      <c r="L538">
        <v>0.19600000000000001</v>
      </c>
      <c r="M538">
        <v>0.751</v>
      </c>
      <c r="N538">
        <v>22.1</v>
      </c>
      <c r="O538">
        <v>0.161</v>
      </c>
      <c r="P538">
        <v>2018</v>
      </c>
      <c r="Q538">
        <v>30.7</v>
      </c>
      <c r="R538">
        <v>16.100000000000001</v>
      </c>
      <c r="S538">
        <v>10.6</v>
      </c>
      <c r="T538">
        <v>1.6</v>
      </c>
      <c r="U538">
        <v>1</v>
      </c>
      <c r="V538">
        <v>1</v>
      </c>
      <c r="W538">
        <f>IF(nba_draft[[#This Row],[years_played]]&gt;5,1,0)</f>
        <v>0</v>
      </c>
    </row>
    <row r="539" spans="1:23" x14ac:dyDescent="0.25">
      <c r="A539">
        <v>31</v>
      </c>
      <c r="B539" t="s">
        <v>138</v>
      </c>
      <c r="C539" t="s">
        <v>1417</v>
      </c>
      <c r="D539" t="s">
        <v>336</v>
      </c>
      <c r="E539">
        <v>7</v>
      </c>
      <c r="F539">
        <v>381</v>
      </c>
      <c r="G539">
        <v>9125</v>
      </c>
      <c r="H539">
        <v>3453</v>
      </c>
      <c r="I539">
        <v>1073</v>
      </c>
      <c r="J539">
        <v>434</v>
      </c>
      <c r="K539">
        <v>0.42499999999999999</v>
      </c>
      <c r="L539">
        <v>0.38700000000000001</v>
      </c>
      <c r="M539">
        <v>0.83099999999999996</v>
      </c>
      <c r="N539">
        <v>13.7</v>
      </c>
      <c r="O539">
        <v>7.1999999999999995E-2</v>
      </c>
      <c r="P539">
        <v>2013</v>
      </c>
      <c r="Q539">
        <v>24</v>
      </c>
      <c r="R539">
        <v>9.1</v>
      </c>
      <c r="S539">
        <v>2.8</v>
      </c>
      <c r="T539">
        <v>1.1000000000000001</v>
      </c>
      <c r="U539">
        <v>2</v>
      </c>
      <c r="V539">
        <v>1</v>
      </c>
      <c r="W539">
        <f>IF(nba_draft[[#This Row],[years_played]]&gt;5,1,0)</f>
        <v>1</v>
      </c>
    </row>
    <row r="540" spans="1:23" x14ac:dyDescent="0.25">
      <c r="A540">
        <v>37</v>
      </c>
      <c r="B540" t="s">
        <v>43</v>
      </c>
      <c r="C540" t="s">
        <v>195</v>
      </c>
      <c r="D540" t="s">
        <v>196</v>
      </c>
      <c r="E540">
        <v>10</v>
      </c>
      <c r="F540">
        <v>549</v>
      </c>
      <c r="G540">
        <v>9501</v>
      </c>
      <c r="H540">
        <v>3449</v>
      </c>
      <c r="I540">
        <v>742</v>
      </c>
      <c r="J540">
        <v>1699</v>
      </c>
      <c r="K540">
        <v>0.45900000000000002</v>
      </c>
      <c r="L540">
        <v>0.35899999999999999</v>
      </c>
      <c r="M540">
        <v>0.78300000000000003</v>
      </c>
      <c r="N540">
        <v>14</v>
      </c>
      <c r="O540">
        <v>7.0999999999999994E-2</v>
      </c>
      <c r="P540">
        <v>1991</v>
      </c>
      <c r="Q540">
        <v>17.3</v>
      </c>
      <c r="R540">
        <v>6.3</v>
      </c>
      <c r="S540">
        <v>1.4</v>
      </c>
      <c r="T540">
        <v>3.1</v>
      </c>
      <c r="U540">
        <v>2</v>
      </c>
      <c r="V540">
        <v>10</v>
      </c>
      <c r="W540">
        <f>IF(nba_draft[[#This Row],[years_played]]&gt;5,1,0)</f>
        <v>1</v>
      </c>
    </row>
    <row r="541" spans="1:23" x14ac:dyDescent="0.25">
      <c r="A541">
        <v>12</v>
      </c>
      <c r="B541" t="s">
        <v>43</v>
      </c>
      <c r="C541" t="s">
        <v>1663</v>
      </c>
      <c r="D541" t="s">
        <v>148</v>
      </c>
      <c r="E541">
        <v>4</v>
      </c>
      <c r="F541">
        <v>269</v>
      </c>
      <c r="G541">
        <v>7726</v>
      </c>
      <c r="H541">
        <v>3441</v>
      </c>
      <c r="I541">
        <v>1500</v>
      </c>
      <c r="J541">
        <v>564</v>
      </c>
      <c r="K541">
        <v>0.46700000000000003</v>
      </c>
      <c r="L541">
        <v>0.34</v>
      </c>
      <c r="M541">
        <v>0.80800000000000005</v>
      </c>
      <c r="N541">
        <v>13.7</v>
      </c>
      <c r="O541">
        <v>8.5000000000000006E-2</v>
      </c>
      <c r="P541">
        <v>2018</v>
      </c>
      <c r="Q541">
        <v>28.7</v>
      </c>
      <c r="R541">
        <v>12.8</v>
      </c>
      <c r="S541">
        <v>5.6</v>
      </c>
      <c r="T541">
        <v>2.1</v>
      </c>
      <c r="U541">
        <v>1</v>
      </c>
      <c r="V541">
        <v>12</v>
      </c>
      <c r="W541">
        <f>IF(nba_draft[[#This Row],[years_played]]&gt;5,1,0)</f>
        <v>0</v>
      </c>
    </row>
    <row r="542" spans="1:23" x14ac:dyDescent="0.25">
      <c r="A542">
        <v>27</v>
      </c>
      <c r="B542" t="s">
        <v>22</v>
      </c>
      <c r="C542" t="s">
        <v>1244</v>
      </c>
      <c r="D542" t="s">
        <v>54</v>
      </c>
      <c r="E542">
        <v>6</v>
      </c>
      <c r="F542">
        <v>281</v>
      </c>
      <c r="G542">
        <v>6843</v>
      </c>
      <c r="H542">
        <v>3432</v>
      </c>
      <c r="I542">
        <v>703</v>
      </c>
      <c r="J542">
        <v>883</v>
      </c>
      <c r="K542">
        <v>0.41099999999999998</v>
      </c>
      <c r="L542">
        <v>0.317</v>
      </c>
      <c r="M542">
        <v>0.82599999999999996</v>
      </c>
      <c r="N542">
        <v>6.3</v>
      </c>
      <c r="O542">
        <v>4.3999999999999997E-2</v>
      </c>
      <c r="P542">
        <v>2010</v>
      </c>
      <c r="Q542">
        <v>24.4</v>
      </c>
      <c r="R542">
        <v>12.2</v>
      </c>
      <c r="S542">
        <v>2.5</v>
      </c>
      <c r="T542">
        <v>3.1</v>
      </c>
      <c r="U542">
        <v>1</v>
      </c>
      <c r="V542">
        <v>27</v>
      </c>
      <c r="W542">
        <f>IF(nba_draft[[#This Row],[years_played]]&gt;5,1,0)</f>
        <v>1</v>
      </c>
    </row>
    <row r="543" spans="1:23" x14ac:dyDescent="0.25">
      <c r="A543">
        <v>50</v>
      </c>
      <c r="B543" t="s">
        <v>70</v>
      </c>
      <c r="C543" t="s">
        <v>836</v>
      </c>
      <c r="D543" t="s">
        <v>269</v>
      </c>
      <c r="E543">
        <v>8</v>
      </c>
      <c r="F543">
        <v>495</v>
      </c>
      <c r="G543">
        <v>9229</v>
      </c>
      <c r="H543">
        <v>3415</v>
      </c>
      <c r="I543">
        <v>1689</v>
      </c>
      <c r="J543">
        <v>589</v>
      </c>
      <c r="K543">
        <v>0.499</v>
      </c>
      <c r="L543">
        <v>0.158</v>
      </c>
      <c r="M543">
        <v>0.84399999999999997</v>
      </c>
      <c r="N543">
        <v>15.9</v>
      </c>
      <c r="O543">
        <v>8.3000000000000004E-2</v>
      </c>
      <c r="P543">
        <v>2002</v>
      </c>
      <c r="Q543">
        <v>18.600000000000001</v>
      </c>
      <c r="R543">
        <v>6.9</v>
      </c>
      <c r="S543">
        <v>3.4</v>
      </c>
      <c r="T543">
        <v>1.2</v>
      </c>
      <c r="U543">
        <v>2</v>
      </c>
      <c r="V543">
        <v>21</v>
      </c>
      <c r="W543">
        <f>IF(nba_draft[[#This Row],[years_played]]&gt;5,1,0)</f>
        <v>1</v>
      </c>
    </row>
    <row r="544" spans="1:23" x14ac:dyDescent="0.25">
      <c r="A544">
        <v>31</v>
      </c>
      <c r="B544" t="s">
        <v>37</v>
      </c>
      <c r="C544" t="s">
        <v>1140</v>
      </c>
      <c r="D544" t="s">
        <v>97</v>
      </c>
      <c r="E544">
        <v>6</v>
      </c>
      <c r="F544">
        <v>271</v>
      </c>
      <c r="G544">
        <v>6744</v>
      </c>
      <c r="H544">
        <v>3405</v>
      </c>
      <c r="I544">
        <v>1807</v>
      </c>
      <c r="J544">
        <v>199</v>
      </c>
      <c r="K544">
        <v>0.51800000000000002</v>
      </c>
      <c r="L544">
        <v>0</v>
      </c>
      <c r="M544">
        <v>0.76</v>
      </c>
      <c r="N544">
        <v>18.8</v>
      </c>
      <c r="O544">
        <v>0.13400000000000001</v>
      </c>
      <c r="P544">
        <v>2008</v>
      </c>
      <c r="Q544">
        <v>24.9</v>
      </c>
      <c r="R544">
        <v>12.6</v>
      </c>
      <c r="S544">
        <v>6.7</v>
      </c>
      <c r="T544">
        <v>0.7</v>
      </c>
      <c r="U544">
        <v>2</v>
      </c>
      <c r="V544">
        <v>1</v>
      </c>
      <c r="W544">
        <f>IF(nba_draft[[#This Row],[years_played]]&gt;5,1,0)</f>
        <v>1</v>
      </c>
    </row>
    <row r="545" spans="1:23" x14ac:dyDescent="0.25">
      <c r="A545">
        <v>31</v>
      </c>
      <c r="B545" t="s">
        <v>138</v>
      </c>
      <c r="C545" t="s">
        <v>877</v>
      </c>
      <c r="D545" t="s">
        <v>113</v>
      </c>
      <c r="E545">
        <v>9</v>
      </c>
      <c r="F545">
        <v>509</v>
      </c>
      <c r="G545">
        <v>9068</v>
      </c>
      <c r="H545">
        <v>3398</v>
      </c>
      <c r="I545">
        <v>844</v>
      </c>
      <c r="J545">
        <v>417</v>
      </c>
      <c r="K545">
        <v>0.442</v>
      </c>
      <c r="L545">
        <v>0.434</v>
      </c>
      <c r="M545">
        <v>0.83499999999999996</v>
      </c>
      <c r="N545">
        <v>10.3</v>
      </c>
      <c r="O545">
        <v>5.5E-2</v>
      </c>
      <c r="P545">
        <v>2003</v>
      </c>
      <c r="Q545">
        <v>17.8</v>
      </c>
      <c r="R545">
        <v>6.7</v>
      </c>
      <c r="S545">
        <v>1.7</v>
      </c>
      <c r="T545">
        <v>0.8</v>
      </c>
      <c r="U545">
        <v>2</v>
      </c>
      <c r="V545">
        <v>2</v>
      </c>
      <c r="W545">
        <f>IF(nba_draft[[#This Row],[years_played]]&gt;5,1,0)</f>
        <v>1</v>
      </c>
    </row>
    <row r="546" spans="1:23" x14ac:dyDescent="0.25">
      <c r="A546">
        <v>14</v>
      </c>
      <c r="B546" t="s">
        <v>63</v>
      </c>
      <c r="C546" t="s">
        <v>1341</v>
      </c>
      <c r="D546" t="s">
        <v>179</v>
      </c>
      <c r="E546">
        <v>8</v>
      </c>
      <c r="F546">
        <v>445</v>
      </c>
      <c r="G546">
        <v>8752</v>
      </c>
      <c r="H546">
        <v>3383</v>
      </c>
      <c r="I546">
        <v>2368</v>
      </c>
      <c r="J546">
        <v>496</v>
      </c>
      <c r="K546">
        <v>0.54</v>
      </c>
      <c r="L546">
        <v>0.25</v>
      </c>
      <c r="M546">
        <v>0.56799999999999995</v>
      </c>
      <c r="N546">
        <v>20.7</v>
      </c>
      <c r="O546">
        <v>0.113</v>
      </c>
      <c r="P546">
        <v>2012</v>
      </c>
      <c r="Q546">
        <v>19.7</v>
      </c>
      <c r="R546">
        <v>7.6</v>
      </c>
      <c r="S546">
        <v>5.3</v>
      </c>
      <c r="T546">
        <v>1.1000000000000001</v>
      </c>
      <c r="U546">
        <v>1</v>
      </c>
      <c r="V546">
        <v>14</v>
      </c>
      <c r="W546">
        <f>IF(nba_draft[[#This Row],[years_played]]&gt;5,1,0)</f>
        <v>1</v>
      </c>
    </row>
    <row r="547" spans="1:23" x14ac:dyDescent="0.25">
      <c r="A547">
        <v>20</v>
      </c>
      <c r="B547" t="s">
        <v>95</v>
      </c>
      <c r="C547" t="s">
        <v>410</v>
      </c>
      <c r="D547" t="s">
        <v>228</v>
      </c>
      <c r="E547">
        <v>8</v>
      </c>
      <c r="F547">
        <v>462</v>
      </c>
      <c r="G547">
        <v>9045</v>
      </c>
      <c r="H547">
        <v>3368</v>
      </c>
      <c r="I547">
        <v>2022</v>
      </c>
      <c r="J547">
        <v>420</v>
      </c>
      <c r="K547">
        <v>0.48099999999999998</v>
      </c>
      <c r="L547">
        <v>0</v>
      </c>
      <c r="M547">
        <v>0.63700000000000001</v>
      </c>
      <c r="N547">
        <v>13.5</v>
      </c>
      <c r="O547">
        <v>7.1999999999999995E-2</v>
      </c>
      <c r="P547">
        <v>1995</v>
      </c>
      <c r="Q547">
        <v>19.600000000000001</v>
      </c>
      <c r="R547">
        <v>7.3</v>
      </c>
      <c r="S547">
        <v>4.4000000000000004</v>
      </c>
      <c r="T547">
        <v>0.9</v>
      </c>
      <c r="U547">
        <v>1</v>
      </c>
      <c r="V547">
        <v>20</v>
      </c>
      <c r="W547">
        <f>IF(nba_draft[[#This Row],[years_played]]&gt;5,1,0)</f>
        <v>1</v>
      </c>
    </row>
    <row r="548" spans="1:23" x14ac:dyDescent="0.25">
      <c r="A548">
        <v>6</v>
      </c>
      <c r="B548" t="s">
        <v>37</v>
      </c>
      <c r="C548" t="s">
        <v>38</v>
      </c>
      <c r="D548" t="s">
        <v>39</v>
      </c>
      <c r="E548">
        <v>12</v>
      </c>
      <c r="F548">
        <v>640</v>
      </c>
      <c r="G548">
        <v>12298</v>
      </c>
      <c r="H548">
        <v>3354</v>
      </c>
      <c r="I548">
        <v>3436</v>
      </c>
      <c r="J548">
        <v>213</v>
      </c>
      <c r="K548">
        <v>0.48399999999999999</v>
      </c>
      <c r="L548">
        <v>0</v>
      </c>
      <c r="M548">
        <v>0.65800000000000003</v>
      </c>
      <c r="N548">
        <v>20.9</v>
      </c>
      <c r="O548">
        <v>8.1000000000000003E-2</v>
      </c>
      <c r="P548">
        <v>1990</v>
      </c>
      <c r="Q548">
        <v>19.2</v>
      </c>
      <c r="R548">
        <v>5.2</v>
      </c>
      <c r="S548">
        <v>5.4</v>
      </c>
      <c r="T548">
        <v>0.3</v>
      </c>
      <c r="U548">
        <v>1</v>
      </c>
      <c r="V548">
        <v>6</v>
      </c>
      <c r="W548">
        <f>IF(nba_draft[[#This Row],[years_played]]&gt;5,1,0)</f>
        <v>1</v>
      </c>
    </row>
    <row r="549" spans="1:23" x14ac:dyDescent="0.25">
      <c r="A549">
        <v>20</v>
      </c>
      <c r="B549" t="s">
        <v>70</v>
      </c>
      <c r="C549" t="s">
        <v>866</v>
      </c>
      <c r="D549" t="s">
        <v>87</v>
      </c>
      <c r="E549">
        <v>13</v>
      </c>
      <c r="F549">
        <v>624</v>
      </c>
      <c r="G549">
        <v>9799</v>
      </c>
      <c r="H549">
        <v>3353</v>
      </c>
      <c r="I549">
        <v>1082</v>
      </c>
      <c r="J549">
        <v>529</v>
      </c>
      <c r="K549">
        <v>0.439</v>
      </c>
      <c r="L549">
        <v>0.32900000000000001</v>
      </c>
      <c r="M549">
        <v>0.751</v>
      </c>
      <c r="N549">
        <v>9.9</v>
      </c>
      <c r="O549">
        <v>4.8000000000000001E-2</v>
      </c>
      <c r="P549">
        <v>2003</v>
      </c>
      <c r="Q549">
        <v>15.7</v>
      </c>
      <c r="R549">
        <v>5.4</v>
      </c>
      <c r="S549">
        <v>1.7</v>
      </c>
      <c r="T549">
        <v>0.8</v>
      </c>
      <c r="U549">
        <v>1</v>
      </c>
      <c r="V549">
        <v>20</v>
      </c>
      <c r="W549">
        <f>IF(nba_draft[[#This Row],[years_played]]&gt;5,1,0)</f>
        <v>1</v>
      </c>
    </row>
    <row r="550" spans="1:23" x14ac:dyDescent="0.25">
      <c r="A550">
        <v>27</v>
      </c>
      <c r="B550" t="s">
        <v>49</v>
      </c>
      <c r="C550" t="s">
        <v>659</v>
      </c>
      <c r="D550" t="s">
        <v>57</v>
      </c>
      <c r="E550">
        <v>8</v>
      </c>
      <c r="F550">
        <v>471</v>
      </c>
      <c r="G550">
        <v>9780</v>
      </c>
      <c r="H550">
        <v>3325</v>
      </c>
      <c r="I550">
        <v>1987</v>
      </c>
      <c r="J550">
        <v>408</v>
      </c>
      <c r="K550">
        <v>0.42399999999999999</v>
      </c>
      <c r="L550">
        <v>0.34899999999999998</v>
      </c>
      <c r="M550">
        <v>0.70399999999999996</v>
      </c>
      <c r="N550">
        <v>15.1</v>
      </c>
      <c r="O550">
        <v>7.3999999999999996E-2</v>
      </c>
      <c r="P550">
        <v>1999</v>
      </c>
      <c r="Q550">
        <v>20.8</v>
      </c>
      <c r="R550">
        <v>7.1</v>
      </c>
      <c r="S550">
        <v>4.2</v>
      </c>
      <c r="T550">
        <v>0.9</v>
      </c>
      <c r="U550">
        <v>1</v>
      </c>
      <c r="V550">
        <v>27</v>
      </c>
      <c r="W550">
        <f>IF(nba_draft[[#This Row],[years_played]]&gt;5,1,0)</f>
        <v>1</v>
      </c>
    </row>
    <row r="551" spans="1:23" x14ac:dyDescent="0.25">
      <c r="A551">
        <v>17</v>
      </c>
      <c r="B551" t="s">
        <v>65</v>
      </c>
      <c r="C551" t="s">
        <v>1285</v>
      </c>
      <c r="D551" t="s">
        <v>33</v>
      </c>
      <c r="E551">
        <v>10</v>
      </c>
      <c r="F551">
        <v>461</v>
      </c>
      <c r="G551">
        <v>11470</v>
      </c>
      <c r="H551">
        <v>3320</v>
      </c>
      <c r="I551">
        <v>1534</v>
      </c>
      <c r="J551">
        <v>845</v>
      </c>
      <c r="K551">
        <v>0.39100000000000001</v>
      </c>
      <c r="L551">
        <v>0.33700000000000002</v>
      </c>
      <c r="M551">
        <v>0.76400000000000001</v>
      </c>
      <c r="N551">
        <v>12.9</v>
      </c>
      <c r="O551">
        <v>5.3999999999999999E-2</v>
      </c>
      <c r="P551">
        <v>2011</v>
      </c>
      <c r="Q551">
        <v>24.9</v>
      </c>
      <c r="R551">
        <v>7.2</v>
      </c>
      <c r="S551">
        <v>3.3</v>
      </c>
      <c r="T551">
        <v>1.8</v>
      </c>
      <c r="U551">
        <v>1</v>
      </c>
      <c r="V551">
        <v>17</v>
      </c>
      <c r="W551">
        <f>IF(nba_draft[[#This Row],[years_played]]&gt;5,1,0)</f>
        <v>1</v>
      </c>
    </row>
    <row r="552" spans="1:23" x14ac:dyDescent="0.25">
      <c r="A552">
        <v>35</v>
      </c>
      <c r="B552" t="s">
        <v>109</v>
      </c>
      <c r="C552" t="s">
        <v>1252</v>
      </c>
      <c r="D552" t="s">
        <v>97</v>
      </c>
      <c r="E552">
        <v>7</v>
      </c>
      <c r="F552">
        <v>431</v>
      </c>
      <c r="G552">
        <v>8843</v>
      </c>
      <c r="H552">
        <v>3305</v>
      </c>
      <c r="I552">
        <v>1966</v>
      </c>
      <c r="J552">
        <v>767</v>
      </c>
      <c r="K552">
        <v>0.46400000000000002</v>
      </c>
      <c r="L552">
        <v>0.38200000000000001</v>
      </c>
      <c r="M552">
        <v>0.753</v>
      </c>
      <c r="N552">
        <v>19</v>
      </c>
      <c r="O552">
        <v>0.10299999999999999</v>
      </c>
      <c r="P552">
        <v>2010</v>
      </c>
      <c r="Q552">
        <v>20.5</v>
      </c>
      <c r="R552">
        <v>7.7</v>
      </c>
      <c r="S552">
        <v>4.5999999999999996</v>
      </c>
      <c r="T552">
        <v>1.8</v>
      </c>
      <c r="U552">
        <v>2</v>
      </c>
      <c r="V552">
        <v>5</v>
      </c>
      <c r="W552">
        <f>IF(nba_draft[[#This Row],[years_played]]&gt;5,1,0)</f>
        <v>1</v>
      </c>
    </row>
    <row r="553" spans="1:23" x14ac:dyDescent="0.25">
      <c r="A553">
        <v>6</v>
      </c>
      <c r="B553" t="s">
        <v>863</v>
      </c>
      <c r="C553" t="s">
        <v>1392</v>
      </c>
      <c r="D553" t="s">
        <v>282</v>
      </c>
      <c r="E553">
        <v>8</v>
      </c>
      <c r="F553">
        <v>450</v>
      </c>
      <c r="G553">
        <v>10086</v>
      </c>
      <c r="H553">
        <v>3303</v>
      </c>
      <c r="I553">
        <v>2789</v>
      </c>
      <c r="J553">
        <v>491</v>
      </c>
      <c r="K553">
        <v>0.54900000000000004</v>
      </c>
      <c r="L553">
        <v>0.154</v>
      </c>
      <c r="M553">
        <v>0.65500000000000003</v>
      </c>
      <c r="N553">
        <v>28.2</v>
      </c>
      <c r="O553">
        <v>0.13400000000000001</v>
      </c>
      <c r="P553">
        <v>2013</v>
      </c>
      <c r="Q553">
        <v>22.4</v>
      </c>
      <c r="R553">
        <v>7.3</v>
      </c>
      <c r="S553">
        <v>6.2</v>
      </c>
      <c r="T553">
        <v>1.1000000000000001</v>
      </c>
      <c r="U553">
        <v>1</v>
      </c>
      <c r="V553">
        <v>6</v>
      </c>
      <c r="W553">
        <f>IF(nba_draft[[#This Row],[years_played]]&gt;5,1,0)</f>
        <v>1</v>
      </c>
    </row>
    <row r="554" spans="1:23" x14ac:dyDescent="0.25">
      <c r="A554">
        <v>7</v>
      </c>
      <c r="B554" t="s">
        <v>28</v>
      </c>
      <c r="C554" t="s">
        <v>1502</v>
      </c>
      <c r="D554" t="s">
        <v>97</v>
      </c>
      <c r="E554">
        <v>6</v>
      </c>
      <c r="F554">
        <v>302</v>
      </c>
      <c r="G554">
        <v>7187</v>
      </c>
      <c r="H554">
        <v>3299</v>
      </c>
      <c r="I554">
        <v>884</v>
      </c>
      <c r="J554">
        <v>1143</v>
      </c>
      <c r="K554">
        <v>0.40100000000000002</v>
      </c>
      <c r="L554">
        <v>0.32300000000000001</v>
      </c>
      <c r="M554">
        <v>0.74399999999999999</v>
      </c>
      <c r="N554">
        <v>-0.2</v>
      </c>
      <c r="O554">
        <v>-1E-3</v>
      </c>
      <c r="P554">
        <v>2015</v>
      </c>
      <c r="Q554">
        <v>23.8</v>
      </c>
      <c r="R554">
        <v>10.9</v>
      </c>
      <c r="S554">
        <v>2.9</v>
      </c>
      <c r="T554">
        <v>3.8</v>
      </c>
      <c r="U554">
        <v>1</v>
      </c>
      <c r="V554">
        <v>7</v>
      </c>
      <c r="W554">
        <f>IF(nba_draft[[#This Row],[years_played]]&gt;5,1,0)</f>
        <v>1</v>
      </c>
    </row>
    <row r="555" spans="1:23" x14ac:dyDescent="0.25">
      <c r="A555">
        <v>31</v>
      </c>
      <c r="B555" t="s">
        <v>95</v>
      </c>
      <c r="C555" t="s">
        <v>821</v>
      </c>
      <c r="D555" t="s">
        <v>232</v>
      </c>
      <c r="E555">
        <v>10</v>
      </c>
      <c r="F555">
        <v>518</v>
      </c>
      <c r="G555">
        <v>9147</v>
      </c>
      <c r="H555">
        <v>3289</v>
      </c>
      <c r="I555">
        <v>897</v>
      </c>
      <c r="J555">
        <v>677</v>
      </c>
      <c r="K555">
        <v>0.40799999999999997</v>
      </c>
      <c r="L555">
        <v>0.38300000000000001</v>
      </c>
      <c r="M555">
        <v>0.86599999999999999</v>
      </c>
      <c r="N555">
        <v>13</v>
      </c>
      <c r="O555">
        <v>6.8000000000000005E-2</v>
      </c>
      <c r="P555">
        <v>2002</v>
      </c>
      <c r="Q555">
        <v>17.7</v>
      </c>
      <c r="R555">
        <v>6.3</v>
      </c>
      <c r="S555">
        <v>1.7</v>
      </c>
      <c r="T555">
        <v>1.3</v>
      </c>
      <c r="U555">
        <v>2</v>
      </c>
      <c r="V555">
        <v>2</v>
      </c>
      <c r="W555">
        <f>IF(nba_draft[[#This Row],[years_played]]&gt;5,1,0)</f>
        <v>1</v>
      </c>
    </row>
    <row r="556" spans="1:23" x14ac:dyDescent="0.25">
      <c r="A556">
        <v>48</v>
      </c>
      <c r="B556" t="s">
        <v>104</v>
      </c>
      <c r="C556" t="s">
        <v>207</v>
      </c>
      <c r="D556" t="s">
        <v>208</v>
      </c>
      <c r="E556">
        <v>9</v>
      </c>
      <c r="F556">
        <v>432</v>
      </c>
      <c r="G556">
        <v>8350</v>
      </c>
      <c r="H556">
        <v>3285</v>
      </c>
      <c r="I556">
        <v>2030</v>
      </c>
      <c r="J556">
        <v>538</v>
      </c>
      <c r="K556">
        <v>0.44600000000000001</v>
      </c>
      <c r="L556">
        <v>0.17599999999999999</v>
      </c>
      <c r="M556">
        <v>0.67</v>
      </c>
      <c r="N556">
        <v>9.1999999999999993</v>
      </c>
      <c r="O556">
        <v>5.2999999999999999E-2</v>
      </c>
      <c r="P556">
        <v>1991</v>
      </c>
      <c r="Q556">
        <v>19.3</v>
      </c>
      <c r="R556">
        <v>7.6</v>
      </c>
      <c r="S556">
        <v>4.7</v>
      </c>
      <c r="T556">
        <v>1.2</v>
      </c>
      <c r="U556">
        <v>2</v>
      </c>
      <c r="V556">
        <v>21</v>
      </c>
      <c r="W556">
        <f>IF(nba_draft[[#This Row],[years_played]]&gt;5,1,0)</f>
        <v>1</v>
      </c>
    </row>
    <row r="557" spans="1:23" x14ac:dyDescent="0.25">
      <c r="A557">
        <v>27</v>
      </c>
      <c r="B557" t="s">
        <v>863</v>
      </c>
      <c r="C557" t="s">
        <v>1136</v>
      </c>
      <c r="D557" t="s">
        <v>108</v>
      </c>
      <c r="E557">
        <v>9</v>
      </c>
      <c r="F557">
        <v>503</v>
      </c>
      <c r="G557">
        <v>8945</v>
      </c>
      <c r="H557">
        <v>3282</v>
      </c>
      <c r="I557">
        <v>1768</v>
      </c>
      <c r="J557">
        <v>409</v>
      </c>
      <c r="K557">
        <v>0.44400000000000001</v>
      </c>
      <c r="L557">
        <v>0.35199999999999998</v>
      </c>
      <c r="M557">
        <v>0.76500000000000001</v>
      </c>
      <c r="N557">
        <v>12.3</v>
      </c>
      <c r="O557">
        <v>6.6000000000000003E-2</v>
      </c>
      <c r="P557">
        <v>2008</v>
      </c>
      <c r="Q557">
        <v>17.8</v>
      </c>
      <c r="R557">
        <v>6.5</v>
      </c>
      <c r="S557">
        <v>3.5</v>
      </c>
      <c r="T557">
        <v>0.8</v>
      </c>
      <c r="U557">
        <v>1</v>
      </c>
      <c r="V557">
        <v>27</v>
      </c>
      <c r="W557">
        <f>IF(nba_draft[[#This Row],[years_played]]&gt;5,1,0)</f>
        <v>1</v>
      </c>
    </row>
    <row r="558" spans="1:23" x14ac:dyDescent="0.25">
      <c r="A558">
        <v>7</v>
      </c>
      <c r="B558" t="s">
        <v>95</v>
      </c>
      <c r="C558" t="s">
        <v>689</v>
      </c>
      <c r="D558" t="s">
        <v>60</v>
      </c>
      <c r="E558">
        <v>8</v>
      </c>
      <c r="F558">
        <v>436</v>
      </c>
      <c r="G558">
        <v>8758</v>
      </c>
      <c r="H558">
        <v>3262</v>
      </c>
      <c r="I558">
        <v>2302</v>
      </c>
      <c r="J558">
        <v>223</v>
      </c>
      <c r="K558">
        <v>0.45900000000000002</v>
      </c>
      <c r="L558">
        <v>0.23100000000000001</v>
      </c>
      <c r="M558">
        <v>0.70399999999999996</v>
      </c>
      <c r="N558">
        <v>13.3</v>
      </c>
      <c r="O558">
        <v>7.2999999999999995E-2</v>
      </c>
      <c r="P558">
        <v>2000</v>
      </c>
      <c r="Q558">
        <v>20.100000000000001</v>
      </c>
      <c r="R558">
        <v>7.5</v>
      </c>
      <c r="S558">
        <v>5.3</v>
      </c>
      <c r="T558">
        <v>0.5</v>
      </c>
      <c r="U558">
        <v>1</v>
      </c>
      <c r="V558">
        <v>7</v>
      </c>
      <c r="W558">
        <f>IF(nba_draft[[#This Row],[years_played]]&gt;5,1,0)</f>
        <v>1</v>
      </c>
    </row>
    <row r="559" spans="1:23" x14ac:dyDescent="0.25">
      <c r="A559">
        <v>14</v>
      </c>
      <c r="B559" t="s">
        <v>55</v>
      </c>
      <c r="C559" t="s">
        <v>578</v>
      </c>
      <c r="D559" t="s">
        <v>117</v>
      </c>
      <c r="E559">
        <v>5</v>
      </c>
      <c r="F559">
        <v>212</v>
      </c>
      <c r="G559">
        <v>7490</v>
      </c>
      <c r="H559">
        <v>3257</v>
      </c>
      <c r="I559">
        <v>609</v>
      </c>
      <c r="J559">
        <v>553</v>
      </c>
      <c r="K559">
        <v>0.432</v>
      </c>
      <c r="L559">
        <v>0.40200000000000002</v>
      </c>
      <c r="M559">
        <v>0.78400000000000003</v>
      </c>
      <c r="N559">
        <v>9.6</v>
      </c>
      <c r="O559">
        <v>6.0999999999999999E-2</v>
      </c>
      <c r="P559">
        <v>1998</v>
      </c>
      <c r="Q559">
        <v>35.299999999999997</v>
      </c>
      <c r="R559">
        <v>15.4</v>
      </c>
      <c r="S559">
        <v>2.9</v>
      </c>
      <c r="T559">
        <v>2.6</v>
      </c>
      <c r="U559">
        <v>1</v>
      </c>
      <c r="V559">
        <v>14</v>
      </c>
      <c r="W559">
        <f>IF(nba_draft[[#This Row],[years_played]]&gt;5,1,0)</f>
        <v>0</v>
      </c>
    </row>
    <row r="560" spans="1:23" x14ac:dyDescent="0.25">
      <c r="A560">
        <v>12</v>
      </c>
      <c r="B560" t="s">
        <v>104</v>
      </c>
      <c r="C560" t="s">
        <v>1507</v>
      </c>
      <c r="D560" t="s">
        <v>282</v>
      </c>
      <c r="E560">
        <v>7</v>
      </c>
      <c r="F560">
        <v>427</v>
      </c>
      <c r="G560">
        <v>7678</v>
      </c>
      <c r="H560">
        <v>3253</v>
      </c>
      <c r="I560">
        <v>1821</v>
      </c>
      <c r="J560">
        <v>447</v>
      </c>
      <c r="K560">
        <v>0.438</v>
      </c>
      <c r="L560">
        <v>0.33600000000000002</v>
      </c>
      <c r="M560">
        <v>0.72599999999999998</v>
      </c>
      <c r="N560">
        <v>13.1</v>
      </c>
      <c r="O560">
        <v>8.2000000000000003E-2</v>
      </c>
      <c r="P560">
        <v>2015</v>
      </c>
      <c r="Q560">
        <v>18</v>
      </c>
      <c r="R560">
        <v>7.6</v>
      </c>
      <c r="S560">
        <v>4.3</v>
      </c>
      <c r="T560">
        <v>1</v>
      </c>
      <c r="U560">
        <v>1</v>
      </c>
      <c r="V560">
        <v>12</v>
      </c>
      <c r="W560">
        <f>IF(nba_draft[[#This Row],[years_played]]&gt;5,1,0)</f>
        <v>1</v>
      </c>
    </row>
    <row r="561" spans="1:23" x14ac:dyDescent="0.25">
      <c r="A561">
        <v>13</v>
      </c>
      <c r="B561" t="s">
        <v>85</v>
      </c>
      <c r="C561" t="s">
        <v>1121</v>
      </c>
      <c r="D561" t="s">
        <v>108</v>
      </c>
      <c r="E561">
        <v>9</v>
      </c>
      <c r="F561">
        <v>481</v>
      </c>
      <c r="G561">
        <v>10564</v>
      </c>
      <c r="H561">
        <v>3250</v>
      </c>
      <c r="I561">
        <v>1413</v>
      </c>
      <c r="J561">
        <v>468</v>
      </c>
      <c r="K561">
        <v>0.42599999999999999</v>
      </c>
      <c r="L561">
        <v>0.40200000000000002</v>
      </c>
      <c r="M561">
        <v>0.70599999999999996</v>
      </c>
      <c r="N561">
        <v>11.2</v>
      </c>
      <c r="O561">
        <v>5.0999999999999997E-2</v>
      </c>
      <c r="P561">
        <v>2008</v>
      </c>
      <c r="Q561">
        <v>22</v>
      </c>
      <c r="R561">
        <v>6.8</v>
      </c>
      <c r="S561">
        <v>2.9</v>
      </c>
      <c r="T561">
        <v>1</v>
      </c>
      <c r="U561">
        <v>1</v>
      </c>
      <c r="V561">
        <v>13</v>
      </c>
      <c r="W561">
        <f>IF(nba_draft[[#This Row],[years_played]]&gt;5,1,0)</f>
        <v>1</v>
      </c>
    </row>
    <row r="562" spans="1:23" x14ac:dyDescent="0.25">
      <c r="A562">
        <v>11</v>
      </c>
      <c r="B562" t="s">
        <v>52</v>
      </c>
      <c r="C562" t="s">
        <v>906</v>
      </c>
      <c r="D562" t="s">
        <v>97</v>
      </c>
      <c r="E562">
        <v>10</v>
      </c>
      <c r="F562">
        <v>516</v>
      </c>
      <c r="G562">
        <v>11146</v>
      </c>
      <c r="H562">
        <v>3247</v>
      </c>
      <c r="I562">
        <v>3631</v>
      </c>
      <c r="J562">
        <v>467</v>
      </c>
      <c r="K562">
        <v>0.59399999999999997</v>
      </c>
      <c r="L562">
        <v>0</v>
      </c>
      <c r="M562">
        <v>0.5</v>
      </c>
      <c r="N562">
        <v>30.7</v>
      </c>
      <c r="O562">
        <v>0.13200000000000001</v>
      </c>
      <c r="P562">
        <v>2004</v>
      </c>
      <c r="Q562">
        <v>21.6</v>
      </c>
      <c r="R562">
        <v>6.3</v>
      </c>
      <c r="S562">
        <v>7</v>
      </c>
      <c r="T562">
        <v>0.9</v>
      </c>
      <c r="U562">
        <v>1</v>
      </c>
      <c r="V562">
        <v>11</v>
      </c>
      <c r="W562">
        <f>IF(nba_draft[[#This Row],[years_played]]&gt;5,1,0)</f>
        <v>1</v>
      </c>
    </row>
    <row r="563" spans="1:23" x14ac:dyDescent="0.25">
      <c r="A563">
        <v>9</v>
      </c>
      <c r="B563" t="s">
        <v>46</v>
      </c>
      <c r="C563" t="s">
        <v>47</v>
      </c>
      <c r="D563" t="s">
        <v>48</v>
      </c>
      <c r="E563">
        <v>8</v>
      </c>
      <c r="F563">
        <v>316</v>
      </c>
      <c r="G563">
        <v>6666</v>
      </c>
      <c r="H563">
        <v>3243</v>
      </c>
      <c r="I563">
        <v>932</v>
      </c>
      <c r="J563">
        <v>393</v>
      </c>
      <c r="K563">
        <v>0.42399999999999999</v>
      </c>
      <c r="L563">
        <v>0.34499999999999997</v>
      </c>
      <c r="M563">
        <v>0.78600000000000003</v>
      </c>
      <c r="N563">
        <v>9.1</v>
      </c>
      <c r="O563">
        <v>6.5000000000000002E-2</v>
      </c>
      <c r="P563">
        <v>1990</v>
      </c>
      <c r="Q563">
        <v>21.1</v>
      </c>
      <c r="R563">
        <v>10.3</v>
      </c>
      <c r="S563">
        <v>2.9</v>
      </c>
      <c r="T563">
        <v>1.2</v>
      </c>
      <c r="U563">
        <v>1</v>
      </c>
      <c r="V563">
        <v>9</v>
      </c>
      <c r="W563">
        <f>IF(nba_draft[[#This Row],[years_played]]&gt;5,1,0)</f>
        <v>1</v>
      </c>
    </row>
    <row r="564" spans="1:23" x14ac:dyDescent="0.25">
      <c r="A564">
        <v>19</v>
      </c>
      <c r="B564" t="s">
        <v>28</v>
      </c>
      <c r="C564" t="s">
        <v>1559</v>
      </c>
      <c r="D564" t="s">
        <v>298</v>
      </c>
      <c r="E564">
        <v>6</v>
      </c>
      <c r="F564">
        <v>316</v>
      </c>
      <c r="G564">
        <v>6545</v>
      </c>
      <c r="H564">
        <v>3239</v>
      </c>
      <c r="I564">
        <v>774</v>
      </c>
      <c r="J564">
        <v>388</v>
      </c>
      <c r="K564">
        <v>0.42899999999999999</v>
      </c>
      <c r="L564">
        <v>0.38</v>
      </c>
      <c r="M564">
        <v>0.80800000000000005</v>
      </c>
      <c r="N564">
        <v>9</v>
      </c>
      <c r="O564">
        <v>6.6000000000000003E-2</v>
      </c>
      <c r="P564">
        <v>2016</v>
      </c>
      <c r="Q564">
        <v>20.7</v>
      </c>
      <c r="R564">
        <v>10.3</v>
      </c>
      <c r="S564">
        <v>2.4</v>
      </c>
      <c r="T564">
        <v>1.2</v>
      </c>
      <c r="U564">
        <v>1</v>
      </c>
      <c r="V564">
        <v>19</v>
      </c>
      <c r="W564">
        <f>IF(nba_draft[[#This Row],[years_played]]&gt;5,1,0)</f>
        <v>1</v>
      </c>
    </row>
    <row r="565" spans="1:23" x14ac:dyDescent="0.25">
      <c r="A565">
        <v>37</v>
      </c>
      <c r="B565" t="s">
        <v>52</v>
      </c>
      <c r="C565" t="s">
        <v>547</v>
      </c>
      <c r="D565" t="s">
        <v>69</v>
      </c>
      <c r="E565">
        <v>7</v>
      </c>
      <c r="F565">
        <v>387</v>
      </c>
      <c r="G565">
        <v>7572</v>
      </c>
      <c r="H565">
        <v>3238</v>
      </c>
      <c r="I565">
        <v>1655</v>
      </c>
      <c r="J565">
        <v>311</v>
      </c>
      <c r="K565">
        <v>0.44600000000000001</v>
      </c>
      <c r="L565">
        <v>0.22600000000000001</v>
      </c>
      <c r="M565">
        <v>0.81399999999999995</v>
      </c>
      <c r="N565">
        <v>13</v>
      </c>
      <c r="O565">
        <v>8.2000000000000003E-2</v>
      </c>
      <c r="P565">
        <v>1997</v>
      </c>
      <c r="Q565">
        <v>19.600000000000001</v>
      </c>
      <c r="R565">
        <v>8.4</v>
      </c>
      <c r="S565">
        <v>4.3</v>
      </c>
      <c r="T565">
        <v>0.8</v>
      </c>
      <c r="U565">
        <v>2</v>
      </c>
      <c r="V565">
        <v>9</v>
      </c>
      <c r="W565">
        <f>IF(nba_draft[[#This Row],[years_played]]&gt;5,1,0)</f>
        <v>1</v>
      </c>
    </row>
    <row r="566" spans="1:23" x14ac:dyDescent="0.25">
      <c r="A566">
        <v>13</v>
      </c>
      <c r="B566" t="s">
        <v>43</v>
      </c>
      <c r="C566" t="s">
        <v>295</v>
      </c>
      <c r="D566" t="s">
        <v>164</v>
      </c>
      <c r="E566">
        <v>6</v>
      </c>
      <c r="F566">
        <v>402</v>
      </c>
      <c r="G566">
        <v>7305</v>
      </c>
      <c r="H566">
        <v>3235</v>
      </c>
      <c r="I566">
        <v>588</v>
      </c>
      <c r="J566">
        <v>1034</v>
      </c>
      <c r="K566">
        <v>0.41099999999999998</v>
      </c>
      <c r="L566">
        <v>0.378</v>
      </c>
      <c r="M566">
        <v>0.77900000000000003</v>
      </c>
      <c r="N566">
        <v>7.3</v>
      </c>
      <c r="O566">
        <v>4.8000000000000001E-2</v>
      </c>
      <c r="P566">
        <v>1993</v>
      </c>
      <c r="Q566">
        <v>18.2</v>
      </c>
      <c r="R566">
        <v>8</v>
      </c>
      <c r="S566">
        <v>1.5</v>
      </c>
      <c r="T566">
        <v>2.6</v>
      </c>
      <c r="U566">
        <v>1</v>
      </c>
      <c r="V566">
        <v>13</v>
      </c>
      <c r="W566">
        <f>IF(nba_draft[[#This Row],[years_played]]&gt;5,1,0)</f>
        <v>1</v>
      </c>
    </row>
    <row r="567" spans="1:23" x14ac:dyDescent="0.25">
      <c r="A567">
        <v>8</v>
      </c>
      <c r="B567" t="s">
        <v>65</v>
      </c>
      <c r="C567" t="s">
        <v>1170</v>
      </c>
      <c r="D567" t="s">
        <v>117</v>
      </c>
      <c r="E567">
        <v>8</v>
      </c>
      <c r="F567">
        <v>409</v>
      </c>
      <c r="G567">
        <v>7692</v>
      </c>
      <c r="H567">
        <v>3232</v>
      </c>
      <c r="I567">
        <v>2389</v>
      </c>
      <c r="J567">
        <v>322</v>
      </c>
      <c r="K567">
        <v>0.497</v>
      </c>
      <c r="L567">
        <v>0.13600000000000001</v>
      </c>
      <c r="M567">
        <v>0.69899999999999995</v>
      </c>
      <c r="N567">
        <v>16.399999999999999</v>
      </c>
      <c r="O567">
        <v>0.10199999999999999</v>
      </c>
      <c r="P567">
        <v>2009</v>
      </c>
      <c r="Q567">
        <v>18.8</v>
      </c>
      <c r="R567">
        <v>7.9</v>
      </c>
      <c r="S567">
        <v>5.8</v>
      </c>
      <c r="T567">
        <v>0.8</v>
      </c>
      <c r="U567">
        <v>1</v>
      </c>
      <c r="V567">
        <v>8</v>
      </c>
      <c r="W567">
        <f>IF(nba_draft[[#This Row],[years_played]]&gt;5,1,0)</f>
        <v>1</v>
      </c>
    </row>
    <row r="568" spans="1:23" x14ac:dyDescent="0.25">
      <c r="A568">
        <v>4</v>
      </c>
      <c r="B568" t="s">
        <v>75</v>
      </c>
      <c r="C568" t="s">
        <v>1599</v>
      </c>
      <c r="D568" t="s">
        <v>108</v>
      </c>
      <c r="E568">
        <v>5</v>
      </c>
      <c r="F568">
        <v>280</v>
      </c>
      <c r="G568">
        <v>6598</v>
      </c>
      <c r="H568">
        <v>3224</v>
      </c>
      <c r="I568">
        <v>1141</v>
      </c>
      <c r="J568">
        <v>529</v>
      </c>
      <c r="K568">
        <v>0.41699999999999998</v>
      </c>
      <c r="L568">
        <v>0.29299999999999998</v>
      </c>
      <c r="M568">
        <v>0.67900000000000005</v>
      </c>
      <c r="N568">
        <v>-1.6</v>
      </c>
      <c r="O568">
        <v>-1.2E-2</v>
      </c>
      <c r="P568">
        <v>2017</v>
      </c>
      <c r="Q568">
        <v>23.6</v>
      </c>
      <c r="R568">
        <v>11.5</v>
      </c>
      <c r="S568">
        <v>4.0999999999999996</v>
      </c>
      <c r="T568">
        <v>1.9</v>
      </c>
      <c r="U568">
        <v>1</v>
      </c>
      <c r="V568">
        <v>4</v>
      </c>
      <c r="W568">
        <f>IF(nba_draft[[#This Row],[years_played]]&gt;5,1,0)</f>
        <v>0</v>
      </c>
    </row>
    <row r="569" spans="1:23" x14ac:dyDescent="0.25">
      <c r="A569">
        <v>28</v>
      </c>
      <c r="B569" t="s">
        <v>82</v>
      </c>
      <c r="C569" t="s">
        <v>973</v>
      </c>
      <c r="D569" t="s">
        <v>97</v>
      </c>
      <c r="E569">
        <v>12</v>
      </c>
      <c r="F569">
        <v>618</v>
      </c>
      <c r="G569">
        <v>10353</v>
      </c>
      <c r="H569">
        <v>3209</v>
      </c>
      <c r="I569">
        <v>2705</v>
      </c>
      <c r="J569">
        <v>357</v>
      </c>
      <c r="K569">
        <v>0.53300000000000003</v>
      </c>
      <c r="L569">
        <v>0.16</v>
      </c>
      <c r="M569">
        <v>0.61199999999999999</v>
      </c>
      <c r="N569">
        <v>26.1</v>
      </c>
      <c r="O569">
        <v>0.121</v>
      </c>
      <c r="P569">
        <v>2005</v>
      </c>
      <c r="Q569">
        <v>16.8</v>
      </c>
      <c r="R569">
        <v>5.2</v>
      </c>
      <c r="S569">
        <v>4.4000000000000004</v>
      </c>
      <c r="T569">
        <v>0.6</v>
      </c>
      <c r="U569">
        <v>1</v>
      </c>
      <c r="V569">
        <v>28</v>
      </c>
      <c r="W569">
        <f>IF(nba_draft[[#This Row],[years_played]]&gt;5,1,0)</f>
        <v>1</v>
      </c>
    </row>
    <row r="570" spans="1:23" x14ac:dyDescent="0.25">
      <c r="A570">
        <v>14</v>
      </c>
      <c r="B570" t="s">
        <v>127</v>
      </c>
      <c r="C570" t="s">
        <v>804</v>
      </c>
      <c r="D570" t="s">
        <v>158</v>
      </c>
      <c r="E570">
        <v>7</v>
      </c>
      <c r="F570">
        <v>430</v>
      </c>
      <c r="G570">
        <v>10299</v>
      </c>
      <c r="H570">
        <v>3206</v>
      </c>
      <c r="I570">
        <v>958</v>
      </c>
      <c r="J570">
        <v>990</v>
      </c>
      <c r="K570">
        <v>0.41099999999999998</v>
      </c>
      <c r="L570">
        <v>0.35299999999999998</v>
      </c>
      <c r="M570">
        <v>0.80900000000000005</v>
      </c>
      <c r="N570">
        <v>16.5</v>
      </c>
      <c r="O570">
        <v>7.6999999999999999E-2</v>
      </c>
      <c r="P570">
        <v>2002</v>
      </c>
      <c r="Q570">
        <v>24</v>
      </c>
      <c r="R570">
        <v>7.5</v>
      </c>
      <c r="S570">
        <v>2.2000000000000002</v>
      </c>
      <c r="T570">
        <v>2.2999999999999998</v>
      </c>
      <c r="U570">
        <v>1</v>
      </c>
      <c r="V570">
        <v>14</v>
      </c>
      <c r="W570">
        <f>IF(nba_draft[[#This Row],[years_played]]&gt;5,1,0)</f>
        <v>1</v>
      </c>
    </row>
    <row r="571" spans="1:23" x14ac:dyDescent="0.25">
      <c r="A571">
        <v>30</v>
      </c>
      <c r="B571" t="s">
        <v>82</v>
      </c>
      <c r="C571" t="s">
        <v>1471</v>
      </c>
      <c r="D571" t="s">
        <v>113</v>
      </c>
      <c r="E571">
        <v>8</v>
      </c>
      <c r="F571">
        <v>483</v>
      </c>
      <c r="G571">
        <v>10121</v>
      </c>
      <c r="H571">
        <v>3202</v>
      </c>
      <c r="I571">
        <v>2098</v>
      </c>
      <c r="J571">
        <v>1109</v>
      </c>
      <c r="K571">
        <v>0.47599999999999998</v>
      </c>
      <c r="L571">
        <v>0.33500000000000002</v>
      </c>
      <c r="M571">
        <v>0.71399999999999997</v>
      </c>
      <c r="N571">
        <v>25.7</v>
      </c>
      <c r="O571">
        <v>0.122</v>
      </c>
      <c r="P571">
        <v>2014</v>
      </c>
      <c r="Q571">
        <v>21</v>
      </c>
      <c r="R571">
        <v>6.6</v>
      </c>
      <c r="S571">
        <v>4.3</v>
      </c>
      <c r="T571">
        <v>2.2999999999999998</v>
      </c>
      <c r="U571">
        <v>1</v>
      </c>
      <c r="V571">
        <v>30</v>
      </c>
      <c r="W571">
        <f>IF(nba_draft[[#This Row],[years_played]]&gt;5,1,0)</f>
        <v>1</v>
      </c>
    </row>
    <row r="572" spans="1:23" x14ac:dyDescent="0.25">
      <c r="A572">
        <v>25</v>
      </c>
      <c r="B572" t="s">
        <v>43</v>
      </c>
      <c r="C572" t="s">
        <v>1412</v>
      </c>
      <c r="D572" t="s">
        <v>179</v>
      </c>
      <c r="E572">
        <v>9</v>
      </c>
      <c r="F572">
        <v>415</v>
      </c>
      <c r="G572">
        <v>9115</v>
      </c>
      <c r="H572">
        <v>3200</v>
      </c>
      <c r="I572">
        <v>1021</v>
      </c>
      <c r="J572">
        <v>492</v>
      </c>
      <c r="K572">
        <v>0.43099999999999999</v>
      </c>
      <c r="L572">
        <v>0.38800000000000001</v>
      </c>
      <c r="M572">
        <v>0.84599999999999997</v>
      </c>
      <c r="N572">
        <v>17.3</v>
      </c>
      <c r="O572">
        <v>9.0999999999999998E-2</v>
      </c>
      <c r="P572">
        <v>2013</v>
      </c>
      <c r="Q572">
        <v>22</v>
      </c>
      <c r="R572">
        <v>7.7</v>
      </c>
      <c r="S572">
        <v>2.5</v>
      </c>
      <c r="T572">
        <v>1.2</v>
      </c>
      <c r="U572">
        <v>1</v>
      </c>
      <c r="V572">
        <v>25</v>
      </c>
      <c r="W572">
        <f>IF(nba_draft[[#This Row],[years_played]]&gt;5,1,0)</f>
        <v>1</v>
      </c>
    </row>
    <row r="573" spans="1:23" x14ac:dyDescent="0.25">
      <c r="A573">
        <v>44</v>
      </c>
      <c r="B573" t="s">
        <v>88</v>
      </c>
      <c r="C573" t="s">
        <v>1207</v>
      </c>
      <c r="D573" t="s">
        <v>117</v>
      </c>
      <c r="E573">
        <v>7</v>
      </c>
      <c r="F573">
        <v>407</v>
      </c>
      <c r="G573">
        <v>7998</v>
      </c>
      <c r="H573">
        <v>3198</v>
      </c>
      <c r="I573">
        <v>1240</v>
      </c>
      <c r="J573">
        <v>473</v>
      </c>
      <c r="K573">
        <v>0.43</v>
      </c>
      <c r="L573">
        <v>0.35199999999999998</v>
      </c>
      <c r="M573">
        <v>0.79700000000000004</v>
      </c>
      <c r="N573">
        <v>13.9</v>
      </c>
      <c r="O573">
        <v>8.3000000000000004E-2</v>
      </c>
      <c r="P573">
        <v>2009</v>
      </c>
      <c r="Q573">
        <v>19.7</v>
      </c>
      <c r="R573">
        <v>7.9</v>
      </c>
      <c r="S573">
        <v>3</v>
      </c>
      <c r="T573">
        <v>1.2</v>
      </c>
      <c r="U573">
        <v>2</v>
      </c>
      <c r="V573">
        <v>14</v>
      </c>
      <c r="W573">
        <f>IF(nba_draft[[#This Row],[years_played]]&gt;5,1,0)</f>
        <v>1</v>
      </c>
    </row>
    <row r="574" spans="1:23" x14ac:dyDescent="0.25">
      <c r="A574">
        <v>30</v>
      </c>
      <c r="B574" t="s">
        <v>43</v>
      </c>
      <c r="C574" t="s">
        <v>714</v>
      </c>
      <c r="D574" t="s">
        <v>97</v>
      </c>
      <c r="E574">
        <v>7</v>
      </c>
      <c r="F574">
        <v>447</v>
      </c>
      <c r="G574">
        <v>11246</v>
      </c>
      <c r="H574">
        <v>3193</v>
      </c>
      <c r="I574">
        <v>1200</v>
      </c>
      <c r="J574">
        <v>1600</v>
      </c>
      <c r="K574">
        <v>0.40400000000000003</v>
      </c>
      <c r="L574">
        <v>0.34399999999999997</v>
      </c>
      <c r="M574">
        <v>0.73</v>
      </c>
      <c r="N574">
        <v>12.1</v>
      </c>
      <c r="O574">
        <v>5.1999999999999998E-2</v>
      </c>
      <c r="P574">
        <v>2000</v>
      </c>
      <c r="Q574">
        <v>25.2</v>
      </c>
      <c r="R574">
        <v>7.1</v>
      </c>
      <c r="S574">
        <v>2.7</v>
      </c>
      <c r="T574">
        <v>3.6</v>
      </c>
      <c r="U574">
        <v>2</v>
      </c>
      <c r="V574">
        <v>1</v>
      </c>
      <c r="W574">
        <f>IF(nba_draft[[#This Row],[years_played]]&gt;5,1,0)</f>
        <v>1</v>
      </c>
    </row>
    <row r="575" spans="1:23" x14ac:dyDescent="0.25">
      <c r="A575">
        <v>31</v>
      </c>
      <c r="B575" t="s">
        <v>40</v>
      </c>
      <c r="C575" t="s">
        <v>185</v>
      </c>
      <c r="D575" t="s">
        <v>186</v>
      </c>
      <c r="E575">
        <v>12</v>
      </c>
      <c r="F575">
        <v>655</v>
      </c>
      <c r="G575">
        <v>11533</v>
      </c>
      <c r="H575">
        <v>3148</v>
      </c>
      <c r="I575">
        <v>1173</v>
      </c>
      <c r="J575">
        <v>1420</v>
      </c>
      <c r="K575">
        <v>0.41699999999999998</v>
      </c>
      <c r="L575">
        <v>0.2</v>
      </c>
      <c r="M575">
        <v>0.69099999999999995</v>
      </c>
      <c r="N575">
        <v>11</v>
      </c>
      <c r="O575">
        <v>4.5999999999999999E-2</v>
      </c>
      <c r="P575">
        <v>1991</v>
      </c>
      <c r="Q575">
        <v>17.600000000000001</v>
      </c>
      <c r="R575">
        <v>4.8</v>
      </c>
      <c r="S575">
        <v>1.8</v>
      </c>
      <c r="T575">
        <v>2.2000000000000002</v>
      </c>
      <c r="U575">
        <v>2</v>
      </c>
      <c r="V575">
        <v>4</v>
      </c>
      <c r="W575">
        <f>IF(nba_draft[[#This Row],[years_played]]&gt;5,1,0)</f>
        <v>1</v>
      </c>
    </row>
    <row r="576" spans="1:23" x14ac:dyDescent="0.25">
      <c r="A576">
        <v>27</v>
      </c>
      <c r="B576" t="s">
        <v>90</v>
      </c>
      <c r="C576" t="s">
        <v>1521</v>
      </c>
      <c r="D576" t="s">
        <v>408</v>
      </c>
      <c r="E576">
        <v>7</v>
      </c>
      <c r="F576">
        <v>387</v>
      </c>
      <c r="G576">
        <v>9345</v>
      </c>
      <c r="H576">
        <v>3144</v>
      </c>
      <c r="I576">
        <v>2538</v>
      </c>
      <c r="J576">
        <v>739</v>
      </c>
      <c r="K576">
        <v>0.52800000000000002</v>
      </c>
      <c r="L576">
        <v>0.33</v>
      </c>
      <c r="M576">
        <v>0.68400000000000005</v>
      </c>
      <c r="N576">
        <v>24.3</v>
      </c>
      <c r="O576">
        <v>0.125</v>
      </c>
      <c r="P576">
        <v>2015</v>
      </c>
      <c r="Q576">
        <v>24.1</v>
      </c>
      <c r="R576">
        <v>8.1</v>
      </c>
      <c r="S576">
        <v>6.6</v>
      </c>
      <c r="T576">
        <v>1.9</v>
      </c>
      <c r="U576">
        <v>1</v>
      </c>
      <c r="V576">
        <v>27</v>
      </c>
      <c r="W576">
        <f>IF(nba_draft[[#This Row],[years_played]]&gt;5,1,0)</f>
        <v>1</v>
      </c>
    </row>
    <row r="577" spans="1:23" x14ac:dyDescent="0.25">
      <c r="A577">
        <v>25</v>
      </c>
      <c r="B577" t="s">
        <v>138</v>
      </c>
      <c r="C577" t="s">
        <v>1028</v>
      </c>
      <c r="D577" t="s">
        <v>148</v>
      </c>
      <c r="E577">
        <v>9</v>
      </c>
      <c r="F577">
        <v>408</v>
      </c>
      <c r="G577">
        <v>7329</v>
      </c>
      <c r="H577">
        <v>3118</v>
      </c>
      <c r="I577">
        <v>760</v>
      </c>
      <c r="J577">
        <v>458</v>
      </c>
      <c r="K577">
        <v>0.42</v>
      </c>
      <c r="L577">
        <v>0.33200000000000002</v>
      </c>
      <c r="M577">
        <v>0.80700000000000005</v>
      </c>
      <c r="N577">
        <v>9.1999999999999993</v>
      </c>
      <c r="O577">
        <v>0.06</v>
      </c>
      <c r="P577">
        <v>2006</v>
      </c>
      <c r="Q577">
        <v>18</v>
      </c>
      <c r="R577">
        <v>7.6</v>
      </c>
      <c r="S577">
        <v>1.9</v>
      </c>
      <c r="T577">
        <v>1.1000000000000001</v>
      </c>
      <c r="U577">
        <v>1</v>
      </c>
      <c r="V577">
        <v>25</v>
      </c>
      <c r="W577">
        <f>IF(nba_draft[[#This Row],[years_played]]&gt;5,1,0)</f>
        <v>1</v>
      </c>
    </row>
    <row r="578" spans="1:23" x14ac:dyDescent="0.25">
      <c r="A578">
        <v>42</v>
      </c>
      <c r="B578" t="s">
        <v>138</v>
      </c>
      <c r="C578" t="s">
        <v>1045</v>
      </c>
      <c r="D578" t="s">
        <v>60</v>
      </c>
      <c r="E578">
        <v>7</v>
      </c>
      <c r="F578">
        <v>397</v>
      </c>
      <c r="G578">
        <v>9316</v>
      </c>
      <c r="H578">
        <v>3115</v>
      </c>
      <c r="I578">
        <v>792</v>
      </c>
      <c r="J578">
        <v>775</v>
      </c>
      <c r="K578">
        <v>0.40200000000000002</v>
      </c>
      <c r="L578">
        <v>0.40699999999999997</v>
      </c>
      <c r="M578">
        <v>0.78</v>
      </c>
      <c r="N578">
        <v>16</v>
      </c>
      <c r="O578">
        <v>8.2000000000000003E-2</v>
      </c>
      <c r="P578">
        <v>2006</v>
      </c>
      <c r="Q578">
        <v>23.5</v>
      </c>
      <c r="R578">
        <v>7.8</v>
      </c>
      <c r="S578">
        <v>2</v>
      </c>
      <c r="T578">
        <v>2</v>
      </c>
      <c r="U578">
        <v>2</v>
      </c>
      <c r="V578">
        <v>12</v>
      </c>
      <c r="W578">
        <f>IF(nba_draft[[#This Row],[years_played]]&gt;5,1,0)</f>
        <v>1</v>
      </c>
    </row>
    <row r="579" spans="1:23" x14ac:dyDescent="0.25">
      <c r="A579">
        <v>10</v>
      </c>
      <c r="B579" t="s">
        <v>49</v>
      </c>
      <c r="C579" t="s">
        <v>225</v>
      </c>
      <c r="D579" t="s">
        <v>226</v>
      </c>
      <c r="E579">
        <v>9</v>
      </c>
      <c r="F579">
        <v>617</v>
      </c>
      <c r="G579">
        <v>10334</v>
      </c>
      <c r="H579">
        <v>3107</v>
      </c>
      <c r="I579">
        <v>2556</v>
      </c>
      <c r="J579">
        <v>427</v>
      </c>
      <c r="K579">
        <v>0.502</v>
      </c>
      <c r="L579">
        <v>7.0999999999999994E-2</v>
      </c>
      <c r="M579">
        <v>0.71399999999999997</v>
      </c>
      <c r="N579">
        <v>24.9</v>
      </c>
      <c r="O579">
        <v>0.11600000000000001</v>
      </c>
      <c r="P579">
        <v>1992</v>
      </c>
      <c r="Q579">
        <v>16.7</v>
      </c>
      <c r="R579">
        <v>5</v>
      </c>
      <c r="S579">
        <v>4.0999999999999996</v>
      </c>
      <c r="T579">
        <v>0.7</v>
      </c>
      <c r="U579">
        <v>1</v>
      </c>
      <c r="V579">
        <v>10</v>
      </c>
      <c r="W579">
        <f>IF(nba_draft[[#This Row],[years_played]]&gt;5,1,0)</f>
        <v>1</v>
      </c>
    </row>
    <row r="580" spans="1:23" x14ac:dyDescent="0.25">
      <c r="A580">
        <v>20</v>
      </c>
      <c r="B580" t="s">
        <v>102</v>
      </c>
      <c r="C580" t="s">
        <v>703</v>
      </c>
      <c r="D580" t="s">
        <v>704</v>
      </c>
      <c r="E580">
        <v>7</v>
      </c>
      <c r="F580">
        <v>334</v>
      </c>
      <c r="G580">
        <v>8548</v>
      </c>
      <c r="H580">
        <v>3096</v>
      </c>
      <c r="I580">
        <v>830</v>
      </c>
      <c r="J580">
        <v>1441</v>
      </c>
      <c r="K580">
        <v>0.40899999999999997</v>
      </c>
      <c r="L580">
        <v>0.193</v>
      </c>
      <c r="M580">
        <v>0.76200000000000001</v>
      </c>
      <c r="N580">
        <v>14.2</v>
      </c>
      <c r="O580">
        <v>0.08</v>
      </c>
      <c r="P580">
        <v>2000</v>
      </c>
      <c r="Q580">
        <v>25.6</v>
      </c>
      <c r="R580">
        <v>9.3000000000000007</v>
      </c>
      <c r="S580">
        <v>2.5</v>
      </c>
      <c r="T580">
        <v>4.3</v>
      </c>
      <c r="U580">
        <v>1</v>
      </c>
      <c r="V580">
        <v>20</v>
      </c>
      <c r="W580">
        <f>IF(nba_draft[[#This Row],[years_played]]&gt;5,1,0)</f>
        <v>1</v>
      </c>
    </row>
    <row r="581" spans="1:23" x14ac:dyDescent="0.25">
      <c r="A581">
        <v>10</v>
      </c>
      <c r="B581" t="s">
        <v>102</v>
      </c>
      <c r="C581" t="s">
        <v>1661</v>
      </c>
      <c r="D581" t="s">
        <v>458</v>
      </c>
      <c r="E581">
        <v>4</v>
      </c>
      <c r="F581">
        <v>285</v>
      </c>
      <c r="G581">
        <v>8826</v>
      </c>
      <c r="H581">
        <v>3096</v>
      </c>
      <c r="I581">
        <v>1117</v>
      </c>
      <c r="J581">
        <v>577</v>
      </c>
      <c r="K581">
        <v>0.505</v>
      </c>
      <c r="L581">
        <v>0.374</v>
      </c>
      <c r="M581">
        <v>0.83199999999999996</v>
      </c>
      <c r="N581">
        <v>22.1</v>
      </c>
      <c r="O581">
        <v>0.12</v>
      </c>
      <c r="P581">
        <v>2018</v>
      </c>
      <c r="Q581">
        <v>31</v>
      </c>
      <c r="R581">
        <v>10.9</v>
      </c>
      <c r="S581">
        <v>3.9</v>
      </c>
      <c r="T581">
        <v>2</v>
      </c>
      <c r="U581">
        <v>1</v>
      </c>
      <c r="V581">
        <v>10</v>
      </c>
      <c r="W581">
        <f>IF(nba_draft[[#This Row],[years_played]]&gt;5,1,0)</f>
        <v>0</v>
      </c>
    </row>
    <row r="582" spans="1:23" x14ac:dyDescent="0.25">
      <c r="A582">
        <v>27</v>
      </c>
      <c r="B582" t="s">
        <v>90</v>
      </c>
      <c r="C582" t="s">
        <v>924</v>
      </c>
      <c r="D582" t="s">
        <v>97</v>
      </c>
      <c r="E582">
        <v>10</v>
      </c>
      <c r="F582">
        <v>581</v>
      </c>
      <c r="G582">
        <v>8908</v>
      </c>
      <c r="H582">
        <v>3094</v>
      </c>
      <c r="I582">
        <v>1093</v>
      </c>
      <c r="J582">
        <v>748</v>
      </c>
      <c r="K582">
        <v>0.39</v>
      </c>
      <c r="L582">
        <v>0.36699999999999999</v>
      </c>
      <c r="M582">
        <v>0.85799999999999998</v>
      </c>
      <c r="N582">
        <v>16</v>
      </c>
      <c r="O582">
        <v>8.5999999999999993E-2</v>
      </c>
      <c r="P582">
        <v>2004</v>
      </c>
      <c r="Q582">
        <v>15.3</v>
      </c>
      <c r="R582">
        <v>5.3</v>
      </c>
      <c r="S582">
        <v>1.9</v>
      </c>
      <c r="T582">
        <v>1.3</v>
      </c>
      <c r="U582">
        <v>1</v>
      </c>
      <c r="V582">
        <v>27</v>
      </c>
      <c r="W582">
        <f>IF(nba_draft[[#This Row],[years_played]]&gt;5,1,0)</f>
        <v>1</v>
      </c>
    </row>
    <row r="583" spans="1:23" x14ac:dyDescent="0.25">
      <c r="A583">
        <v>4</v>
      </c>
      <c r="B583" t="s">
        <v>85</v>
      </c>
      <c r="C583" t="s">
        <v>1006</v>
      </c>
      <c r="D583" t="s">
        <v>30</v>
      </c>
      <c r="E583">
        <v>8</v>
      </c>
      <c r="F583">
        <v>402</v>
      </c>
      <c r="G583">
        <v>7932</v>
      </c>
      <c r="H583">
        <v>3093</v>
      </c>
      <c r="I583">
        <v>1938</v>
      </c>
      <c r="J583">
        <v>347</v>
      </c>
      <c r="K583">
        <v>0.438</v>
      </c>
      <c r="L583">
        <v>0.23499999999999999</v>
      </c>
      <c r="M583">
        <v>0.73199999999999998</v>
      </c>
      <c r="N583">
        <v>13</v>
      </c>
      <c r="O583">
        <v>7.8E-2</v>
      </c>
      <c r="P583">
        <v>2006</v>
      </c>
      <c r="Q583">
        <v>19.7</v>
      </c>
      <c r="R583">
        <v>7.7</v>
      </c>
      <c r="S583">
        <v>4.8</v>
      </c>
      <c r="T583">
        <v>0.9</v>
      </c>
      <c r="U583">
        <v>1</v>
      </c>
      <c r="V583">
        <v>4</v>
      </c>
      <c r="W583">
        <f>IF(nba_draft[[#This Row],[years_played]]&gt;5,1,0)</f>
        <v>1</v>
      </c>
    </row>
    <row r="584" spans="1:23" x14ac:dyDescent="0.25">
      <c r="A584">
        <v>47</v>
      </c>
      <c r="B584" t="s">
        <v>102</v>
      </c>
      <c r="C584" t="s">
        <v>131</v>
      </c>
      <c r="D584" t="s">
        <v>54</v>
      </c>
      <c r="E584">
        <v>10</v>
      </c>
      <c r="F584">
        <v>456</v>
      </c>
      <c r="G584">
        <v>8548</v>
      </c>
      <c r="H584">
        <v>3088</v>
      </c>
      <c r="I584">
        <v>2213</v>
      </c>
      <c r="J584">
        <v>291</v>
      </c>
      <c r="K584">
        <v>0.43</v>
      </c>
      <c r="L584">
        <v>0.18</v>
      </c>
      <c r="M584">
        <v>0.78600000000000003</v>
      </c>
      <c r="N584">
        <v>18.5</v>
      </c>
      <c r="O584">
        <v>0.104</v>
      </c>
      <c r="P584">
        <v>1990</v>
      </c>
      <c r="Q584">
        <v>18.7</v>
      </c>
      <c r="R584">
        <v>6.8</v>
      </c>
      <c r="S584">
        <v>4.9000000000000004</v>
      </c>
      <c r="T584">
        <v>0.6</v>
      </c>
      <c r="U584">
        <v>2</v>
      </c>
      <c r="V584">
        <v>20</v>
      </c>
      <c r="W584">
        <f>IF(nba_draft[[#This Row],[years_played]]&gt;5,1,0)</f>
        <v>1</v>
      </c>
    </row>
    <row r="585" spans="1:23" x14ac:dyDescent="0.25">
      <c r="A585">
        <v>36</v>
      </c>
      <c r="B585" t="s">
        <v>37</v>
      </c>
      <c r="C585" t="s">
        <v>1040</v>
      </c>
      <c r="D585" t="s">
        <v>360</v>
      </c>
      <c r="E585">
        <v>6</v>
      </c>
      <c r="F585">
        <v>403</v>
      </c>
      <c r="G585">
        <v>6826</v>
      </c>
      <c r="H585">
        <v>3080</v>
      </c>
      <c r="I585">
        <v>1567</v>
      </c>
      <c r="J585">
        <v>322</v>
      </c>
      <c r="K585">
        <v>0.55300000000000005</v>
      </c>
      <c r="L585">
        <v>3.6999999999999998E-2</v>
      </c>
      <c r="M585">
        <v>0.66100000000000003</v>
      </c>
      <c r="N585">
        <v>16</v>
      </c>
      <c r="O585">
        <v>0.113</v>
      </c>
      <c r="P585">
        <v>2006</v>
      </c>
      <c r="Q585">
        <v>16.899999999999999</v>
      </c>
      <c r="R585">
        <v>7.6</v>
      </c>
      <c r="S585">
        <v>3.9</v>
      </c>
      <c r="T585">
        <v>0.8</v>
      </c>
      <c r="U585">
        <v>2</v>
      </c>
      <c r="V585">
        <v>6</v>
      </c>
      <c r="W585">
        <f>IF(nba_draft[[#This Row],[years_played]]&gt;5,1,0)</f>
        <v>1</v>
      </c>
    </row>
    <row r="586" spans="1:23" x14ac:dyDescent="0.25">
      <c r="A586">
        <v>42</v>
      </c>
      <c r="B586" t="s">
        <v>127</v>
      </c>
      <c r="C586" t="s">
        <v>1313</v>
      </c>
      <c r="D586" t="s">
        <v>97</v>
      </c>
      <c r="E586">
        <v>6</v>
      </c>
      <c r="F586">
        <v>367</v>
      </c>
      <c r="G586">
        <v>7105</v>
      </c>
      <c r="H586">
        <v>3063</v>
      </c>
      <c r="I586">
        <v>994</v>
      </c>
      <c r="J586">
        <v>379</v>
      </c>
      <c r="K586">
        <v>0.42599999999999999</v>
      </c>
      <c r="L586">
        <v>0.39900000000000002</v>
      </c>
      <c r="M586">
        <v>0.86099999999999999</v>
      </c>
      <c r="N586">
        <v>16.399999999999999</v>
      </c>
      <c r="O586">
        <v>0.111</v>
      </c>
      <c r="P586">
        <v>2011</v>
      </c>
      <c r="Q586">
        <v>19.399999999999999</v>
      </c>
      <c r="R586">
        <v>8.3000000000000007</v>
      </c>
      <c r="S586">
        <v>2.7</v>
      </c>
      <c r="T586">
        <v>1</v>
      </c>
      <c r="U586">
        <v>2</v>
      </c>
      <c r="V586">
        <v>12</v>
      </c>
      <c r="W586">
        <f>IF(nba_draft[[#This Row],[years_played]]&gt;5,1,0)</f>
        <v>1</v>
      </c>
    </row>
    <row r="587" spans="1:23" x14ac:dyDescent="0.25">
      <c r="A587">
        <v>31</v>
      </c>
      <c r="B587" t="s">
        <v>37</v>
      </c>
      <c r="C587" t="s">
        <v>1526</v>
      </c>
      <c r="D587" t="s">
        <v>97</v>
      </c>
      <c r="E587">
        <v>5</v>
      </c>
      <c r="F587">
        <v>307</v>
      </c>
      <c r="G587">
        <v>7593</v>
      </c>
      <c r="H587">
        <v>3058</v>
      </c>
      <c r="I587">
        <v>1015</v>
      </c>
      <c r="J587">
        <v>654</v>
      </c>
      <c r="K587">
        <v>0.42</v>
      </c>
      <c r="L587">
        <v>0.34899999999999998</v>
      </c>
      <c r="M587">
        <v>0.71899999999999997</v>
      </c>
      <c r="N587">
        <v>6.6</v>
      </c>
      <c r="O587">
        <v>4.2000000000000003E-2</v>
      </c>
      <c r="P587">
        <v>2015</v>
      </c>
      <c r="Q587">
        <v>24.7</v>
      </c>
      <c r="R587">
        <v>10</v>
      </c>
      <c r="S587">
        <v>3.3</v>
      </c>
      <c r="T587">
        <v>2.1</v>
      </c>
      <c r="U587">
        <v>2</v>
      </c>
      <c r="V587">
        <v>1</v>
      </c>
      <c r="W587">
        <f>IF(nba_draft[[#This Row],[years_played]]&gt;5,1,0)</f>
        <v>0</v>
      </c>
    </row>
    <row r="588" spans="1:23" x14ac:dyDescent="0.25">
      <c r="A588">
        <v>19</v>
      </c>
      <c r="B588" t="s">
        <v>65</v>
      </c>
      <c r="C588" t="s">
        <v>472</v>
      </c>
      <c r="D588" t="s">
        <v>282</v>
      </c>
      <c r="E588">
        <v>10</v>
      </c>
      <c r="F588">
        <v>593</v>
      </c>
      <c r="G588">
        <v>10374</v>
      </c>
      <c r="H588">
        <v>3056</v>
      </c>
      <c r="I588">
        <v>1554</v>
      </c>
      <c r="J588">
        <v>670</v>
      </c>
      <c r="K588">
        <v>0.39200000000000002</v>
      </c>
      <c r="L588">
        <v>0.34599999999999997</v>
      </c>
      <c r="M588">
        <v>0.69799999999999995</v>
      </c>
      <c r="N588">
        <v>13.7</v>
      </c>
      <c r="O588">
        <v>6.4000000000000001E-2</v>
      </c>
      <c r="P588">
        <v>1996</v>
      </c>
      <c r="Q588">
        <v>17.5</v>
      </c>
      <c r="R588">
        <v>5.2</v>
      </c>
      <c r="S588">
        <v>2.6</v>
      </c>
      <c r="T588">
        <v>1.1000000000000001</v>
      </c>
      <c r="U588">
        <v>1</v>
      </c>
      <c r="V588">
        <v>19</v>
      </c>
      <c r="W588">
        <f>IF(nba_draft[[#This Row],[years_played]]&gt;5,1,0)</f>
        <v>1</v>
      </c>
    </row>
    <row r="589" spans="1:23" x14ac:dyDescent="0.25">
      <c r="A589">
        <v>23</v>
      </c>
      <c r="B589" t="s">
        <v>395</v>
      </c>
      <c r="C589" t="s">
        <v>1618</v>
      </c>
      <c r="D589" t="s">
        <v>285</v>
      </c>
      <c r="E589">
        <v>5</v>
      </c>
      <c r="F589">
        <v>295</v>
      </c>
      <c r="G589">
        <v>7873</v>
      </c>
      <c r="H589">
        <v>3056</v>
      </c>
      <c r="I589">
        <v>1213</v>
      </c>
      <c r="J589">
        <v>414</v>
      </c>
      <c r="K589">
        <v>0.46899999999999997</v>
      </c>
      <c r="L589">
        <v>0.36899999999999999</v>
      </c>
      <c r="M589">
        <v>0.70599999999999996</v>
      </c>
      <c r="N589">
        <v>16.8</v>
      </c>
      <c r="O589">
        <v>0.10299999999999999</v>
      </c>
      <c r="P589">
        <v>2017</v>
      </c>
      <c r="Q589">
        <v>26.7</v>
      </c>
      <c r="R589">
        <v>10.4</v>
      </c>
      <c r="S589">
        <v>4.0999999999999996</v>
      </c>
      <c r="T589">
        <v>1.4</v>
      </c>
      <c r="U589">
        <v>1</v>
      </c>
      <c r="V589">
        <v>23</v>
      </c>
      <c r="W589">
        <f>IF(nba_draft[[#This Row],[years_played]]&gt;5,1,0)</f>
        <v>0</v>
      </c>
    </row>
    <row r="590" spans="1:23" x14ac:dyDescent="0.25">
      <c r="A590">
        <v>38</v>
      </c>
      <c r="B590" t="s">
        <v>55</v>
      </c>
      <c r="C590" t="s">
        <v>724</v>
      </c>
      <c r="D590" t="s">
        <v>255</v>
      </c>
      <c r="E590">
        <v>12</v>
      </c>
      <c r="F590">
        <v>619</v>
      </c>
      <c r="G590">
        <v>11213</v>
      </c>
      <c r="H590">
        <v>3052</v>
      </c>
      <c r="I590">
        <v>2307</v>
      </c>
      <c r="J590">
        <v>493</v>
      </c>
      <c r="K590">
        <v>0.48099999999999998</v>
      </c>
      <c r="L590">
        <v>0.311</v>
      </c>
      <c r="M590">
        <v>0.67100000000000004</v>
      </c>
      <c r="N590">
        <v>24.7</v>
      </c>
      <c r="O590">
        <v>0.106</v>
      </c>
      <c r="P590">
        <v>2000</v>
      </c>
      <c r="Q590">
        <v>18.100000000000001</v>
      </c>
      <c r="R590">
        <v>4.9000000000000004</v>
      </c>
      <c r="S590">
        <v>3.7</v>
      </c>
      <c r="T590">
        <v>0.8</v>
      </c>
      <c r="U590">
        <v>2</v>
      </c>
      <c r="V590">
        <v>9</v>
      </c>
      <c r="W590">
        <f>IF(nba_draft[[#This Row],[years_played]]&gt;5,1,0)</f>
        <v>1</v>
      </c>
    </row>
    <row r="591" spans="1:23" x14ac:dyDescent="0.25">
      <c r="A591">
        <v>30</v>
      </c>
      <c r="B591" t="s">
        <v>109</v>
      </c>
      <c r="C591" t="s">
        <v>315</v>
      </c>
      <c r="D591" t="s">
        <v>97</v>
      </c>
      <c r="E591">
        <v>6</v>
      </c>
      <c r="F591">
        <v>307</v>
      </c>
      <c r="G591">
        <v>6729</v>
      </c>
      <c r="H591">
        <v>3020</v>
      </c>
      <c r="I591">
        <v>1957</v>
      </c>
      <c r="J591">
        <v>150</v>
      </c>
      <c r="K591">
        <v>0.57299999999999995</v>
      </c>
      <c r="L591">
        <v>0</v>
      </c>
      <c r="M591">
        <v>0.64400000000000002</v>
      </c>
      <c r="N591">
        <v>19</v>
      </c>
      <c r="O591">
        <v>0.13600000000000001</v>
      </c>
      <c r="P591">
        <v>1993</v>
      </c>
      <c r="Q591">
        <v>21.9</v>
      </c>
      <c r="R591">
        <v>9.8000000000000007</v>
      </c>
      <c r="S591">
        <v>6.4</v>
      </c>
      <c r="T591">
        <v>0.5</v>
      </c>
      <c r="U591">
        <v>2</v>
      </c>
      <c r="V591">
        <v>3</v>
      </c>
      <c r="W591">
        <f>IF(nba_draft[[#This Row],[years_played]]&gt;5,1,0)</f>
        <v>1</v>
      </c>
    </row>
    <row r="592" spans="1:23" x14ac:dyDescent="0.25">
      <c r="A592">
        <v>29</v>
      </c>
      <c r="B592" t="s">
        <v>90</v>
      </c>
      <c r="C592" t="s">
        <v>1192</v>
      </c>
      <c r="D592" t="s">
        <v>298</v>
      </c>
      <c r="E592">
        <v>8</v>
      </c>
      <c r="F592">
        <v>394</v>
      </c>
      <c r="G592">
        <v>7511</v>
      </c>
      <c r="H592">
        <v>3009</v>
      </c>
      <c r="I592">
        <v>875</v>
      </c>
      <c r="J592">
        <v>889</v>
      </c>
      <c r="K592">
        <v>0.40400000000000003</v>
      </c>
      <c r="L592">
        <v>0.35399999999999998</v>
      </c>
      <c r="M592">
        <v>0.82399999999999995</v>
      </c>
      <c r="N592">
        <v>12.1</v>
      </c>
      <c r="O592">
        <v>7.6999999999999999E-2</v>
      </c>
      <c r="P592">
        <v>2009</v>
      </c>
      <c r="Q592">
        <v>19.100000000000001</v>
      </c>
      <c r="R592">
        <v>7.6</v>
      </c>
      <c r="S592">
        <v>2.2000000000000002</v>
      </c>
      <c r="T592">
        <v>2.2999999999999998</v>
      </c>
      <c r="U592">
        <v>1</v>
      </c>
      <c r="V592">
        <v>29</v>
      </c>
      <c r="W592">
        <f>IF(nba_draft[[#This Row],[years_played]]&gt;5,1,0)</f>
        <v>1</v>
      </c>
    </row>
    <row r="593" spans="1:23" x14ac:dyDescent="0.25">
      <c r="A593">
        <v>11</v>
      </c>
      <c r="B593" t="s">
        <v>109</v>
      </c>
      <c r="C593" t="s">
        <v>801</v>
      </c>
      <c r="D593" t="s">
        <v>285</v>
      </c>
      <c r="E593">
        <v>11</v>
      </c>
      <c r="F593">
        <v>629</v>
      </c>
      <c r="G593">
        <v>13579</v>
      </c>
      <c r="H593">
        <v>3003</v>
      </c>
      <c r="I593">
        <v>2563</v>
      </c>
      <c r="J593">
        <v>798</v>
      </c>
      <c r="K593">
        <v>0.42599999999999999</v>
      </c>
      <c r="L593">
        <v>0.25</v>
      </c>
      <c r="M593">
        <v>0.58299999999999996</v>
      </c>
      <c r="N593">
        <v>13.1</v>
      </c>
      <c r="O593">
        <v>4.5999999999999999E-2</v>
      </c>
      <c r="P593">
        <v>2002</v>
      </c>
      <c r="Q593">
        <v>21.6</v>
      </c>
      <c r="R593">
        <v>4.8</v>
      </c>
      <c r="S593">
        <v>4.0999999999999996</v>
      </c>
      <c r="T593">
        <v>1.3</v>
      </c>
      <c r="U593">
        <v>1</v>
      </c>
      <c r="V593">
        <v>11</v>
      </c>
      <c r="W593">
        <f>IF(nba_draft[[#This Row],[years_played]]&gt;5,1,0)</f>
        <v>1</v>
      </c>
    </row>
    <row r="594" spans="1:23" x14ac:dyDescent="0.25">
      <c r="A594">
        <v>34</v>
      </c>
      <c r="B594" t="s">
        <v>109</v>
      </c>
      <c r="C594" t="s">
        <v>1305</v>
      </c>
      <c r="D594" t="s">
        <v>1226</v>
      </c>
      <c r="E594">
        <v>8</v>
      </c>
      <c r="F594">
        <v>456</v>
      </c>
      <c r="G594">
        <v>8392</v>
      </c>
      <c r="H594">
        <v>2997</v>
      </c>
      <c r="I594">
        <v>894</v>
      </c>
      <c r="J594">
        <v>1421</v>
      </c>
      <c r="K594">
        <v>0.42299999999999999</v>
      </c>
      <c r="L594">
        <v>0.33</v>
      </c>
      <c r="M594">
        <v>0.73099999999999998</v>
      </c>
      <c r="N594">
        <v>10.3</v>
      </c>
      <c r="O594">
        <v>5.8999999999999997E-2</v>
      </c>
      <c r="P594">
        <v>2011</v>
      </c>
      <c r="Q594">
        <v>18.399999999999999</v>
      </c>
      <c r="R594">
        <v>6.6</v>
      </c>
      <c r="S594">
        <v>2</v>
      </c>
      <c r="T594">
        <v>3.1</v>
      </c>
      <c r="U594">
        <v>2</v>
      </c>
      <c r="V594">
        <v>4</v>
      </c>
      <c r="W594">
        <f>IF(nba_draft[[#This Row],[years_played]]&gt;5,1,0)</f>
        <v>1</v>
      </c>
    </row>
    <row r="595" spans="1:23" x14ac:dyDescent="0.25">
      <c r="A595">
        <v>2</v>
      </c>
      <c r="B595" t="s">
        <v>90</v>
      </c>
      <c r="C595" t="s">
        <v>1597</v>
      </c>
      <c r="D595" t="s">
        <v>113</v>
      </c>
      <c r="E595">
        <v>5</v>
      </c>
      <c r="F595">
        <v>252</v>
      </c>
      <c r="G595">
        <v>8187</v>
      </c>
      <c r="H595">
        <v>2995</v>
      </c>
      <c r="I595">
        <v>1447</v>
      </c>
      <c r="J595">
        <v>1563</v>
      </c>
      <c r="K595">
        <v>0.4</v>
      </c>
      <c r="L595">
        <v>0.36399999999999999</v>
      </c>
      <c r="M595">
        <v>0.57799999999999996</v>
      </c>
      <c r="N595">
        <v>11.7</v>
      </c>
      <c r="O595">
        <v>6.8000000000000005E-2</v>
      </c>
      <c r="P595">
        <v>2017</v>
      </c>
      <c r="Q595">
        <v>32.5</v>
      </c>
      <c r="R595">
        <v>11.9</v>
      </c>
      <c r="S595">
        <v>5.7</v>
      </c>
      <c r="T595">
        <v>6.2</v>
      </c>
      <c r="U595">
        <v>1</v>
      </c>
      <c r="V595">
        <v>2</v>
      </c>
      <c r="W595">
        <f>IF(nba_draft[[#This Row],[years_played]]&gt;5,1,0)</f>
        <v>0</v>
      </c>
    </row>
    <row r="596" spans="1:23" x14ac:dyDescent="0.25">
      <c r="A596">
        <v>8</v>
      </c>
      <c r="B596" t="s">
        <v>52</v>
      </c>
      <c r="C596" t="s">
        <v>514</v>
      </c>
      <c r="D596" t="s">
        <v>515</v>
      </c>
      <c r="E596">
        <v>12</v>
      </c>
      <c r="F596">
        <v>733</v>
      </c>
      <c r="G596">
        <v>13060</v>
      </c>
      <c r="H596">
        <v>2989</v>
      </c>
      <c r="I596">
        <v>3461</v>
      </c>
      <c r="J596">
        <v>344</v>
      </c>
      <c r="K596">
        <v>0.47699999999999998</v>
      </c>
      <c r="L596">
        <v>0</v>
      </c>
      <c r="M596">
        <v>0.499</v>
      </c>
      <c r="N596">
        <v>18.7</v>
      </c>
      <c r="O596">
        <v>6.9000000000000006E-2</v>
      </c>
      <c r="P596">
        <v>1997</v>
      </c>
      <c r="Q596">
        <v>17.8</v>
      </c>
      <c r="R596">
        <v>4.0999999999999996</v>
      </c>
      <c r="S596">
        <v>4.7</v>
      </c>
      <c r="T596">
        <v>0.5</v>
      </c>
      <c r="U596">
        <v>1</v>
      </c>
      <c r="V596">
        <v>8</v>
      </c>
      <c r="W596">
        <f>IF(nba_draft[[#This Row],[years_played]]&gt;5,1,0)</f>
        <v>1</v>
      </c>
    </row>
    <row r="597" spans="1:23" x14ac:dyDescent="0.25">
      <c r="A597">
        <v>8</v>
      </c>
      <c r="B597" t="s">
        <v>34</v>
      </c>
      <c r="C597" t="s">
        <v>1063</v>
      </c>
      <c r="D597" t="s">
        <v>179</v>
      </c>
      <c r="E597">
        <v>10</v>
      </c>
      <c r="F597">
        <v>428</v>
      </c>
      <c r="G597">
        <v>6949</v>
      </c>
      <c r="H597">
        <v>2976</v>
      </c>
      <c r="I597">
        <v>1560</v>
      </c>
      <c r="J597">
        <v>199</v>
      </c>
      <c r="K597">
        <v>0.60699999999999998</v>
      </c>
      <c r="L597">
        <v>0</v>
      </c>
      <c r="M597">
        <v>0.67400000000000004</v>
      </c>
      <c r="N597">
        <v>26.2</v>
      </c>
      <c r="O597">
        <v>0.18099999999999999</v>
      </c>
      <c r="P597">
        <v>2007</v>
      </c>
      <c r="Q597">
        <v>16.2</v>
      </c>
      <c r="R597">
        <v>7</v>
      </c>
      <c r="S597">
        <v>3.6</v>
      </c>
      <c r="T597">
        <v>0.5</v>
      </c>
      <c r="U597">
        <v>1</v>
      </c>
      <c r="V597">
        <v>8</v>
      </c>
      <c r="W597">
        <f>IF(nba_draft[[#This Row],[years_played]]&gt;5,1,0)</f>
        <v>1</v>
      </c>
    </row>
    <row r="598" spans="1:23" x14ac:dyDescent="0.25">
      <c r="A598">
        <v>15</v>
      </c>
      <c r="B598" t="s">
        <v>149</v>
      </c>
      <c r="C598" t="s">
        <v>523</v>
      </c>
      <c r="D598" t="s">
        <v>168</v>
      </c>
      <c r="E598">
        <v>10</v>
      </c>
      <c r="F598">
        <v>541</v>
      </c>
      <c r="G598">
        <v>10617</v>
      </c>
      <c r="H598">
        <v>2960</v>
      </c>
      <c r="I598">
        <v>2874</v>
      </c>
      <c r="J598">
        <v>244</v>
      </c>
      <c r="K598">
        <v>0.50700000000000001</v>
      </c>
      <c r="L598">
        <v>7.6999999999999999E-2</v>
      </c>
      <c r="M598">
        <v>0.64400000000000002</v>
      </c>
      <c r="N598">
        <v>28.6</v>
      </c>
      <c r="O598">
        <v>0.129</v>
      </c>
      <c r="P598">
        <v>1997</v>
      </c>
      <c r="Q598">
        <v>19.600000000000001</v>
      </c>
      <c r="R598">
        <v>5.5</v>
      </c>
      <c r="S598">
        <v>5.3</v>
      </c>
      <c r="T598">
        <v>0.5</v>
      </c>
      <c r="U598">
        <v>1</v>
      </c>
      <c r="V598">
        <v>15</v>
      </c>
      <c r="W598">
        <f>IF(nba_draft[[#This Row],[years_played]]&gt;5,1,0)</f>
        <v>1</v>
      </c>
    </row>
    <row r="599" spans="1:23" x14ac:dyDescent="0.25">
      <c r="A599">
        <v>52</v>
      </c>
      <c r="B599" t="s">
        <v>127</v>
      </c>
      <c r="C599" t="s">
        <v>444</v>
      </c>
      <c r="D599" t="s">
        <v>168</v>
      </c>
      <c r="E599">
        <v>10</v>
      </c>
      <c r="F599">
        <v>541</v>
      </c>
      <c r="G599">
        <v>9978</v>
      </c>
      <c r="H599">
        <v>2944</v>
      </c>
      <c r="I599">
        <v>1438</v>
      </c>
      <c r="J599">
        <v>846</v>
      </c>
      <c r="K599">
        <v>0.43099999999999999</v>
      </c>
      <c r="L599">
        <v>0.39600000000000002</v>
      </c>
      <c r="M599">
        <v>0.85399999999999998</v>
      </c>
      <c r="N599">
        <v>27.6</v>
      </c>
      <c r="O599">
        <v>0.13300000000000001</v>
      </c>
      <c r="P599">
        <v>1995</v>
      </c>
      <c r="Q599">
        <v>18.399999999999999</v>
      </c>
      <c r="R599">
        <v>5.4</v>
      </c>
      <c r="S599">
        <v>2.7</v>
      </c>
      <c r="T599">
        <v>1.6</v>
      </c>
      <c r="U599">
        <v>2</v>
      </c>
      <c r="V599">
        <v>23</v>
      </c>
      <c r="W599">
        <f>IF(nba_draft[[#This Row],[years_played]]&gt;5,1,0)</f>
        <v>1</v>
      </c>
    </row>
    <row r="600" spans="1:23" x14ac:dyDescent="0.25">
      <c r="A600">
        <v>33</v>
      </c>
      <c r="B600" t="s">
        <v>149</v>
      </c>
      <c r="C600" t="s">
        <v>1685</v>
      </c>
      <c r="D600" t="s">
        <v>458</v>
      </c>
      <c r="E600">
        <v>4</v>
      </c>
      <c r="F600">
        <v>256</v>
      </c>
      <c r="G600">
        <v>6171</v>
      </c>
      <c r="H600">
        <v>2944</v>
      </c>
      <c r="I600">
        <v>756</v>
      </c>
      <c r="J600">
        <v>971</v>
      </c>
      <c r="K600">
        <v>0.49399999999999999</v>
      </c>
      <c r="L600">
        <v>0.373</v>
      </c>
      <c r="M600">
        <v>0.78600000000000003</v>
      </c>
      <c r="N600">
        <v>15.6</v>
      </c>
      <c r="O600">
        <v>0.121</v>
      </c>
      <c r="P600">
        <v>2018</v>
      </c>
      <c r="Q600">
        <v>24.1</v>
      </c>
      <c r="R600">
        <v>11.5</v>
      </c>
      <c r="S600">
        <v>3</v>
      </c>
      <c r="T600">
        <v>3.8</v>
      </c>
      <c r="U600">
        <v>2</v>
      </c>
      <c r="V600">
        <v>3</v>
      </c>
      <c r="W600">
        <f>IF(nba_draft[[#This Row],[years_played]]&gt;5,1,0)</f>
        <v>0</v>
      </c>
    </row>
    <row r="601" spans="1:23" x14ac:dyDescent="0.25">
      <c r="A601">
        <v>4</v>
      </c>
      <c r="B601" t="s">
        <v>393</v>
      </c>
      <c r="C601" t="s">
        <v>1655</v>
      </c>
      <c r="D601" t="s">
        <v>148</v>
      </c>
      <c r="E601">
        <v>4</v>
      </c>
      <c r="F601">
        <v>185</v>
      </c>
      <c r="G601">
        <v>5037</v>
      </c>
      <c r="H601">
        <v>2932</v>
      </c>
      <c r="I601">
        <v>950</v>
      </c>
      <c r="J601">
        <v>217</v>
      </c>
      <c r="K601">
        <v>0.45700000000000002</v>
      </c>
      <c r="L601">
        <v>0.35299999999999998</v>
      </c>
      <c r="M601">
        <v>0.77900000000000003</v>
      </c>
      <c r="N601">
        <v>11.6</v>
      </c>
      <c r="O601">
        <v>0.11</v>
      </c>
      <c r="P601">
        <v>2018</v>
      </c>
      <c r="Q601">
        <v>27.2</v>
      </c>
      <c r="R601">
        <v>15.8</v>
      </c>
      <c r="S601">
        <v>5.0999999999999996</v>
      </c>
      <c r="T601">
        <v>1.2</v>
      </c>
      <c r="U601">
        <v>1</v>
      </c>
      <c r="V601">
        <v>4</v>
      </c>
      <c r="W601">
        <f>IF(nba_draft[[#This Row],[years_played]]&gt;5,1,0)</f>
        <v>0</v>
      </c>
    </row>
    <row r="602" spans="1:23" x14ac:dyDescent="0.25">
      <c r="A602">
        <v>3</v>
      </c>
      <c r="B602" t="s">
        <v>65</v>
      </c>
      <c r="C602" t="s">
        <v>1714</v>
      </c>
      <c r="D602" t="s">
        <v>87</v>
      </c>
      <c r="E602">
        <v>3</v>
      </c>
      <c r="F602">
        <v>176</v>
      </c>
      <c r="G602">
        <v>5802</v>
      </c>
      <c r="H602">
        <v>2930</v>
      </c>
      <c r="I602">
        <v>965</v>
      </c>
      <c r="J602">
        <v>485</v>
      </c>
      <c r="K602">
        <v>0.42099999999999999</v>
      </c>
      <c r="L602">
        <v>0.36399999999999999</v>
      </c>
      <c r="M602">
        <v>0.68700000000000006</v>
      </c>
      <c r="N602">
        <v>5</v>
      </c>
      <c r="O602">
        <v>4.1000000000000002E-2</v>
      </c>
      <c r="P602">
        <v>2019</v>
      </c>
      <c r="Q602">
        <v>33</v>
      </c>
      <c r="R602">
        <v>16.600000000000001</v>
      </c>
      <c r="S602">
        <v>5.5</v>
      </c>
      <c r="T602">
        <v>2.8</v>
      </c>
      <c r="U602">
        <v>1</v>
      </c>
      <c r="V602">
        <v>3</v>
      </c>
      <c r="W602">
        <f>IF(nba_draft[[#This Row],[years_played]]&gt;5,1,0)</f>
        <v>0</v>
      </c>
    </row>
    <row r="603" spans="1:23" x14ac:dyDescent="0.25">
      <c r="A603">
        <v>18</v>
      </c>
      <c r="B603" t="s">
        <v>65</v>
      </c>
      <c r="C603" t="s">
        <v>471</v>
      </c>
      <c r="D603" t="s">
        <v>24</v>
      </c>
      <c r="E603">
        <v>7</v>
      </c>
      <c r="F603">
        <v>381</v>
      </c>
      <c r="G603">
        <v>6143</v>
      </c>
      <c r="H603">
        <v>2901</v>
      </c>
      <c r="I603">
        <v>1061</v>
      </c>
      <c r="J603">
        <v>281</v>
      </c>
      <c r="K603">
        <v>0.46200000000000002</v>
      </c>
      <c r="L603">
        <v>0.3</v>
      </c>
      <c r="M603">
        <v>0.74</v>
      </c>
      <c r="N603">
        <v>6.4</v>
      </c>
      <c r="O603">
        <v>0.05</v>
      </c>
      <c r="P603">
        <v>1996</v>
      </c>
      <c r="Q603">
        <v>16.100000000000001</v>
      </c>
      <c r="R603">
        <v>7.6</v>
      </c>
      <c r="S603">
        <v>2.8</v>
      </c>
      <c r="T603">
        <v>0.7</v>
      </c>
      <c r="U603">
        <v>1</v>
      </c>
      <c r="V603">
        <v>18</v>
      </c>
      <c r="W603">
        <f>IF(nba_draft[[#This Row],[years_played]]&gt;5,1,0)</f>
        <v>1</v>
      </c>
    </row>
    <row r="604" spans="1:23" x14ac:dyDescent="0.25">
      <c r="A604">
        <v>21</v>
      </c>
      <c r="B604" t="s">
        <v>70</v>
      </c>
      <c r="C604" t="s">
        <v>1349</v>
      </c>
      <c r="D604" t="s">
        <v>216</v>
      </c>
      <c r="E604">
        <v>5</v>
      </c>
      <c r="F604">
        <v>269</v>
      </c>
      <c r="G604">
        <v>6532</v>
      </c>
      <c r="H604">
        <v>2893</v>
      </c>
      <c r="I604">
        <v>2006</v>
      </c>
      <c r="J604">
        <v>477</v>
      </c>
      <c r="K604">
        <v>0.436</v>
      </c>
      <c r="L604">
        <v>0.27200000000000002</v>
      </c>
      <c r="M604">
        <v>0.72299999999999998</v>
      </c>
      <c r="N604">
        <v>15.3</v>
      </c>
      <c r="O604">
        <v>0.113</v>
      </c>
      <c r="P604">
        <v>2012</v>
      </c>
      <c r="Q604">
        <v>24.3</v>
      </c>
      <c r="R604">
        <v>10.8</v>
      </c>
      <c r="S604">
        <v>7.5</v>
      </c>
      <c r="T604">
        <v>1.8</v>
      </c>
      <c r="U604">
        <v>1</v>
      </c>
      <c r="V604">
        <v>21</v>
      </c>
      <c r="W604">
        <f>IF(nba_draft[[#This Row],[years_played]]&gt;5,1,0)</f>
        <v>0</v>
      </c>
    </row>
    <row r="605" spans="1:23" x14ac:dyDescent="0.25">
      <c r="A605">
        <v>34</v>
      </c>
      <c r="B605" t="s">
        <v>49</v>
      </c>
      <c r="C605" t="s">
        <v>1686</v>
      </c>
      <c r="D605" t="s">
        <v>108</v>
      </c>
      <c r="E605">
        <v>4</v>
      </c>
      <c r="F605">
        <v>219</v>
      </c>
      <c r="G605">
        <v>6234</v>
      </c>
      <c r="H605">
        <v>2891</v>
      </c>
      <c r="I605">
        <v>564</v>
      </c>
      <c r="J605">
        <v>1131</v>
      </c>
      <c r="K605">
        <v>0.372</v>
      </c>
      <c r="L605">
        <v>0.35799999999999998</v>
      </c>
      <c r="M605">
        <v>0.82499999999999996</v>
      </c>
      <c r="N605">
        <v>9</v>
      </c>
      <c r="O605">
        <v>7.0000000000000007E-2</v>
      </c>
      <c r="P605">
        <v>2018</v>
      </c>
      <c r="Q605">
        <v>28.5</v>
      </c>
      <c r="R605">
        <v>13.2</v>
      </c>
      <c r="S605">
        <v>2.6</v>
      </c>
      <c r="T605">
        <v>5.2</v>
      </c>
      <c r="U605">
        <v>2</v>
      </c>
      <c r="V605">
        <v>4</v>
      </c>
      <c r="W605">
        <f>IF(nba_draft[[#This Row],[years_played]]&gt;5,1,0)</f>
        <v>0</v>
      </c>
    </row>
    <row r="606" spans="1:23" x14ac:dyDescent="0.25">
      <c r="A606">
        <v>24</v>
      </c>
      <c r="B606" t="s">
        <v>65</v>
      </c>
      <c r="C606" t="s">
        <v>363</v>
      </c>
      <c r="D606" t="s">
        <v>218</v>
      </c>
      <c r="E606">
        <v>9</v>
      </c>
      <c r="F606">
        <v>456</v>
      </c>
      <c r="G606">
        <v>7624</v>
      </c>
      <c r="H606">
        <v>2884</v>
      </c>
      <c r="I606">
        <v>1296</v>
      </c>
      <c r="J606">
        <v>544</v>
      </c>
      <c r="K606">
        <v>0.48099999999999998</v>
      </c>
      <c r="L606">
        <v>0.111</v>
      </c>
      <c r="M606">
        <v>0.66500000000000004</v>
      </c>
      <c r="N606">
        <v>11.4</v>
      </c>
      <c r="O606">
        <v>7.1999999999999995E-2</v>
      </c>
      <c r="P606">
        <v>1994</v>
      </c>
      <c r="Q606">
        <v>16.7</v>
      </c>
      <c r="R606">
        <v>6.3</v>
      </c>
      <c r="S606">
        <v>2.8</v>
      </c>
      <c r="T606">
        <v>1.2</v>
      </c>
      <c r="U606">
        <v>1</v>
      </c>
      <c r="V606">
        <v>24</v>
      </c>
      <c r="W606">
        <f>IF(nba_draft[[#This Row],[years_played]]&gt;5,1,0)</f>
        <v>1</v>
      </c>
    </row>
    <row r="607" spans="1:23" x14ac:dyDescent="0.25">
      <c r="A607">
        <v>21</v>
      </c>
      <c r="B607" t="s">
        <v>85</v>
      </c>
      <c r="C607" t="s">
        <v>304</v>
      </c>
      <c r="D607" t="s">
        <v>228</v>
      </c>
      <c r="E607">
        <v>7</v>
      </c>
      <c r="F607">
        <v>381</v>
      </c>
      <c r="G607">
        <v>6935</v>
      </c>
      <c r="H607">
        <v>2882</v>
      </c>
      <c r="I607">
        <v>660</v>
      </c>
      <c r="J607">
        <v>715</v>
      </c>
      <c r="K607">
        <v>0.39400000000000002</v>
      </c>
      <c r="L607">
        <v>0.34799999999999998</v>
      </c>
      <c r="M607">
        <v>0.66600000000000004</v>
      </c>
      <c r="N607">
        <v>5.8</v>
      </c>
      <c r="O607">
        <v>0.04</v>
      </c>
      <c r="P607">
        <v>1993</v>
      </c>
      <c r="Q607">
        <v>18.2</v>
      </c>
      <c r="R607">
        <v>7.6</v>
      </c>
      <c r="S607">
        <v>1.7</v>
      </c>
      <c r="T607">
        <v>1.9</v>
      </c>
      <c r="U607">
        <v>1</v>
      </c>
      <c r="V607">
        <v>21</v>
      </c>
      <c r="W607">
        <f>IF(nba_draft[[#This Row],[years_played]]&gt;5,1,0)</f>
        <v>1</v>
      </c>
    </row>
    <row r="608" spans="1:23" x14ac:dyDescent="0.25">
      <c r="A608">
        <v>12</v>
      </c>
      <c r="B608" t="s">
        <v>31</v>
      </c>
      <c r="C608" t="s">
        <v>576</v>
      </c>
      <c r="D608" t="s">
        <v>328</v>
      </c>
      <c r="E608">
        <v>10</v>
      </c>
      <c r="F608">
        <v>587</v>
      </c>
      <c r="G608">
        <v>8789</v>
      </c>
      <c r="H608">
        <v>2882</v>
      </c>
      <c r="I608">
        <v>1955</v>
      </c>
      <c r="J608">
        <v>343</v>
      </c>
      <c r="K608">
        <v>0.439</v>
      </c>
      <c r="L608">
        <v>0.125</v>
      </c>
      <c r="M608">
        <v>0.79100000000000004</v>
      </c>
      <c r="N608">
        <v>12.7</v>
      </c>
      <c r="O608">
        <v>7.0000000000000007E-2</v>
      </c>
      <c r="P608">
        <v>1998</v>
      </c>
      <c r="Q608">
        <v>15</v>
      </c>
      <c r="R608">
        <v>4.9000000000000004</v>
      </c>
      <c r="S608">
        <v>3.3</v>
      </c>
      <c r="T608">
        <v>0.6</v>
      </c>
      <c r="U608">
        <v>1</v>
      </c>
      <c r="V608">
        <v>12</v>
      </c>
      <c r="W608">
        <f>IF(nba_draft[[#This Row],[years_played]]&gt;5,1,0)</f>
        <v>1</v>
      </c>
    </row>
    <row r="609" spans="1:23" x14ac:dyDescent="0.25">
      <c r="A609">
        <v>13</v>
      </c>
      <c r="B609" t="s">
        <v>31</v>
      </c>
      <c r="C609" t="s">
        <v>577</v>
      </c>
      <c r="D609" t="s">
        <v>142</v>
      </c>
      <c r="E609">
        <v>6</v>
      </c>
      <c r="F609">
        <v>353</v>
      </c>
      <c r="G609">
        <v>7971</v>
      </c>
      <c r="H609">
        <v>2882</v>
      </c>
      <c r="I609">
        <v>2096</v>
      </c>
      <c r="J609">
        <v>322</v>
      </c>
      <c r="K609">
        <v>0.5</v>
      </c>
      <c r="L609">
        <v>5.2999999999999999E-2</v>
      </c>
      <c r="M609">
        <v>0.64500000000000002</v>
      </c>
      <c r="N609">
        <v>18.2</v>
      </c>
      <c r="O609">
        <v>0.11</v>
      </c>
      <c r="P609">
        <v>1998</v>
      </c>
      <c r="Q609">
        <v>22.6</v>
      </c>
      <c r="R609">
        <v>8.1999999999999993</v>
      </c>
      <c r="S609">
        <v>5.9</v>
      </c>
      <c r="T609">
        <v>0.9</v>
      </c>
      <c r="U609">
        <v>1</v>
      </c>
      <c r="V609">
        <v>13</v>
      </c>
      <c r="W609">
        <f>IF(nba_draft[[#This Row],[years_played]]&gt;5,1,0)</f>
        <v>1</v>
      </c>
    </row>
    <row r="610" spans="1:23" x14ac:dyDescent="0.25">
      <c r="A610">
        <v>13</v>
      </c>
      <c r="B610" t="s">
        <v>127</v>
      </c>
      <c r="C610" t="s">
        <v>1175</v>
      </c>
      <c r="D610" t="s">
        <v>179</v>
      </c>
      <c r="E610">
        <v>7</v>
      </c>
      <c r="F610">
        <v>428</v>
      </c>
      <c r="G610">
        <v>7233</v>
      </c>
      <c r="H610">
        <v>2881</v>
      </c>
      <c r="I610">
        <v>1808</v>
      </c>
      <c r="J610">
        <v>181</v>
      </c>
      <c r="K610">
        <v>0.439</v>
      </c>
      <c r="L610">
        <v>0.13600000000000001</v>
      </c>
      <c r="M610">
        <v>0.73799999999999999</v>
      </c>
      <c r="N610">
        <v>20.2</v>
      </c>
      <c r="O610">
        <v>0.13400000000000001</v>
      </c>
      <c r="P610">
        <v>2009</v>
      </c>
      <c r="Q610">
        <v>16.899999999999999</v>
      </c>
      <c r="R610">
        <v>6.7</v>
      </c>
      <c r="S610">
        <v>4.2</v>
      </c>
      <c r="T610">
        <v>0.4</v>
      </c>
      <c r="U610">
        <v>1</v>
      </c>
      <c r="V610">
        <v>13</v>
      </c>
      <c r="W610">
        <f>IF(nba_draft[[#This Row],[years_played]]&gt;5,1,0)</f>
        <v>1</v>
      </c>
    </row>
    <row r="611" spans="1:23" x14ac:dyDescent="0.25">
      <c r="A611">
        <v>53</v>
      </c>
      <c r="B611" t="s">
        <v>149</v>
      </c>
      <c r="C611" t="s">
        <v>623</v>
      </c>
      <c r="D611" t="s">
        <v>92</v>
      </c>
      <c r="E611">
        <v>10</v>
      </c>
      <c r="F611">
        <v>570</v>
      </c>
      <c r="G611">
        <v>10895</v>
      </c>
      <c r="H611">
        <v>2878</v>
      </c>
      <c r="I611">
        <v>1593</v>
      </c>
      <c r="J611">
        <v>719</v>
      </c>
      <c r="K611">
        <v>0.45</v>
      </c>
      <c r="L611">
        <v>0.33400000000000002</v>
      </c>
      <c r="M611">
        <v>0.75700000000000001</v>
      </c>
      <c r="N611">
        <v>20.9</v>
      </c>
      <c r="O611">
        <v>9.1999999999999998E-2</v>
      </c>
      <c r="P611">
        <v>1998</v>
      </c>
      <c r="Q611">
        <v>19.100000000000001</v>
      </c>
      <c r="R611">
        <v>5</v>
      </c>
      <c r="S611">
        <v>2.8</v>
      </c>
      <c r="T611">
        <v>1.3</v>
      </c>
      <c r="U611">
        <v>2</v>
      </c>
      <c r="V611">
        <v>24</v>
      </c>
      <c r="W611">
        <f>IF(nba_draft[[#This Row],[years_played]]&gt;5,1,0)</f>
        <v>1</v>
      </c>
    </row>
    <row r="612" spans="1:23" x14ac:dyDescent="0.25">
      <c r="A612">
        <v>22</v>
      </c>
      <c r="B612" t="s">
        <v>43</v>
      </c>
      <c r="C612" t="s">
        <v>587</v>
      </c>
      <c r="D612" t="s">
        <v>588</v>
      </c>
      <c r="E612">
        <v>14</v>
      </c>
      <c r="F612">
        <v>608</v>
      </c>
      <c r="G612">
        <v>10910</v>
      </c>
      <c r="H612">
        <v>2876</v>
      </c>
      <c r="I612">
        <v>2841</v>
      </c>
      <c r="J612">
        <v>288</v>
      </c>
      <c r="K612">
        <v>0.49399999999999999</v>
      </c>
      <c r="L612">
        <v>0.33300000000000002</v>
      </c>
      <c r="M612">
        <v>0.56599999999999995</v>
      </c>
      <c r="N612">
        <v>15.8</v>
      </c>
      <c r="O612">
        <v>7.0000000000000007E-2</v>
      </c>
      <c r="P612">
        <v>1998</v>
      </c>
      <c r="Q612">
        <v>17.899999999999999</v>
      </c>
      <c r="R612">
        <v>4.7</v>
      </c>
      <c r="S612">
        <v>4.7</v>
      </c>
      <c r="T612">
        <v>0.5</v>
      </c>
      <c r="U612">
        <v>1</v>
      </c>
      <c r="V612">
        <v>22</v>
      </c>
      <c r="W612">
        <f>IF(nba_draft[[#This Row],[years_played]]&gt;5,1,0)</f>
        <v>1</v>
      </c>
    </row>
    <row r="613" spans="1:23" x14ac:dyDescent="0.25">
      <c r="A613">
        <v>17</v>
      </c>
      <c r="B613" t="s">
        <v>149</v>
      </c>
      <c r="C613" t="s">
        <v>1344</v>
      </c>
      <c r="D613" t="s">
        <v>179</v>
      </c>
      <c r="E613">
        <v>8</v>
      </c>
      <c r="F613">
        <v>414</v>
      </c>
      <c r="G613">
        <v>7254</v>
      </c>
      <c r="H613">
        <v>2873</v>
      </c>
      <c r="I613">
        <v>1820</v>
      </c>
      <c r="J613">
        <v>367</v>
      </c>
      <c r="K613">
        <v>0.50800000000000001</v>
      </c>
      <c r="L613">
        <v>0.28599999999999998</v>
      </c>
      <c r="M613">
        <v>0.76400000000000001</v>
      </c>
      <c r="N613">
        <v>17.100000000000001</v>
      </c>
      <c r="O613">
        <v>0.113</v>
      </c>
      <c r="P613">
        <v>2012</v>
      </c>
      <c r="Q613">
        <v>17.5</v>
      </c>
      <c r="R613">
        <v>6.9</v>
      </c>
      <c r="S613">
        <v>4.4000000000000004</v>
      </c>
      <c r="T613">
        <v>0.9</v>
      </c>
      <c r="U613">
        <v>1</v>
      </c>
      <c r="V613">
        <v>17</v>
      </c>
      <c r="W613">
        <f>IF(nba_draft[[#This Row],[years_played]]&gt;5,1,0)</f>
        <v>1</v>
      </c>
    </row>
    <row r="614" spans="1:23" x14ac:dyDescent="0.25">
      <c r="A614">
        <v>37</v>
      </c>
      <c r="B614" t="s">
        <v>82</v>
      </c>
      <c r="C614" t="s">
        <v>1200</v>
      </c>
      <c r="D614" t="s">
        <v>272</v>
      </c>
      <c r="E614">
        <v>7</v>
      </c>
      <c r="F614">
        <v>424</v>
      </c>
      <c r="G614">
        <v>7054</v>
      </c>
      <c r="H614">
        <v>2865</v>
      </c>
      <c r="I614">
        <v>2153</v>
      </c>
      <c r="J614">
        <v>349</v>
      </c>
      <c r="K614">
        <v>0.52400000000000002</v>
      </c>
      <c r="L614">
        <v>0</v>
      </c>
      <c r="M614">
        <v>0.60799999999999998</v>
      </c>
      <c r="N614">
        <v>19</v>
      </c>
      <c r="O614">
        <v>0.129</v>
      </c>
      <c r="P614">
        <v>2009</v>
      </c>
      <c r="Q614">
        <v>16.600000000000001</v>
      </c>
      <c r="R614">
        <v>6.8</v>
      </c>
      <c r="S614">
        <v>5.0999999999999996</v>
      </c>
      <c r="T614">
        <v>0.8</v>
      </c>
      <c r="U614">
        <v>2</v>
      </c>
      <c r="V614">
        <v>7</v>
      </c>
      <c r="W614">
        <f>IF(nba_draft[[#This Row],[years_played]]&gt;5,1,0)</f>
        <v>1</v>
      </c>
    </row>
    <row r="615" spans="1:23" x14ac:dyDescent="0.25">
      <c r="A615">
        <v>24</v>
      </c>
      <c r="B615" t="s">
        <v>55</v>
      </c>
      <c r="C615" t="s">
        <v>969</v>
      </c>
      <c r="D615" t="s">
        <v>36</v>
      </c>
      <c r="E615">
        <v>6</v>
      </c>
      <c r="F615">
        <v>348</v>
      </c>
      <c r="G615">
        <v>7797</v>
      </c>
      <c r="H615">
        <v>2842</v>
      </c>
      <c r="I615">
        <v>845</v>
      </c>
      <c r="J615">
        <v>747</v>
      </c>
      <c r="K615">
        <v>0.42299999999999999</v>
      </c>
      <c r="L615">
        <v>0.38800000000000001</v>
      </c>
      <c r="M615">
        <v>0.77300000000000002</v>
      </c>
      <c r="N615">
        <v>14.7</v>
      </c>
      <c r="O615">
        <v>0.09</v>
      </c>
      <c r="P615">
        <v>2005</v>
      </c>
      <c r="Q615">
        <v>22.4</v>
      </c>
      <c r="R615">
        <v>8.1999999999999993</v>
      </c>
      <c r="S615">
        <v>2.4</v>
      </c>
      <c r="T615">
        <v>2.1</v>
      </c>
      <c r="U615">
        <v>1</v>
      </c>
      <c r="V615">
        <v>24</v>
      </c>
      <c r="W615">
        <f>IF(nba_draft[[#This Row],[years_played]]&gt;5,1,0)</f>
        <v>1</v>
      </c>
    </row>
    <row r="616" spans="1:23" x14ac:dyDescent="0.25">
      <c r="A616">
        <v>20</v>
      </c>
      <c r="B616" t="s">
        <v>395</v>
      </c>
      <c r="C616" t="s">
        <v>1515</v>
      </c>
      <c r="D616" t="s">
        <v>328</v>
      </c>
      <c r="E616">
        <v>7</v>
      </c>
      <c r="F616">
        <v>387</v>
      </c>
      <c r="G616">
        <v>8088</v>
      </c>
      <c r="H616">
        <v>2840</v>
      </c>
      <c r="I616">
        <v>1251</v>
      </c>
      <c r="J616">
        <v>1189</v>
      </c>
      <c r="K616">
        <v>0.45200000000000001</v>
      </c>
      <c r="L616">
        <v>0.35299999999999998</v>
      </c>
      <c r="M616">
        <v>0.79500000000000004</v>
      </c>
      <c r="N616">
        <v>21.3</v>
      </c>
      <c r="O616">
        <v>0.126</v>
      </c>
      <c r="P616">
        <v>2015</v>
      </c>
      <c r="Q616">
        <v>20.9</v>
      </c>
      <c r="R616">
        <v>7.3</v>
      </c>
      <c r="S616">
        <v>3.2</v>
      </c>
      <c r="T616">
        <v>3.1</v>
      </c>
      <c r="U616">
        <v>1</v>
      </c>
      <c r="V616">
        <v>20</v>
      </c>
      <c r="W616">
        <f>IF(nba_draft[[#This Row],[years_played]]&gt;5,1,0)</f>
        <v>1</v>
      </c>
    </row>
    <row r="617" spans="1:23" x14ac:dyDescent="0.25">
      <c r="A617">
        <v>19</v>
      </c>
      <c r="B617" t="s">
        <v>49</v>
      </c>
      <c r="C617" t="s">
        <v>1670</v>
      </c>
      <c r="D617" t="s">
        <v>67</v>
      </c>
      <c r="E617">
        <v>4</v>
      </c>
      <c r="F617">
        <v>251</v>
      </c>
      <c r="G617">
        <v>7414</v>
      </c>
      <c r="H617">
        <v>2825</v>
      </c>
      <c r="I617">
        <v>866</v>
      </c>
      <c r="J617">
        <v>811</v>
      </c>
      <c r="K617">
        <v>0.43</v>
      </c>
      <c r="L617">
        <v>0.376</v>
      </c>
      <c r="M617">
        <v>0.78700000000000003</v>
      </c>
      <c r="N617">
        <v>8.3000000000000007</v>
      </c>
      <c r="O617">
        <v>5.3999999999999999E-2</v>
      </c>
      <c r="P617">
        <v>2018</v>
      </c>
      <c r="Q617">
        <v>29.5</v>
      </c>
      <c r="R617">
        <v>11.3</v>
      </c>
      <c r="S617">
        <v>3.5</v>
      </c>
      <c r="T617">
        <v>3.2</v>
      </c>
      <c r="U617">
        <v>1</v>
      </c>
      <c r="V617">
        <v>19</v>
      </c>
      <c r="W617">
        <f>IF(nba_draft[[#This Row],[years_played]]&gt;5,1,0)</f>
        <v>0</v>
      </c>
    </row>
    <row r="618" spans="1:23" x14ac:dyDescent="0.25">
      <c r="A618">
        <v>28</v>
      </c>
      <c r="B618" t="s">
        <v>82</v>
      </c>
      <c r="C618" t="s">
        <v>1086</v>
      </c>
      <c r="D618" t="s">
        <v>97</v>
      </c>
      <c r="E618">
        <v>7</v>
      </c>
      <c r="F618">
        <v>355</v>
      </c>
      <c r="G618">
        <v>6812</v>
      </c>
      <c r="H618">
        <v>2816</v>
      </c>
      <c r="I618">
        <v>1779</v>
      </c>
      <c r="J618">
        <v>423</v>
      </c>
      <c r="K618">
        <v>0.55500000000000005</v>
      </c>
      <c r="L618">
        <v>0.14299999999999999</v>
      </c>
      <c r="M618">
        <v>0.69699999999999995</v>
      </c>
      <c r="N618">
        <v>25.3</v>
      </c>
      <c r="O618">
        <v>0.17799999999999999</v>
      </c>
      <c r="P618">
        <v>2007</v>
      </c>
      <c r="Q618">
        <v>19.2</v>
      </c>
      <c r="R618">
        <v>7.9</v>
      </c>
      <c r="S618">
        <v>5</v>
      </c>
      <c r="T618">
        <v>1.2</v>
      </c>
      <c r="U618">
        <v>1</v>
      </c>
      <c r="V618">
        <v>28</v>
      </c>
      <c r="W618">
        <f>IF(nba_draft[[#This Row],[years_played]]&gt;5,1,0)</f>
        <v>1</v>
      </c>
    </row>
    <row r="619" spans="1:23" x14ac:dyDescent="0.25">
      <c r="A619">
        <v>34</v>
      </c>
      <c r="B619" t="s">
        <v>52</v>
      </c>
      <c r="C619" t="s">
        <v>427</v>
      </c>
      <c r="D619" t="s">
        <v>84</v>
      </c>
      <c r="E619">
        <v>10</v>
      </c>
      <c r="F619">
        <v>587</v>
      </c>
      <c r="G619">
        <v>9847</v>
      </c>
      <c r="H619">
        <v>2815</v>
      </c>
      <c r="I619">
        <v>2488</v>
      </c>
      <c r="J619">
        <v>339</v>
      </c>
      <c r="K619">
        <v>0.50700000000000001</v>
      </c>
      <c r="L619">
        <v>0</v>
      </c>
      <c r="M619">
        <v>0.621</v>
      </c>
      <c r="N619">
        <v>19.3</v>
      </c>
      <c r="O619">
        <v>9.4E-2</v>
      </c>
      <c r="P619">
        <v>1995</v>
      </c>
      <c r="Q619">
        <v>16.8</v>
      </c>
      <c r="R619">
        <v>4.8</v>
      </c>
      <c r="S619">
        <v>4.2</v>
      </c>
      <c r="T619">
        <v>0.6</v>
      </c>
      <c r="U619">
        <v>2</v>
      </c>
      <c r="V619">
        <v>5</v>
      </c>
      <c r="W619">
        <f>IF(nba_draft[[#This Row],[years_played]]&gt;5,1,0)</f>
        <v>1</v>
      </c>
    </row>
    <row r="620" spans="1:23" x14ac:dyDescent="0.25">
      <c r="A620">
        <v>2</v>
      </c>
      <c r="B620" t="s">
        <v>88</v>
      </c>
      <c r="C620" t="s">
        <v>846</v>
      </c>
      <c r="D620" t="s">
        <v>97</v>
      </c>
      <c r="E620">
        <v>10</v>
      </c>
      <c r="F620">
        <v>468</v>
      </c>
      <c r="G620">
        <v>8638</v>
      </c>
      <c r="H620">
        <v>2813</v>
      </c>
      <c r="I620">
        <v>1971</v>
      </c>
      <c r="J620">
        <v>405</v>
      </c>
      <c r="K620">
        <v>0.46</v>
      </c>
      <c r="L620">
        <v>0</v>
      </c>
      <c r="M620">
        <v>0.57399999999999995</v>
      </c>
      <c r="N620">
        <v>7.1</v>
      </c>
      <c r="O620">
        <v>0.04</v>
      </c>
      <c r="P620">
        <v>2003</v>
      </c>
      <c r="Q620">
        <v>18.5</v>
      </c>
      <c r="R620">
        <v>6</v>
      </c>
      <c r="S620">
        <v>4.2</v>
      </c>
      <c r="T620">
        <v>0.9</v>
      </c>
      <c r="U620">
        <v>1</v>
      </c>
      <c r="V620">
        <v>2</v>
      </c>
      <c r="W620">
        <f>IF(nba_draft[[#This Row],[years_played]]&gt;5,1,0)</f>
        <v>1</v>
      </c>
    </row>
    <row r="621" spans="1:23" x14ac:dyDescent="0.25">
      <c r="A621">
        <v>11</v>
      </c>
      <c r="B621" t="s">
        <v>34</v>
      </c>
      <c r="C621" t="s">
        <v>1606</v>
      </c>
      <c r="D621" t="s">
        <v>282</v>
      </c>
      <c r="E621">
        <v>5</v>
      </c>
      <c r="F621">
        <v>285</v>
      </c>
      <c r="G621">
        <v>5567</v>
      </c>
      <c r="H621">
        <v>2802</v>
      </c>
      <c r="I621">
        <v>633</v>
      </c>
      <c r="J621">
        <v>536</v>
      </c>
      <c r="K621">
        <v>0.41799999999999998</v>
      </c>
      <c r="L621">
        <v>0.35299999999999998</v>
      </c>
      <c r="M621">
        <v>0.82899999999999996</v>
      </c>
      <c r="N621">
        <v>4.7</v>
      </c>
      <c r="O621">
        <v>4.1000000000000002E-2</v>
      </c>
      <c r="P621">
        <v>2017</v>
      </c>
      <c r="Q621">
        <v>19.5</v>
      </c>
      <c r="R621">
        <v>9.8000000000000007</v>
      </c>
      <c r="S621">
        <v>2.2000000000000002</v>
      </c>
      <c r="T621">
        <v>1.9</v>
      </c>
      <c r="U621">
        <v>1</v>
      </c>
      <c r="V621">
        <v>11</v>
      </c>
      <c r="W621">
        <f>IF(nba_draft[[#This Row],[years_played]]&gt;5,1,0)</f>
        <v>0</v>
      </c>
    </row>
    <row r="622" spans="1:23" x14ac:dyDescent="0.25">
      <c r="A622">
        <v>29</v>
      </c>
      <c r="B622" t="s">
        <v>82</v>
      </c>
      <c r="C622" t="s">
        <v>1624</v>
      </c>
      <c r="D622" t="s">
        <v>435</v>
      </c>
      <c r="E622">
        <v>5</v>
      </c>
      <c r="F622">
        <v>241</v>
      </c>
      <c r="G622">
        <v>6215</v>
      </c>
      <c r="H622">
        <v>2790</v>
      </c>
      <c r="I622">
        <v>793</v>
      </c>
      <c r="J622">
        <v>929</v>
      </c>
      <c r="K622">
        <v>0.44400000000000001</v>
      </c>
      <c r="L622">
        <v>0.34100000000000003</v>
      </c>
      <c r="M622">
        <v>0.83399999999999996</v>
      </c>
      <c r="N622">
        <v>13.9</v>
      </c>
      <c r="O622">
        <v>0.107</v>
      </c>
      <c r="P622">
        <v>2017</v>
      </c>
      <c r="Q622">
        <v>25.8</v>
      </c>
      <c r="R622">
        <v>11.6</v>
      </c>
      <c r="S622">
        <v>3.3</v>
      </c>
      <c r="T622">
        <v>3.9</v>
      </c>
      <c r="U622">
        <v>1</v>
      </c>
      <c r="V622">
        <v>29</v>
      </c>
      <c r="W622">
        <f>IF(nba_draft[[#This Row],[years_played]]&gt;5,1,0)</f>
        <v>0</v>
      </c>
    </row>
    <row r="623" spans="1:23" x14ac:dyDescent="0.25">
      <c r="A623">
        <v>19</v>
      </c>
      <c r="B623" t="s">
        <v>104</v>
      </c>
      <c r="C623" t="s">
        <v>865</v>
      </c>
      <c r="D623" t="s">
        <v>97</v>
      </c>
      <c r="E623">
        <v>10</v>
      </c>
      <c r="F623">
        <v>567</v>
      </c>
      <c r="G623">
        <v>8888</v>
      </c>
      <c r="H623">
        <v>2787</v>
      </c>
      <c r="I623">
        <v>1000</v>
      </c>
      <c r="J623">
        <v>517</v>
      </c>
      <c r="K623">
        <v>0.40400000000000003</v>
      </c>
      <c r="L623">
        <v>0.34599999999999997</v>
      </c>
      <c r="M623">
        <v>0.67300000000000004</v>
      </c>
      <c r="N623">
        <v>7</v>
      </c>
      <c r="O623">
        <v>3.7999999999999999E-2</v>
      </c>
      <c r="P623">
        <v>2003</v>
      </c>
      <c r="Q623">
        <v>15.7</v>
      </c>
      <c r="R623">
        <v>4.9000000000000004</v>
      </c>
      <c r="S623">
        <v>1.8</v>
      </c>
      <c r="T623">
        <v>0.9</v>
      </c>
      <c r="U623">
        <v>1</v>
      </c>
      <c r="V623">
        <v>19</v>
      </c>
      <c r="W623">
        <f>IF(nba_draft[[#This Row],[years_played]]&gt;5,1,0)</f>
        <v>1</v>
      </c>
    </row>
    <row r="624" spans="1:23" x14ac:dyDescent="0.25">
      <c r="A624">
        <v>4</v>
      </c>
      <c r="B624" t="s">
        <v>95</v>
      </c>
      <c r="C624" t="s">
        <v>686</v>
      </c>
      <c r="D624" t="s">
        <v>168</v>
      </c>
      <c r="E624">
        <v>6</v>
      </c>
      <c r="F624">
        <v>289</v>
      </c>
      <c r="G624">
        <v>6032</v>
      </c>
      <c r="H624">
        <v>2782</v>
      </c>
      <c r="I624">
        <v>1340</v>
      </c>
      <c r="J624">
        <v>352</v>
      </c>
      <c r="K624">
        <v>0.435</v>
      </c>
      <c r="L624">
        <v>0.191</v>
      </c>
      <c r="M624">
        <v>0.69099999999999995</v>
      </c>
      <c r="N624">
        <v>2.7</v>
      </c>
      <c r="O624">
        <v>2.1999999999999999E-2</v>
      </c>
      <c r="P624">
        <v>2000</v>
      </c>
      <c r="Q624">
        <v>20.9</v>
      </c>
      <c r="R624">
        <v>9.6</v>
      </c>
      <c r="S624">
        <v>4.5999999999999996</v>
      </c>
      <c r="T624">
        <v>1.2</v>
      </c>
      <c r="U624">
        <v>1</v>
      </c>
      <c r="V624">
        <v>4</v>
      </c>
      <c r="W624">
        <f>IF(nba_draft[[#This Row],[years_played]]&gt;5,1,0)</f>
        <v>1</v>
      </c>
    </row>
    <row r="625" spans="1:23" x14ac:dyDescent="0.25">
      <c r="A625">
        <v>9</v>
      </c>
      <c r="B625" t="s">
        <v>395</v>
      </c>
      <c r="C625" t="s">
        <v>1549</v>
      </c>
      <c r="D625" t="s">
        <v>328</v>
      </c>
      <c r="E625">
        <v>6</v>
      </c>
      <c r="F625">
        <v>397</v>
      </c>
      <c r="G625">
        <v>7853</v>
      </c>
      <c r="H625">
        <v>2762</v>
      </c>
      <c r="I625">
        <v>2339</v>
      </c>
      <c r="J625">
        <v>550</v>
      </c>
      <c r="K625">
        <v>0.627</v>
      </c>
      <c r="L625">
        <v>0.66700000000000004</v>
      </c>
      <c r="M625">
        <v>0.51400000000000001</v>
      </c>
      <c r="N625">
        <v>27</v>
      </c>
      <c r="O625">
        <v>0.16500000000000001</v>
      </c>
      <c r="P625">
        <v>2016</v>
      </c>
      <c r="Q625">
        <v>19.8</v>
      </c>
      <c r="R625">
        <v>7</v>
      </c>
      <c r="S625">
        <v>5.9</v>
      </c>
      <c r="T625">
        <v>1.4</v>
      </c>
      <c r="U625">
        <v>1</v>
      </c>
      <c r="V625">
        <v>9</v>
      </c>
      <c r="W625">
        <f>IF(nba_draft[[#This Row],[years_played]]&gt;5,1,0)</f>
        <v>1</v>
      </c>
    </row>
    <row r="626" spans="1:23" x14ac:dyDescent="0.25">
      <c r="A626">
        <v>23</v>
      </c>
      <c r="B626" t="s">
        <v>85</v>
      </c>
      <c r="C626" t="s">
        <v>1518</v>
      </c>
      <c r="D626" t="s">
        <v>117</v>
      </c>
      <c r="E626">
        <v>6</v>
      </c>
      <c r="F626">
        <v>305</v>
      </c>
      <c r="G626">
        <v>6759</v>
      </c>
      <c r="H626">
        <v>2760</v>
      </c>
      <c r="I626">
        <v>1684</v>
      </c>
      <c r="J626">
        <v>579</v>
      </c>
      <c r="K626">
        <v>0.44900000000000001</v>
      </c>
      <c r="L626">
        <v>0.21199999999999999</v>
      </c>
      <c r="M626">
        <v>0.73499999999999999</v>
      </c>
      <c r="N626">
        <v>12.9</v>
      </c>
      <c r="O626">
        <v>9.0999999999999998E-2</v>
      </c>
      <c r="P626">
        <v>2015</v>
      </c>
      <c r="Q626">
        <v>22.2</v>
      </c>
      <c r="R626">
        <v>9</v>
      </c>
      <c r="S626">
        <v>5.5</v>
      </c>
      <c r="T626">
        <v>1.9</v>
      </c>
      <c r="U626">
        <v>1</v>
      </c>
      <c r="V626">
        <v>23</v>
      </c>
      <c r="W626">
        <f>IF(nba_draft[[#This Row],[years_played]]&gt;5,1,0)</f>
        <v>1</v>
      </c>
    </row>
    <row r="627" spans="1:23" x14ac:dyDescent="0.25">
      <c r="A627">
        <v>32</v>
      </c>
      <c r="B627" t="s">
        <v>90</v>
      </c>
      <c r="C627" t="s">
        <v>1572</v>
      </c>
      <c r="D627" t="s">
        <v>97</v>
      </c>
      <c r="E627">
        <v>6</v>
      </c>
      <c r="F627">
        <v>339</v>
      </c>
      <c r="G627">
        <v>6327</v>
      </c>
      <c r="H627">
        <v>2750</v>
      </c>
      <c r="I627">
        <v>2148</v>
      </c>
      <c r="J627">
        <v>367</v>
      </c>
      <c r="K627">
        <v>0.59799999999999998</v>
      </c>
      <c r="L627">
        <v>0.1</v>
      </c>
      <c r="M627">
        <v>0.753</v>
      </c>
      <c r="N627">
        <v>24.1</v>
      </c>
      <c r="O627">
        <v>0.183</v>
      </c>
      <c r="P627">
        <v>2016</v>
      </c>
      <c r="Q627">
        <v>18.7</v>
      </c>
      <c r="R627">
        <v>8.1</v>
      </c>
      <c r="S627">
        <v>6.3</v>
      </c>
      <c r="T627">
        <v>1.1000000000000001</v>
      </c>
      <c r="U627">
        <v>2</v>
      </c>
      <c r="V627">
        <v>2</v>
      </c>
      <c r="W627">
        <f>IF(nba_draft[[#This Row],[years_played]]&gt;5,1,0)</f>
        <v>1</v>
      </c>
    </row>
    <row r="628" spans="1:23" x14ac:dyDescent="0.25">
      <c r="A628">
        <v>30</v>
      </c>
      <c r="B628" t="s">
        <v>104</v>
      </c>
      <c r="C628" t="s">
        <v>1625</v>
      </c>
      <c r="D628" t="s">
        <v>458</v>
      </c>
      <c r="E628">
        <v>5</v>
      </c>
      <c r="F628">
        <v>286</v>
      </c>
      <c r="G628">
        <v>7763</v>
      </c>
      <c r="H628">
        <v>2731</v>
      </c>
      <c r="I628">
        <v>1646</v>
      </c>
      <c r="J628">
        <v>571</v>
      </c>
      <c r="K628">
        <v>0.44800000000000001</v>
      </c>
      <c r="L628">
        <v>0.34799999999999998</v>
      </c>
      <c r="M628">
        <v>0.73599999999999999</v>
      </c>
      <c r="N628">
        <v>15.1</v>
      </c>
      <c r="O628">
        <v>9.4E-2</v>
      </c>
      <c r="P628">
        <v>2017</v>
      </c>
      <c r="Q628">
        <v>27.1</v>
      </c>
      <c r="R628">
        <v>9.5</v>
      </c>
      <c r="S628">
        <v>5.8</v>
      </c>
      <c r="T628">
        <v>2</v>
      </c>
      <c r="U628">
        <v>1</v>
      </c>
      <c r="V628">
        <v>30</v>
      </c>
      <c r="W628">
        <f>IF(nba_draft[[#This Row],[years_played]]&gt;5,1,0)</f>
        <v>0</v>
      </c>
    </row>
    <row r="629" spans="1:23" x14ac:dyDescent="0.25">
      <c r="A629">
        <v>12</v>
      </c>
      <c r="B629" t="s">
        <v>88</v>
      </c>
      <c r="C629" t="s">
        <v>1607</v>
      </c>
      <c r="D629" t="s">
        <v>87</v>
      </c>
      <c r="E629">
        <v>5</v>
      </c>
      <c r="F629">
        <v>277</v>
      </c>
      <c r="G629">
        <v>6442</v>
      </c>
      <c r="H629">
        <v>2724</v>
      </c>
      <c r="I629">
        <v>792</v>
      </c>
      <c r="J629">
        <v>570</v>
      </c>
      <c r="K629">
        <v>0.44900000000000001</v>
      </c>
      <c r="L629">
        <v>0.42199999999999999</v>
      </c>
      <c r="M629">
        <v>0.86399999999999999</v>
      </c>
      <c r="N629">
        <v>13.1</v>
      </c>
      <c r="O629">
        <v>9.8000000000000004E-2</v>
      </c>
      <c r="P629">
        <v>2017</v>
      </c>
      <c r="Q629">
        <v>23.3</v>
      </c>
      <c r="R629">
        <v>9.8000000000000007</v>
      </c>
      <c r="S629">
        <v>2.9</v>
      </c>
      <c r="T629">
        <v>2.1</v>
      </c>
      <c r="U629">
        <v>1</v>
      </c>
      <c r="V629">
        <v>12</v>
      </c>
      <c r="W629">
        <f>IF(nba_draft[[#This Row],[years_played]]&gt;5,1,0)</f>
        <v>0</v>
      </c>
    </row>
    <row r="630" spans="1:23" x14ac:dyDescent="0.25">
      <c r="A630">
        <v>44</v>
      </c>
      <c r="B630" t="s">
        <v>149</v>
      </c>
      <c r="C630" t="s">
        <v>1432</v>
      </c>
      <c r="D630" t="s">
        <v>1433</v>
      </c>
      <c r="E630">
        <v>9</v>
      </c>
      <c r="F630">
        <v>432</v>
      </c>
      <c r="G630">
        <v>6694</v>
      </c>
      <c r="H630">
        <v>2666</v>
      </c>
      <c r="I630">
        <v>1371</v>
      </c>
      <c r="J630">
        <v>378</v>
      </c>
      <c r="K630">
        <v>0.45800000000000002</v>
      </c>
      <c r="L630">
        <v>0.377</v>
      </c>
      <c r="M630">
        <v>0.84699999999999998</v>
      </c>
      <c r="N630">
        <v>16.8</v>
      </c>
      <c r="O630">
        <v>0.121</v>
      </c>
      <c r="P630">
        <v>2013</v>
      </c>
      <c r="Q630">
        <v>15.5</v>
      </c>
      <c r="R630">
        <v>6.2</v>
      </c>
      <c r="S630">
        <v>3.2</v>
      </c>
      <c r="T630">
        <v>0.9</v>
      </c>
      <c r="U630">
        <v>2</v>
      </c>
      <c r="V630">
        <v>14</v>
      </c>
      <c r="W630">
        <f>IF(nba_draft[[#This Row],[years_played]]&gt;5,1,0)</f>
        <v>1</v>
      </c>
    </row>
    <row r="631" spans="1:23" x14ac:dyDescent="0.25">
      <c r="A631">
        <v>51</v>
      </c>
      <c r="B631" t="s">
        <v>28</v>
      </c>
      <c r="C631" t="s">
        <v>1645</v>
      </c>
      <c r="D631" t="s">
        <v>168</v>
      </c>
      <c r="E631">
        <v>5</v>
      </c>
      <c r="F631">
        <v>257</v>
      </c>
      <c r="G631">
        <v>6388</v>
      </c>
      <c r="H631">
        <v>2660</v>
      </c>
      <c r="I631">
        <v>583</v>
      </c>
      <c r="J631">
        <v>934</v>
      </c>
      <c r="K631">
        <v>0.47799999999999998</v>
      </c>
      <c r="L631">
        <v>0.38800000000000001</v>
      </c>
      <c r="M631">
        <v>0.82299999999999995</v>
      </c>
      <c r="N631">
        <v>16.600000000000001</v>
      </c>
      <c r="O631">
        <v>0.125</v>
      </c>
      <c r="P631">
        <v>2017</v>
      </c>
      <c r="Q631">
        <v>24.9</v>
      </c>
      <c r="R631">
        <v>10.4</v>
      </c>
      <c r="S631">
        <v>2.2999999999999998</v>
      </c>
      <c r="T631">
        <v>3.6</v>
      </c>
      <c r="U631">
        <v>2</v>
      </c>
      <c r="V631">
        <v>21</v>
      </c>
      <c r="W631">
        <f>IF(nba_draft[[#This Row],[years_played]]&gt;5,1,0)</f>
        <v>0</v>
      </c>
    </row>
    <row r="632" spans="1:23" x14ac:dyDescent="0.25">
      <c r="A632">
        <v>32</v>
      </c>
      <c r="B632" t="s">
        <v>90</v>
      </c>
      <c r="C632" t="s">
        <v>878</v>
      </c>
      <c r="D632" t="s">
        <v>117</v>
      </c>
      <c r="E632">
        <v>10</v>
      </c>
      <c r="F632">
        <v>564</v>
      </c>
      <c r="G632">
        <v>9685</v>
      </c>
      <c r="H632">
        <v>2649</v>
      </c>
      <c r="I632">
        <v>1588</v>
      </c>
      <c r="J632">
        <v>1317</v>
      </c>
      <c r="K632">
        <v>0.42899999999999999</v>
      </c>
      <c r="L632">
        <v>0.32600000000000001</v>
      </c>
      <c r="M632">
        <v>0.71499999999999997</v>
      </c>
      <c r="N632">
        <v>13.5</v>
      </c>
      <c r="O632">
        <v>6.7000000000000004E-2</v>
      </c>
      <c r="P632">
        <v>2003</v>
      </c>
      <c r="Q632">
        <v>17.2</v>
      </c>
      <c r="R632">
        <v>4.7</v>
      </c>
      <c r="S632">
        <v>2.8</v>
      </c>
      <c r="T632">
        <v>2.2999999999999998</v>
      </c>
      <c r="U632">
        <v>2</v>
      </c>
      <c r="V632">
        <v>3</v>
      </c>
      <c r="W632">
        <f>IF(nba_draft[[#This Row],[years_played]]&gt;5,1,0)</f>
        <v>1</v>
      </c>
    </row>
    <row r="633" spans="1:23" x14ac:dyDescent="0.25">
      <c r="A633">
        <v>18</v>
      </c>
      <c r="B633" t="s">
        <v>40</v>
      </c>
      <c r="C633" t="s">
        <v>68</v>
      </c>
      <c r="D633" t="s">
        <v>69</v>
      </c>
      <c r="E633">
        <v>11</v>
      </c>
      <c r="F633">
        <v>541</v>
      </c>
      <c r="G633">
        <v>9409</v>
      </c>
      <c r="H633">
        <v>2648</v>
      </c>
      <c r="I633">
        <v>2273</v>
      </c>
      <c r="J633">
        <v>243</v>
      </c>
      <c r="K633">
        <v>0.50700000000000001</v>
      </c>
      <c r="L633">
        <v>0.28599999999999998</v>
      </c>
      <c r="M633">
        <v>0.61799999999999999</v>
      </c>
      <c r="N633">
        <v>15.8</v>
      </c>
      <c r="O633">
        <v>8.1000000000000003E-2</v>
      </c>
      <c r="P633">
        <v>1990</v>
      </c>
      <c r="Q633">
        <v>17.399999999999999</v>
      </c>
      <c r="R633">
        <v>4.9000000000000004</v>
      </c>
      <c r="S633">
        <v>4.2</v>
      </c>
      <c r="T633">
        <v>0.4</v>
      </c>
      <c r="U633">
        <v>1</v>
      </c>
      <c r="V633">
        <v>18</v>
      </c>
      <c r="W633">
        <f>IF(nba_draft[[#This Row],[years_played]]&gt;5,1,0)</f>
        <v>1</v>
      </c>
    </row>
    <row r="634" spans="1:23" x14ac:dyDescent="0.25">
      <c r="A634">
        <v>20</v>
      </c>
      <c r="B634" t="s">
        <v>34</v>
      </c>
      <c r="C634" t="s">
        <v>303</v>
      </c>
      <c r="D634" t="s">
        <v>79</v>
      </c>
      <c r="E634">
        <v>8</v>
      </c>
      <c r="F634">
        <v>383</v>
      </c>
      <c r="G634">
        <v>7592</v>
      </c>
      <c r="H634">
        <v>2647</v>
      </c>
      <c r="I634">
        <v>1332</v>
      </c>
      <c r="J634">
        <v>527</v>
      </c>
      <c r="K634">
        <v>0.41799999999999998</v>
      </c>
      <c r="L634">
        <v>0.373</v>
      </c>
      <c r="M634">
        <v>0.72299999999999998</v>
      </c>
      <c r="N634">
        <v>16.399999999999999</v>
      </c>
      <c r="O634">
        <v>0.104</v>
      </c>
      <c r="P634">
        <v>1993</v>
      </c>
      <c r="Q634">
        <v>19.8</v>
      </c>
      <c r="R634">
        <v>6.9</v>
      </c>
      <c r="S634">
        <v>3.5</v>
      </c>
      <c r="T634">
        <v>1.4</v>
      </c>
      <c r="U634">
        <v>1</v>
      </c>
      <c r="V634">
        <v>20</v>
      </c>
      <c r="W634">
        <f>IF(nba_draft[[#This Row],[years_played]]&gt;5,1,0)</f>
        <v>1</v>
      </c>
    </row>
    <row r="635" spans="1:23" x14ac:dyDescent="0.25">
      <c r="A635">
        <v>50</v>
      </c>
      <c r="B635" t="s">
        <v>49</v>
      </c>
      <c r="C635" t="s">
        <v>1438</v>
      </c>
      <c r="D635" t="s">
        <v>314</v>
      </c>
      <c r="E635">
        <v>8</v>
      </c>
      <c r="F635">
        <v>395</v>
      </c>
      <c r="G635">
        <v>8022</v>
      </c>
      <c r="H635">
        <v>2629</v>
      </c>
      <c r="I635">
        <v>1306</v>
      </c>
      <c r="J635">
        <v>373</v>
      </c>
      <c r="K635">
        <v>0.45700000000000002</v>
      </c>
      <c r="L635">
        <v>0.36</v>
      </c>
      <c r="M635">
        <v>0.79700000000000004</v>
      </c>
      <c r="N635">
        <v>16.2</v>
      </c>
      <c r="O635">
        <v>9.7000000000000003E-2</v>
      </c>
      <c r="P635">
        <v>2013</v>
      </c>
      <c r="Q635">
        <v>20.3</v>
      </c>
      <c r="R635">
        <v>6.7</v>
      </c>
      <c r="S635">
        <v>3.3</v>
      </c>
      <c r="T635">
        <v>0.9</v>
      </c>
      <c r="U635">
        <v>2</v>
      </c>
      <c r="V635">
        <v>20</v>
      </c>
      <c r="W635">
        <f>IF(nba_draft[[#This Row],[years_played]]&gt;5,1,0)</f>
        <v>1</v>
      </c>
    </row>
    <row r="636" spans="1:23" x14ac:dyDescent="0.25">
      <c r="A636">
        <v>43</v>
      </c>
      <c r="B636" t="s">
        <v>34</v>
      </c>
      <c r="C636" t="s">
        <v>676</v>
      </c>
      <c r="D636" t="s">
        <v>253</v>
      </c>
      <c r="E636">
        <v>6</v>
      </c>
      <c r="F636">
        <v>306</v>
      </c>
      <c r="G636">
        <v>5820</v>
      </c>
      <c r="H636">
        <v>2622</v>
      </c>
      <c r="I636">
        <v>936</v>
      </c>
      <c r="J636">
        <v>298</v>
      </c>
      <c r="K636">
        <v>0.47399999999999998</v>
      </c>
      <c r="L636">
        <v>0.111</v>
      </c>
      <c r="M636">
        <v>0.78600000000000003</v>
      </c>
      <c r="N636">
        <v>8</v>
      </c>
      <c r="O636">
        <v>6.6000000000000003E-2</v>
      </c>
      <c r="P636">
        <v>1999</v>
      </c>
      <c r="Q636">
        <v>19</v>
      </c>
      <c r="R636">
        <v>8.6</v>
      </c>
      <c r="S636">
        <v>3.1</v>
      </c>
      <c r="T636">
        <v>1</v>
      </c>
      <c r="U636">
        <v>2</v>
      </c>
      <c r="V636">
        <v>14</v>
      </c>
      <c r="W636">
        <f>IF(nba_draft[[#This Row],[years_played]]&gt;5,1,0)</f>
        <v>1</v>
      </c>
    </row>
    <row r="637" spans="1:23" x14ac:dyDescent="0.25">
      <c r="A637">
        <v>5</v>
      </c>
      <c r="B637" t="s">
        <v>138</v>
      </c>
      <c r="C637" t="s">
        <v>1716</v>
      </c>
      <c r="D637" t="s">
        <v>716</v>
      </c>
      <c r="E637">
        <v>3</v>
      </c>
      <c r="F637">
        <v>160</v>
      </c>
      <c r="G637">
        <v>5240</v>
      </c>
      <c r="H637">
        <v>2622</v>
      </c>
      <c r="I637">
        <v>396</v>
      </c>
      <c r="J637">
        <v>932</v>
      </c>
      <c r="K637">
        <v>0.44400000000000001</v>
      </c>
      <c r="L637">
        <v>0.375</v>
      </c>
      <c r="M637">
        <v>0.877</v>
      </c>
      <c r="N637">
        <v>4.2</v>
      </c>
      <c r="O637">
        <v>3.7999999999999999E-2</v>
      </c>
      <c r="P637">
        <v>2019</v>
      </c>
      <c r="Q637">
        <v>32.799999999999997</v>
      </c>
      <c r="R637">
        <v>16.399999999999999</v>
      </c>
      <c r="S637">
        <v>2.5</v>
      </c>
      <c r="T637">
        <v>5.8</v>
      </c>
      <c r="U637">
        <v>1</v>
      </c>
      <c r="V637">
        <v>5</v>
      </c>
      <c r="W637">
        <f>IF(nba_draft[[#This Row],[years_played]]&gt;5,1,0)</f>
        <v>0</v>
      </c>
    </row>
    <row r="638" spans="1:23" x14ac:dyDescent="0.25">
      <c r="A638">
        <v>18</v>
      </c>
      <c r="B638" t="s">
        <v>55</v>
      </c>
      <c r="C638" t="s">
        <v>758</v>
      </c>
      <c r="D638" t="s">
        <v>226</v>
      </c>
      <c r="E638">
        <v>13</v>
      </c>
      <c r="F638">
        <v>735</v>
      </c>
      <c r="G638">
        <v>14974</v>
      </c>
      <c r="H638">
        <v>2621</v>
      </c>
      <c r="I638">
        <v>2706</v>
      </c>
      <c r="J638">
        <v>626</v>
      </c>
      <c r="K638">
        <v>0.41099999999999998</v>
      </c>
      <c r="L638">
        <v>0.20599999999999999</v>
      </c>
      <c r="M638">
        <v>0.64700000000000002</v>
      </c>
      <c r="N638">
        <v>20.100000000000001</v>
      </c>
      <c r="O638">
        <v>6.4000000000000001E-2</v>
      </c>
      <c r="P638">
        <v>2001</v>
      </c>
      <c r="Q638">
        <v>20.399999999999999</v>
      </c>
      <c r="R638">
        <v>3.6</v>
      </c>
      <c r="S638">
        <v>3.7</v>
      </c>
      <c r="T638">
        <v>0.9</v>
      </c>
      <c r="U638">
        <v>1</v>
      </c>
      <c r="V638">
        <v>18</v>
      </c>
      <c r="W638">
        <f>IF(nba_draft[[#This Row],[years_played]]&gt;5,1,0)</f>
        <v>1</v>
      </c>
    </row>
    <row r="639" spans="1:23" x14ac:dyDescent="0.25">
      <c r="A639">
        <v>24</v>
      </c>
      <c r="B639" t="s">
        <v>138</v>
      </c>
      <c r="C639" t="s">
        <v>1519</v>
      </c>
      <c r="D639" t="s">
        <v>87</v>
      </c>
      <c r="E639">
        <v>7</v>
      </c>
      <c r="F639">
        <v>435</v>
      </c>
      <c r="G639">
        <v>7926</v>
      </c>
      <c r="H639">
        <v>2604</v>
      </c>
      <c r="I639">
        <v>754</v>
      </c>
      <c r="J639">
        <v>1589</v>
      </c>
      <c r="K639">
        <v>0.435</v>
      </c>
      <c r="L639">
        <v>0.34300000000000003</v>
      </c>
      <c r="M639">
        <v>0.82399999999999995</v>
      </c>
      <c r="N639">
        <v>17.7</v>
      </c>
      <c r="O639">
        <v>0.107</v>
      </c>
      <c r="P639">
        <v>2015</v>
      </c>
      <c r="Q639">
        <v>18.2</v>
      </c>
      <c r="R639">
        <v>6</v>
      </c>
      <c r="S639">
        <v>1.7</v>
      </c>
      <c r="T639">
        <v>3.7</v>
      </c>
      <c r="U639">
        <v>1</v>
      </c>
      <c r="V639">
        <v>24</v>
      </c>
      <c r="W639">
        <f>IF(nba_draft[[#This Row],[years_played]]&gt;5,1,0)</f>
        <v>1</v>
      </c>
    </row>
    <row r="640" spans="1:23" x14ac:dyDescent="0.25">
      <c r="A640">
        <v>10</v>
      </c>
      <c r="B640" t="s">
        <v>46</v>
      </c>
      <c r="C640" t="s">
        <v>1505</v>
      </c>
      <c r="D640" t="s">
        <v>87</v>
      </c>
      <c r="E640">
        <v>7</v>
      </c>
      <c r="F640">
        <v>310</v>
      </c>
      <c r="G640">
        <v>8022</v>
      </c>
      <c r="H640">
        <v>2587</v>
      </c>
      <c r="I640">
        <v>1590</v>
      </c>
      <c r="J640">
        <v>779</v>
      </c>
      <c r="K640">
        <v>0.41399999999999998</v>
      </c>
      <c r="L640">
        <v>0.316</v>
      </c>
      <c r="M640">
        <v>0.63800000000000001</v>
      </c>
      <c r="N640">
        <v>8</v>
      </c>
      <c r="O640">
        <v>4.8000000000000001E-2</v>
      </c>
      <c r="P640">
        <v>2015</v>
      </c>
      <c r="Q640">
        <v>25.9</v>
      </c>
      <c r="R640">
        <v>8.3000000000000007</v>
      </c>
      <c r="S640">
        <v>5.0999999999999996</v>
      </c>
      <c r="T640">
        <v>2.5</v>
      </c>
      <c r="U640">
        <v>1</v>
      </c>
      <c r="V640">
        <v>10</v>
      </c>
      <c r="W640">
        <f>IF(nba_draft[[#This Row],[years_played]]&gt;5,1,0)</f>
        <v>1</v>
      </c>
    </row>
    <row r="641" spans="1:23" x14ac:dyDescent="0.25">
      <c r="A641">
        <v>49</v>
      </c>
      <c r="B641" t="s">
        <v>31</v>
      </c>
      <c r="C641" t="s">
        <v>1378</v>
      </c>
      <c r="D641" t="s">
        <v>1379</v>
      </c>
      <c r="E641">
        <v>8</v>
      </c>
      <c r="F641">
        <v>472</v>
      </c>
      <c r="G641">
        <v>6714</v>
      </c>
      <c r="H641">
        <v>2568</v>
      </c>
      <c r="I641">
        <v>2166</v>
      </c>
      <c r="J641">
        <v>643</v>
      </c>
      <c r="K641">
        <v>0.51700000000000002</v>
      </c>
      <c r="L641">
        <v>0.218</v>
      </c>
      <c r="M641">
        <v>0.74</v>
      </c>
      <c r="N641">
        <v>17.8</v>
      </c>
      <c r="O641">
        <v>0.128</v>
      </c>
      <c r="P641">
        <v>2012</v>
      </c>
      <c r="Q641">
        <v>14.2</v>
      </c>
      <c r="R641">
        <v>5.4</v>
      </c>
      <c r="S641">
        <v>4.5999999999999996</v>
      </c>
      <c r="T641">
        <v>1.4</v>
      </c>
      <c r="U641">
        <v>2</v>
      </c>
      <c r="V641">
        <v>19</v>
      </c>
      <c r="W641">
        <f>IF(nba_draft[[#This Row],[years_played]]&gt;5,1,0)</f>
        <v>1</v>
      </c>
    </row>
    <row r="642" spans="1:23" x14ac:dyDescent="0.25">
      <c r="A642">
        <v>32</v>
      </c>
      <c r="B642" t="s">
        <v>109</v>
      </c>
      <c r="C642" t="s">
        <v>1360</v>
      </c>
      <c r="D642" t="s">
        <v>97</v>
      </c>
      <c r="E642">
        <v>6</v>
      </c>
      <c r="F642">
        <v>365</v>
      </c>
      <c r="G642">
        <v>8192</v>
      </c>
      <c r="H642">
        <v>2566</v>
      </c>
      <c r="I642">
        <v>1055</v>
      </c>
      <c r="J642">
        <v>1478</v>
      </c>
      <c r="K642">
        <v>0.46700000000000003</v>
      </c>
      <c r="L642">
        <v>0.35599999999999998</v>
      </c>
      <c r="M642">
        <v>0.81899999999999995</v>
      </c>
      <c r="N642">
        <v>16.8</v>
      </c>
      <c r="O642">
        <v>9.8000000000000004E-2</v>
      </c>
      <c r="P642">
        <v>2012</v>
      </c>
      <c r="Q642">
        <v>22.4</v>
      </c>
      <c r="R642">
        <v>7</v>
      </c>
      <c r="S642">
        <v>2.9</v>
      </c>
      <c r="T642">
        <v>4</v>
      </c>
      <c r="U642">
        <v>2</v>
      </c>
      <c r="V642">
        <v>2</v>
      </c>
      <c r="W642">
        <f>IF(nba_draft[[#This Row],[years_played]]&gt;5,1,0)</f>
        <v>1</v>
      </c>
    </row>
    <row r="643" spans="1:23" x14ac:dyDescent="0.25">
      <c r="A643">
        <v>3</v>
      </c>
      <c r="B643" t="s">
        <v>102</v>
      </c>
      <c r="C643" t="s">
        <v>1498</v>
      </c>
      <c r="D643" t="s">
        <v>87</v>
      </c>
      <c r="E643">
        <v>6</v>
      </c>
      <c r="F643">
        <v>247</v>
      </c>
      <c r="G643">
        <v>4827</v>
      </c>
      <c r="H643">
        <v>2566</v>
      </c>
      <c r="I643">
        <v>1169</v>
      </c>
      <c r="J643">
        <v>225</v>
      </c>
      <c r="K643">
        <v>0.54200000000000004</v>
      </c>
      <c r="L643">
        <v>0.222</v>
      </c>
      <c r="M643">
        <v>0.67600000000000005</v>
      </c>
      <c r="N643">
        <v>7.2</v>
      </c>
      <c r="O643">
        <v>7.0999999999999994E-2</v>
      </c>
      <c r="P643">
        <v>2015</v>
      </c>
      <c r="Q643">
        <v>19.5</v>
      </c>
      <c r="R643">
        <v>10.4</v>
      </c>
      <c r="S643">
        <v>4.7</v>
      </c>
      <c r="T643">
        <v>0.9</v>
      </c>
      <c r="U643">
        <v>1</v>
      </c>
      <c r="V643">
        <v>3</v>
      </c>
      <c r="W643">
        <f>IF(nba_draft[[#This Row],[years_played]]&gt;5,1,0)</f>
        <v>1</v>
      </c>
    </row>
    <row r="644" spans="1:23" x14ac:dyDescent="0.25">
      <c r="A644">
        <v>23</v>
      </c>
      <c r="B644" t="s">
        <v>31</v>
      </c>
      <c r="C644" t="s">
        <v>177</v>
      </c>
      <c r="D644" t="s">
        <v>30</v>
      </c>
      <c r="E644">
        <v>8</v>
      </c>
      <c r="F644">
        <v>300</v>
      </c>
      <c r="G644">
        <v>5869</v>
      </c>
      <c r="H644">
        <v>2555</v>
      </c>
      <c r="I644">
        <v>1549</v>
      </c>
      <c r="J644">
        <v>189</v>
      </c>
      <c r="K644">
        <v>0.499</v>
      </c>
      <c r="L644">
        <v>0</v>
      </c>
      <c r="M644">
        <v>0.51400000000000001</v>
      </c>
      <c r="N644">
        <v>8.1</v>
      </c>
      <c r="O644">
        <v>6.6000000000000003E-2</v>
      </c>
      <c r="P644">
        <v>1991</v>
      </c>
      <c r="Q644">
        <v>19.600000000000001</v>
      </c>
      <c r="R644">
        <v>8.5</v>
      </c>
      <c r="S644">
        <v>5.2</v>
      </c>
      <c r="T644">
        <v>0.6</v>
      </c>
      <c r="U644">
        <v>1</v>
      </c>
      <c r="V644">
        <v>23</v>
      </c>
      <c r="W644">
        <f>IF(nba_draft[[#This Row],[years_played]]&gt;5,1,0)</f>
        <v>1</v>
      </c>
    </row>
    <row r="645" spans="1:23" x14ac:dyDescent="0.25">
      <c r="A645">
        <v>1</v>
      </c>
      <c r="B645" t="s">
        <v>37</v>
      </c>
      <c r="C645" t="s">
        <v>1772</v>
      </c>
      <c r="D645" t="s">
        <v>57</v>
      </c>
      <c r="E645">
        <v>2</v>
      </c>
      <c r="F645">
        <v>125</v>
      </c>
      <c r="G645">
        <v>4148</v>
      </c>
      <c r="H645">
        <v>2551</v>
      </c>
      <c r="I645">
        <v>589</v>
      </c>
      <c r="J645">
        <v>400</v>
      </c>
      <c r="K645">
        <v>0.42499999999999999</v>
      </c>
      <c r="L645">
        <v>0.34100000000000003</v>
      </c>
      <c r="M645">
        <v>0.77600000000000002</v>
      </c>
      <c r="N645">
        <v>3.9</v>
      </c>
      <c r="O645">
        <v>4.4999999999999998E-2</v>
      </c>
      <c r="P645">
        <v>2020</v>
      </c>
      <c r="Q645">
        <v>33.200000000000003</v>
      </c>
      <c r="R645">
        <v>20.399999999999999</v>
      </c>
      <c r="S645">
        <v>4.7</v>
      </c>
      <c r="T645">
        <v>3.2</v>
      </c>
      <c r="U645">
        <v>1</v>
      </c>
      <c r="V645">
        <v>1</v>
      </c>
      <c r="W645">
        <f>IF(nba_draft[[#This Row],[years_played]]&gt;5,1,0)</f>
        <v>0</v>
      </c>
    </row>
    <row r="646" spans="1:23" x14ac:dyDescent="0.25">
      <c r="A646">
        <v>10</v>
      </c>
      <c r="B646" t="s">
        <v>49</v>
      </c>
      <c r="C646" t="s">
        <v>50</v>
      </c>
      <c r="D646" t="s">
        <v>51</v>
      </c>
      <c r="E646">
        <v>6</v>
      </c>
      <c r="F646">
        <v>336</v>
      </c>
      <c r="G646">
        <v>6098</v>
      </c>
      <c r="H646">
        <v>2546</v>
      </c>
      <c r="I646">
        <v>606</v>
      </c>
      <c r="J646">
        <v>1179</v>
      </c>
      <c r="K646">
        <v>0.432</v>
      </c>
      <c r="L646">
        <v>0.34399999999999997</v>
      </c>
      <c r="M646">
        <v>0.61099999999999999</v>
      </c>
      <c r="N646">
        <v>5.2</v>
      </c>
      <c r="O646">
        <v>4.1000000000000002E-2</v>
      </c>
      <c r="P646">
        <v>1990</v>
      </c>
      <c r="Q646">
        <v>18.100000000000001</v>
      </c>
      <c r="R646">
        <v>7.6</v>
      </c>
      <c r="S646">
        <v>1.8</v>
      </c>
      <c r="T646">
        <v>3.5</v>
      </c>
      <c r="U646">
        <v>1</v>
      </c>
      <c r="V646">
        <v>10</v>
      </c>
      <c r="W646">
        <f>IF(nba_draft[[#This Row],[years_played]]&gt;5,1,0)</f>
        <v>1</v>
      </c>
    </row>
    <row r="647" spans="1:23" x14ac:dyDescent="0.25">
      <c r="A647">
        <v>23</v>
      </c>
      <c r="B647" t="s">
        <v>63</v>
      </c>
      <c r="C647" t="s">
        <v>243</v>
      </c>
      <c r="D647" t="s">
        <v>222</v>
      </c>
      <c r="E647">
        <v>7</v>
      </c>
      <c r="F647">
        <v>496</v>
      </c>
      <c r="G647">
        <v>10337</v>
      </c>
      <c r="H647">
        <v>2546</v>
      </c>
      <c r="I647">
        <v>642</v>
      </c>
      <c r="J647">
        <v>1767</v>
      </c>
      <c r="K647">
        <v>0.41499999999999998</v>
      </c>
      <c r="L647">
        <v>0.377</v>
      </c>
      <c r="M647">
        <v>0.65900000000000003</v>
      </c>
      <c r="N647">
        <v>7.9</v>
      </c>
      <c r="O647">
        <v>3.5999999999999997E-2</v>
      </c>
      <c r="P647">
        <v>1992</v>
      </c>
      <c r="Q647">
        <v>20.8</v>
      </c>
      <c r="R647">
        <v>5.0999999999999996</v>
      </c>
      <c r="S647">
        <v>1.3</v>
      </c>
      <c r="T647">
        <v>3.6</v>
      </c>
      <c r="U647">
        <v>1</v>
      </c>
      <c r="V647">
        <v>23</v>
      </c>
      <c r="W647">
        <f>IF(nba_draft[[#This Row],[years_played]]&gt;5,1,0)</f>
        <v>1</v>
      </c>
    </row>
    <row r="648" spans="1:23" x14ac:dyDescent="0.25">
      <c r="A648">
        <v>17</v>
      </c>
      <c r="B648" t="s">
        <v>52</v>
      </c>
      <c r="C648" t="s">
        <v>167</v>
      </c>
      <c r="D648" t="s">
        <v>168</v>
      </c>
      <c r="E648">
        <v>5</v>
      </c>
      <c r="F648">
        <v>286</v>
      </c>
      <c r="G648">
        <v>5755</v>
      </c>
      <c r="H648">
        <v>2542</v>
      </c>
      <c r="I648">
        <v>1384</v>
      </c>
      <c r="J648">
        <v>257</v>
      </c>
      <c r="K648">
        <v>0.51800000000000002</v>
      </c>
      <c r="L648">
        <v>0.28599999999999998</v>
      </c>
      <c r="M648">
        <v>0.63400000000000001</v>
      </c>
      <c r="N648">
        <v>8.8000000000000007</v>
      </c>
      <c r="O648">
        <v>7.2999999999999995E-2</v>
      </c>
      <c r="P648">
        <v>1991</v>
      </c>
      <c r="Q648">
        <v>20.100000000000001</v>
      </c>
      <c r="R648">
        <v>8.9</v>
      </c>
      <c r="S648">
        <v>4.8</v>
      </c>
      <c r="T648">
        <v>0.9</v>
      </c>
      <c r="U648">
        <v>1</v>
      </c>
      <c r="V648">
        <v>17</v>
      </c>
      <c r="W648">
        <f>IF(nba_draft[[#This Row],[years_played]]&gt;5,1,0)</f>
        <v>0</v>
      </c>
    </row>
    <row r="649" spans="1:23" x14ac:dyDescent="0.25">
      <c r="A649">
        <v>35</v>
      </c>
      <c r="B649" t="s">
        <v>109</v>
      </c>
      <c r="C649" t="s">
        <v>110</v>
      </c>
      <c r="D649" t="s">
        <v>111</v>
      </c>
      <c r="E649">
        <v>13</v>
      </c>
      <c r="F649">
        <v>656</v>
      </c>
      <c r="G649">
        <v>7974</v>
      </c>
      <c r="H649">
        <v>2538</v>
      </c>
      <c r="I649">
        <v>1691</v>
      </c>
      <c r="J649">
        <v>351</v>
      </c>
      <c r="K649">
        <v>0.44</v>
      </c>
      <c r="L649">
        <v>0.22500000000000001</v>
      </c>
      <c r="M649">
        <v>0.748</v>
      </c>
      <c r="N649">
        <v>5.6</v>
      </c>
      <c r="O649">
        <v>3.3000000000000002E-2</v>
      </c>
      <c r="P649">
        <v>1990</v>
      </c>
      <c r="Q649">
        <v>12.2</v>
      </c>
      <c r="R649">
        <v>3.9</v>
      </c>
      <c r="S649">
        <v>2.6</v>
      </c>
      <c r="T649">
        <v>0.5</v>
      </c>
      <c r="U649">
        <v>2</v>
      </c>
      <c r="V649">
        <v>8</v>
      </c>
      <c r="W649">
        <f>IF(nba_draft[[#This Row],[years_played]]&gt;5,1,0)</f>
        <v>1</v>
      </c>
    </row>
    <row r="650" spans="1:23" x14ac:dyDescent="0.25">
      <c r="A650">
        <v>35</v>
      </c>
      <c r="B650" t="s">
        <v>40</v>
      </c>
      <c r="C650" t="s">
        <v>374</v>
      </c>
      <c r="D650" t="s">
        <v>175</v>
      </c>
      <c r="E650">
        <v>7</v>
      </c>
      <c r="F650">
        <v>449</v>
      </c>
      <c r="G650">
        <v>10552</v>
      </c>
      <c r="H650">
        <v>2527</v>
      </c>
      <c r="I650">
        <v>3193</v>
      </c>
      <c r="J650">
        <v>661</v>
      </c>
      <c r="K650">
        <v>0.53800000000000003</v>
      </c>
      <c r="L650">
        <v>0.14299999999999999</v>
      </c>
      <c r="M650">
        <v>0.52900000000000003</v>
      </c>
      <c r="N650">
        <v>23.4</v>
      </c>
      <c r="O650">
        <v>0.107</v>
      </c>
      <c r="P650">
        <v>1994</v>
      </c>
      <c r="Q650">
        <v>23.5</v>
      </c>
      <c r="R650">
        <v>5.6</v>
      </c>
      <c r="S650">
        <v>7.1</v>
      </c>
      <c r="T650">
        <v>1.5</v>
      </c>
      <c r="U650">
        <v>2</v>
      </c>
      <c r="V650">
        <v>8</v>
      </c>
      <c r="W650">
        <f>IF(nba_draft[[#This Row],[years_played]]&gt;5,1,0)</f>
        <v>1</v>
      </c>
    </row>
    <row r="651" spans="1:23" x14ac:dyDescent="0.25">
      <c r="A651">
        <v>17</v>
      </c>
      <c r="B651" t="s">
        <v>95</v>
      </c>
      <c r="C651" t="s">
        <v>1234</v>
      </c>
      <c r="D651" t="s">
        <v>97</v>
      </c>
      <c r="E651">
        <v>7</v>
      </c>
      <c r="F651">
        <v>423</v>
      </c>
      <c r="G651">
        <v>6430</v>
      </c>
      <c r="H651">
        <v>2516</v>
      </c>
      <c r="I651">
        <v>1462</v>
      </c>
      <c r="J651">
        <v>246</v>
      </c>
      <c r="K651">
        <v>0.48899999999999999</v>
      </c>
      <c r="L651">
        <v>0</v>
      </c>
      <c r="M651">
        <v>0.71499999999999997</v>
      </c>
      <c r="N651">
        <v>5.9</v>
      </c>
      <c r="O651">
        <v>4.3999999999999997E-2</v>
      </c>
      <c r="P651">
        <v>2010</v>
      </c>
      <c r="Q651">
        <v>15.2</v>
      </c>
      <c r="R651">
        <v>5.9</v>
      </c>
      <c r="S651">
        <v>3.5</v>
      </c>
      <c r="T651">
        <v>0.6</v>
      </c>
      <c r="U651">
        <v>1</v>
      </c>
      <c r="V651">
        <v>17</v>
      </c>
      <c r="W651">
        <f>IF(nba_draft[[#This Row],[years_played]]&gt;5,1,0)</f>
        <v>1</v>
      </c>
    </row>
    <row r="652" spans="1:23" x14ac:dyDescent="0.25">
      <c r="A652">
        <v>28</v>
      </c>
      <c r="B652" t="s">
        <v>95</v>
      </c>
      <c r="C652" t="s">
        <v>1297</v>
      </c>
      <c r="D652" t="s">
        <v>1298</v>
      </c>
      <c r="E652">
        <v>6</v>
      </c>
      <c r="F652">
        <v>360</v>
      </c>
      <c r="G652">
        <v>8018</v>
      </c>
      <c r="H652">
        <v>2506</v>
      </c>
      <c r="I652">
        <v>702</v>
      </c>
      <c r="J652">
        <v>981</v>
      </c>
      <c r="K652">
        <v>0.40699999999999997</v>
      </c>
      <c r="L652">
        <v>0.32400000000000001</v>
      </c>
      <c r="M652">
        <v>0.74299999999999999</v>
      </c>
      <c r="N652">
        <v>3</v>
      </c>
      <c r="O652">
        <v>1.7999999999999999E-2</v>
      </c>
      <c r="P652">
        <v>2011</v>
      </c>
      <c r="Q652">
        <v>22.3</v>
      </c>
      <c r="R652">
        <v>7</v>
      </c>
      <c r="S652">
        <v>2</v>
      </c>
      <c r="T652">
        <v>2.7</v>
      </c>
      <c r="U652">
        <v>1</v>
      </c>
      <c r="V652">
        <v>28</v>
      </c>
      <c r="W652">
        <f>IF(nba_draft[[#This Row],[years_played]]&gt;5,1,0)</f>
        <v>1</v>
      </c>
    </row>
    <row r="653" spans="1:23" x14ac:dyDescent="0.25">
      <c r="A653">
        <v>51</v>
      </c>
      <c r="B653" t="s">
        <v>90</v>
      </c>
      <c r="C653" t="s">
        <v>136</v>
      </c>
      <c r="D653" t="s">
        <v>137</v>
      </c>
      <c r="E653">
        <v>9</v>
      </c>
      <c r="F653">
        <v>457</v>
      </c>
      <c r="G653">
        <v>7295</v>
      </c>
      <c r="H653">
        <v>2504</v>
      </c>
      <c r="I653">
        <v>735</v>
      </c>
      <c r="J653">
        <v>881</v>
      </c>
      <c r="K653">
        <v>0.43099999999999999</v>
      </c>
      <c r="L653">
        <v>0.307</v>
      </c>
      <c r="M653">
        <v>0.69</v>
      </c>
      <c r="N653">
        <v>6.7</v>
      </c>
      <c r="O653">
        <v>4.3999999999999997E-2</v>
      </c>
      <c r="P653">
        <v>1990</v>
      </c>
      <c r="Q653">
        <v>16</v>
      </c>
      <c r="R653">
        <v>5.5</v>
      </c>
      <c r="S653">
        <v>1.6</v>
      </c>
      <c r="T653">
        <v>1.9</v>
      </c>
      <c r="U653">
        <v>2</v>
      </c>
      <c r="V653">
        <v>24</v>
      </c>
      <c r="W653">
        <f>IF(nba_draft[[#This Row],[years_played]]&gt;5,1,0)</f>
        <v>1</v>
      </c>
    </row>
    <row r="654" spans="1:23" x14ac:dyDescent="0.25">
      <c r="A654">
        <v>14</v>
      </c>
      <c r="B654" t="s">
        <v>104</v>
      </c>
      <c r="C654" t="s">
        <v>1401</v>
      </c>
      <c r="D654" t="s">
        <v>113</v>
      </c>
      <c r="E654">
        <v>5</v>
      </c>
      <c r="F654">
        <v>278</v>
      </c>
      <c r="G654">
        <v>4772</v>
      </c>
      <c r="H654">
        <v>2504</v>
      </c>
      <c r="I654">
        <v>770</v>
      </c>
      <c r="J654">
        <v>151</v>
      </c>
      <c r="K654">
        <v>0.47299999999999998</v>
      </c>
      <c r="L654">
        <v>0.31900000000000001</v>
      </c>
      <c r="M654">
        <v>0.751</v>
      </c>
      <c r="N654">
        <v>8.5</v>
      </c>
      <c r="O654">
        <v>8.5000000000000006E-2</v>
      </c>
      <c r="P654">
        <v>2013</v>
      </c>
      <c r="Q654">
        <v>17.2</v>
      </c>
      <c r="R654">
        <v>9</v>
      </c>
      <c r="S654">
        <v>2.8</v>
      </c>
      <c r="T654">
        <v>0.5</v>
      </c>
      <c r="U654">
        <v>1</v>
      </c>
      <c r="V654">
        <v>14</v>
      </c>
      <c r="W654">
        <f>IF(nba_draft[[#This Row],[years_played]]&gt;5,1,0)</f>
        <v>0</v>
      </c>
    </row>
    <row r="655" spans="1:23" x14ac:dyDescent="0.25">
      <c r="A655">
        <v>11</v>
      </c>
      <c r="B655" t="s">
        <v>85</v>
      </c>
      <c r="C655" t="s">
        <v>1338</v>
      </c>
      <c r="D655" t="s">
        <v>36</v>
      </c>
      <c r="E655">
        <v>9</v>
      </c>
      <c r="F655">
        <v>447</v>
      </c>
      <c r="G655">
        <v>7158</v>
      </c>
      <c r="H655">
        <v>2502</v>
      </c>
      <c r="I655">
        <v>1737</v>
      </c>
      <c r="J655">
        <v>395</v>
      </c>
      <c r="K655">
        <v>0.48199999999999998</v>
      </c>
      <c r="L655">
        <v>0.39</v>
      </c>
      <c r="M655">
        <v>0.80900000000000005</v>
      </c>
      <c r="N655">
        <v>15.5</v>
      </c>
      <c r="O655">
        <v>0.104</v>
      </c>
      <c r="P655">
        <v>2012</v>
      </c>
      <c r="Q655">
        <v>16</v>
      </c>
      <c r="R655">
        <v>5.6</v>
      </c>
      <c r="S655">
        <v>3.9</v>
      </c>
      <c r="T655">
        <v>0.9</v>
      </c>
      <c r="U655">
        <v>1</v>
      </c>
      <c r="V655">
        <v>11</v>
      </c>
      <c r="W655">
        <f>IF(nba_draft[[#This Row],[years_played]]&gt;5,1,0)</f>
        <v>1</v>
      </c>
    </row>
    <row r="656" spans="1:23" x14ac:dyDescent="0.25">
      <c r="A656">
        <v>27</v>
      </c>
      <c r="B656" t="s">
        <v>40</v>
      </c>
      <c r="C656" t="s">
        <v>181</v>
      </c>
      <c r="D656" t="s">
        <v>179</v>
      </c>
      <c r="E656">
        <v>9</v>
      </c>
      <c r="F656">
        <v>584</v>
      </c>
      <c r="G656">
        <v>8394</v>
      </c>
      <c r="H656">
        <v>2494</v>
      </c>
      <c r="I656">
        <v>1935</v>
      </c>
      <c r="J656">
        <v>488</v>
      </c>
      <c r="K656">
        <v>0.441</v>
      </c>
      <c r="L656">
        <v>0.38100000000000001</v>
      </c>
      <c r="M656">
        <v>0.69599999999999995</v>
      </c>
      <c r="N656">
        <v>10.6</v>
      </c>
      <c r="O656">
        <v>0.06</v>
      </c>
      <c r="P656">
        <v>1991</v>
      </c>
      <c r="Q656">
        <v>14.4</v>
      </c>
      <c r="R656">
        <v>4.3</v>
      </c>
      <c r="S656">
        <v>3.3</v>
      </c>
      <c r="T656">
        <v>0.8</v>
      </c>
      <c r="U656">
        <v>1</v>
      </c>
      <c r="V656">
        <v>27</v>
      </c>
      <c r="W656">
        <f>IF(nba_draft[[#This Row],[years_played]]&gt;5,1,0)</f>
        <v>1</v>
      </c>
    </row>
    <row r="657" spans="1:23" x14ac:dyDescent="0.25">
      <c r="A657">
        <v>30</v>
      </c>
      <c r="B657" t="s">
        <v>46</v>
      </c>
      <c r="C657" t="s">
        <v>98</v>
      </c>
      <c r="D657" t="s">
        <v>99</v>
      </c>
      <c r="E657">
        <v>8</v>
      </c>
      <c r="F657">
        <v>465</v>
      </c>
      <c r="G657">
        <v>8042</v>
      </c>
      <c r="H657">
        <v>2481</v>
      </c>
      <c r="I657">
        <v>1690</v>
      </c>
      <c r="J657">
        <v>261</v>
      </c>
      <c r="K657">
        <v>0.47599999999999998</v>
      </c>
      <c r="L657">
        <v>0.14299999999999999</v>
      </c>
      <c r="M657">
        <v>0.64300000000000002</v>
      </c>
      <c r="N657">
        <v>9</v>
      </c>
      <c r="O657">
        <v>5.3999999999999999E-2</v>
      </c>
      <c r="P657">
        <v>1990</v>
      </c>
      <c r="Q657">
        <v>17.3</v>
      </c>
      <c r="R657">
        <v>5.3</v>
      </c>
      <c r="S657">
        <v>3.6</v>
      </c>
      <c r="T657">
        <v>0.6</v>
      </c>
      <c r="U657">
        <v>2</v>
      </c>
      <c r="V657">
        <v>3</v>
      </c>
      <c r="W657">
        <f>IF(nba_draft[[#This Row],[years_played]]&gt;5,1,0)</f>
        <v>1</v>
      </c>
    </row>
    <row r="658" spans="1:23" x14ac:dyDescent="0.25">
      <c r="A658">
        <v>32</v>
      </c>
      <c r="B658" t="s">
        <v>109</v>
      </c>
      <c r="C658" t="s">
        <v>254</v>
      </c>
      <c r="D658" t="s">
        <v>255</v>
      </c>
      <c r="E658">
        <v>9</v>
      </c>
      <c r="F658">
        <v>418</v>
      </c>
      <c r="G658">
        <v>7007</v>
      </c>
      <c r="H658">
        <v>2481</v>
      </c>
      <c r="I658">
        <v>684</v>
      </c>
      <c r="J658">
        <v>1236</v>
      </c>
      <c r="K658">
        <v>0.42599999999999999</v>
      </c>
      <c r="L658">
        <v>0.38700000000000001</v>
      </c>
      <c r="M658">
        <v>0.82399999999999995</v>
      </c>
      <c r="N658">
        <v>12</v>
      </c>
      <c r="O658">
        <v>8.2000000000000003E-2</v>
      </c>
      <c r="P658">
        <v>1992</v>
      </c>
      <c r="Q658">
        <v>16.8</v>
      </c>
      <c r="R658">
        <v>5.9</v>
      </c>
      <c r="S658">
        <v>1.6</v>
      </c>
      <c r="T658">
        <v>3</v>
      </c>
      <c r="U658">
        <v>2</v>
      </c>
      <c r="V658">
        <v>5</v>
      </c>
      <c r="W658">
        <f>IF(nba_draft[[#This Row],[years_played]]&gt;5,1,0)</f>
        <v>1</v>
      </c>
    </row>
    <row r="659" spans="1:23" x14ac:dyDescent="0.25">
      <c r="A659">
        <v>14</v>
      </c>
      <c r="B659" t="s">
        <v>37</v>
      </c>
      <c r="C659" t="s">
        <v>958</v>
      </c>
      <c r="D659" t="s">
        <v>179</v>
      </c>
      <c r="E659">
        <v>4</v>
      </c>
      <c r="F659">
        <v>249</v>
      </c>
      <c r="G659">
        <v>5037</v>
      </c>
      <c r="H659">
        <v>2479</v>
      </c>
      <c r="I659">
        <v>506</v>
      </c>
      <c r="J659">
        <v>331</v>
      </c>
      <c r="K659">
        <v>0.43099999999999999</v>
      </c>
      <c r="L659">
        <v>0.36799999999999999</v>
      </c>
      <c r="M659">
        <v>0.74099999999999999</v>
      </c>
      <c r="N659">
        <v>3.6</v>
      </c>
      <c r="O659">
        <v>3.5000000000000003E-2</v>
      </c>
      <c r="P659">
        <v>2005</v>
      </c>
      <c r="Q659">
        <v>20.2</v>
      </c>
      <c r="R659">
        <v>10</v>
      </c>
      <c r="S659">
        <v>2</v>
      </c>
      <c r="T659">
        <v>1.3</v>
      </c>
      <c r="U659">
        <v>1</v>
      </c>
      <c r="V659">
        <v>14</v>
      </c>
      <c r="W659">
        <f>IF(nba_draft[[#This Row],[years_played]]&gt;5,1,0)</f>
        <v>0</v>
      </c>
    </row>
    <row r="660" spans="1:23" x14ac:dyDescent="0.25">
      <c r="A660">
        <v>36</v>
      </c>
      <c r="B660" t="s">
        <v>85</v>
      </c>
      <c r="C660" t="s">
        <v>1146</v>
      </c>
      <c r="D660" t="s">
        <v>97</v>
      </c>
      <c r="E660">
        <v>8</v>
      </c>
      <c r="F660">
        <v>471</v>
      </c>
      <c r="G660">
        <v>9216</v>
      </c>
      <c r="H660">
        <v>2479</v>
      </c>
      <c r="I660">
        <v>3362</v>
      </c>
      <c r="J660">
        <v>280</v>
      </c>
      <c r="K660">
        <v>0.52800000000000002</v>
      </c>
      <c r="L660">
        <v>0</v>
      </c>
      <c r="M660">
        <v>0.55100000000000005</v>
      </c>
      <c r="N660">
        <v>20.9</v>
      </c>
      <c r="O660">
        <v>0.109</v>
      </c>
      <c r="P660">
        <v>2008</v>
      </c>
      <c r="Q660">
        <v>19.600000000000001</v>
      </c>
      <c r="R660">
        <v>5.3</v>
      </c>
      <c r="S660">
        <v>7.1</v>
      </c>
      <c r="T660">
        <v>0.6</v>
      </c>
      <c r="U660">
        <v>2</v>
      </c>
      <c r="V660">
        <v>6</v>
      </c>
      <c r="W660">
        <f>IF(nba_draft[[#This Row],[years_played]]&gt;5,1,0)</f>
        <v>1</v>
      </c>
    </row>
    <row r="661" spans="1:23" x14ac:dyDescent="0.25">
      <c r="A661">
        <v>13</v>
      </c>
      <c r="B661" t="s">
        <v>46</v>
      </c>
      <c r="C661" t="s">
        <v>1724</v>
      </c>
      <c r="D661" t="s">
        <v>282</v>
      </c>
      <c r="E661">
        <v>3</v>
      </c>
      <c r="F661">
        <v>155</v>
      </c>
      <c r="G661">
        <v>4647</v>
      </c>
      <c r="H661">
        <v>2478</v>
      </c>
      <c r="I661">
        <v>713</v>
      </c>
      <c r="J661">
        <v>486</v>
      </c>
      <c r="K661">
        <v>0.43099999999999999</v>
      </c>
      <c r="L661">
        <v>0.375</v>
      </c>
      <c r="M661">
        <v>0.85199999999999998</v>
      </c>
      <c r="N661">
        <v>5.2</v>
      </c>
      <c r="O661">
        <v>5.2999999999999999E-2</v>
      </c>
      <c r="P661">
        <v>2019</v>
      </c>
      <c r="Q661">
        <v>30</v>
      </c>
      <c r="R661">
        <v>16</v>
      </c>
      <c r="S661">
        <v>4.5999999999999996</v>
      </c>
      <c r="T661">
        <v>3.1</v>
      </c>
      <c r="U661">
        <v>1</v>
      </c>
      <c r="V661">
        <v>13</v>
      </c>
      <c r="W661">
        <f>IF(nba_draft[[#This Row],[years_played]]&gt;5,1,0)</f>
        <v>0</v>
      </c>
    </row>
    <row r="662" spans="1:23" x14ac:dyDescent="0.25">
      <c r="A662">
        <v>8</v>
      </c>
      <c r="B662" t="s">
        <v>88</v>
      </c>
      <c r="C662" t="s">
        <v>1503</v>
      </c>
      <c r="D662" t="s">
        <v>117</v>
      </c>
      <c r="E662">
        <v>7</v>
      </c>
      <c r="F662">
        <v>395</v>
      </c>
      <c r="G662">
        <v>7844</v>
      </c>
      <c r="H662">
        <v>2467</v>
      </c>
      <c r="I662">
        <v>1230</v>
      </c>
      <c r="J662">
        <v>565</v>
      </c>
      <c r="K662">
        <v>0.38</v>
      </c>
      <c r="L662">
        <v>0.29899999999999999</v>
      </c>
      <c r="M662">
        <v>0.755</v>
      </c>
      <c r="N662">
        <v>5.4</v>
      </c>
      <c r="O662">
        <v>3.3000000000000002E-2</v>
      </c>
      <c r="P662">
        <v>2015</v>
      </c>
      <c r="Q662">
        <v>19.899999999999999</v>
      </c>
      <c r="R662">
        <v>6.2</v>
      </c>
      <c r="S662">
        <v>3.1</v>
      </c>
      <c r="T662">
        <v>1.4</v>
      </c>
      <c r="U662">
        <v>1</v>
      </c>
      <c r="V662">
        <v>8</v>
      </c>
      <c r="W662">
        <f>IF(nba_draft[[#This Row],[years_played]]&gt;5,1,0)</f>
        <v>1</v>
      </c>
    </row>
    <row r="663" spans="1:23" x14ac:dyDescent="0.25">
      <c r="A663">
        <v>34</v>
      </c>
      <c r="B663" t="s">
        <v>63</v>
      </c>
      <c r="C663" t="s">
        <v>824</v>
      </c>
      <c r="D663" t="s">
        <v>113</v>
      </c>
      <c r="E663">
        <v>10</v>
      </c>
      <c r="F663">
        <v>527</v>
      </c>
      <c r="G663">
        <v>7793</v>
      </c>
      <c r="H663">
        <v>2465</v>
      </c>
      <c r="I663">
        <v>2326</v>
      </c>
      <c r="J663">
        <v>196</v>
      </c>
      <c r="K663">
        <v>0.5</v>
      </c>
      <c r="L663">
        <v>0</v>
      </c>
      <c r="M663">
        <v>0.498</v>
      </c>
      <c r="N663">
        <v>15.8</v>
      </c>
      <c r="O663">
        <v>9.7000000000000003E-2</v>
      </c>
      <c r="P663">
        <v>2002</v>
      </c>
      <c r="Q663">
        <v>14.8</v>
      </c>
      <c r="R663">
        <v>4.7</v>
      </c>
      <c r="S663">
        <v>4.4000000000000004</v>
      </c>
      <c r="T663">
        <v>0.4</v>
      </c>
      <c r="U663">
        <v>2</v>
      </c>
      <c r="V663">
        <v>5</v>
      </c>
      <c r="W663">
        <f>IF(nba_draft[[#This Row],[years_played]]&gt;5,1,0)</f>
        <v>1</v>
      </c>
    </row>
    <row r="664" spans="1:23" x14ac:dyDescent="0.25">
      <c r="A664">
        <v>23</v>
      </c>
      <c r="B664" t="s">
        <v>127</v>
      </c>
      <c r="C664" t="s">
        <v>1410</v>
      </c>
      <c r="D664" t="s">
        <v>117</v>
      </c>
      <c r="E664">
        <v>9</v>
      </c>
      <c r="F664">
        <v>448</v>
      </c>
      <c r="G664">
        <v>9652</v>
      </c>
      <c r="H664">
        <v>2453</v>
      </c>
      <c r="I664">
        <v>1399</v>
      </c>
      <c r="J664">
        <v>662</v>
      </c>
      <c r="K664">
        <v>0.38800000000000001</v>
      </c>
      <c r="L664">
        <v>0.33100000000000002</v>
      </c>
      <c r="M664">
        <v>0.79700000000000004</v>
      </c>
      <c r="N664">
        <v>11.9</v>
      </c>
      <c r="O664">
        <v>5.8999999999999997E-2</v>
      </c>
      <c r="P664">
        <v>2013</v>
      </c>
      <c r="Q664">
        <v>21.5</v>
      </c>
      <c r="R664">
        <v>5.5</v>
      </c>
      <c r="S664">
        <v>3.1</v>
      </c>
      <c r="T664">
        <v>1.5</v>
      </c>
      <c r="U664">
        <v>1</v>
      </c>
      <c r="V664">
        <v>23</v>
      </c>
      <c r="W664">
        <f>IF(nba_draft[[#This Row],[years_played]]&gt;5,1,0)</f>
        <v>1</v>
      </c>
    </row>
    <row r="665" spans="1:23" x14ac:dyDescent="0.25">
      <c r="A665">
        <v>27</v>
      </c>
      <c r="B665" t="s">
        <v>127</v>
      </c>
      <c r="C665" t="s">
        <v>711</v>
      </c>
      <c r="D665" t="s">
        <v>97</v>
      </c>
      <c r="E665">
        <v>8</v>
      </c>
      <c r="F665">
        <v>342</v>
      </c>
      <c r="G665">
        <v>6192</v>
      </c>
      <c r="H665">
        <v>2452</v>
      </c>
      <c r="I665">
        <v>1327</v>
      </c>
      <c r="J665">
        <v>179</v>
      </c>
      <c r="K665">
        <v>0.498</v>
      </c>
      <c r="L665">
        <v>0.16700000000000001</v>
      </c>
      <c r="M665">
        <v>0.70099999999999996</v>
      </c>
      <c r="N665">
        <v>10.8</v>
      </c>
      <c r="O665">
        <v>8.4000000000000005E-2</v>
      </c>
      <c r="P665">
        <v>2000</v>
      </c>
      <c r="Q665">
        <v>18.100000000000001</v>
      </c>
      <c r="R665">
        <v>7.2</v>
      </c>
      <c r="S665">
        <v>3.9</v>
      </c>
      <c r="T665">
        <v>0.5</v>
      </c>
      <c r="U665">
        <v>1</v>
      </c>
      <c r="V665">
        <v>27</v>
      </c>
      <c r="W665">
        <f>IF(nba_draft[[#This Row],[years_played]]&gt;5,1,0)</f>
        <v>1</v>
      </c>
    </row>
    <row r="666" spans="1:23" x14ac:dyDescent="0.25">
      <c r="A666">
        <v>7</v>
      </c>
      <c r="B666" t="s">
        <v>95</v>
      </c>
      <c r="C666" t="s">
        <v>1718</v>
      </c>
      <c r="D666" t="s">
        <v>179</v>
      </c>
      <c r="E666">
        <v>3</v>
      </c>
      <c r="F666">
        <v>173</v>
      </c>
      <c r="G666">
        <v>4931</v>
      </c>
      <c r="H666">
        <v>2446</v>
      </c>
      <c r="I666">
        <v>635</v>
      </c>
      <c r="J666">
        <v>613</v>
      </c>
      <c r="K666">
        <v>0.41499999999999998</v>
      </c>
      <c r="L666">
        <v>0.36599999999999999</v>
      </c>
      <c r="M666">
        <v>0.84699999999999998</v>
      </c>
      <c r="N666">
        <v>5.5</v>
      </c>
      <c r="O666">
        <v>5.2999999999999999E-2</v>
      </c>
      <c r="P666">
        <v>2019</v>
      </c>
      <c r="Q666">
        <v>28.5</v>
      </c>
      <c r="R666">
        <v>14.1</v>
      </c>
      <c r="S666">
        <v>3.7</v>
      </c>
      <c r="T666">
        <v>3.5</v>
      </c>
      <c r="U666">
        <v>1</v>
      </c>
      <c r="V666">
        <v>7</v>
      </c>
      <c r="W666">
        <f>IF(nba_draft[[#This Row],[years_played]]&gt;5,1,0)</f>
        <v>0</v>
      </c>
    </row>
    <row r="667" spans="1:23" x14ac:dyDescent="0.25">
      <c r="A667">
        <v>24</v>
      </c>
      <c r="B667" t="s">
        <v>34</v>
      </c>
      <c r="C667" t="s">
        <v>1465</v>
      </c>
      <c r="D667" t="s">
        <v>79</v>
      </c>
      <c r="E667">
        <v>6</v>
      </c>
      <c r="F667">
        <v>345</v>
      </c>
      <c r="G667">
        <v>5986</v>
      </c>
      <c r="H667">
        <v>2433</v>
      </c>
      <c r="I667">
        <v>657</v>
      </c>
      <c r="J667">
        <v>849</v>
      </c>
      <c r="K667">
        <v>0.39700000000000002</v>
      </c>
      <c r="L667">
        <v>0.34499999999999997</v>
      </c>
      <c r="M667">
        <v>0.81499999999999995</v>
      </c>
      <c r="N667">
        <v>8.1</v>
      </c>
      <c r="O667">
        <v>6.5000000000000002E-2</v>
      </c>
      <c r="P667">
        <v>2014</v>
      </c>
      <c r="Q667">
        <v>17.399999999999999</v>
      </c>
      <c r="R667">
        <v>7.1</v>
      </c>
      <c r="S667">
        <v>1.9</v>
      </c>
      <c r="T667">
        <v>2.5</v>
      </c>
      <c r="U667">
        <v>1</v>
      </c>
      <c r="V667">
        <v>24</v>
      </c>
      <c r="W667">
        <f>IF(nba_draft[[#This Row],[years_played]]&gt;5,1,0)</f>
        <v>1</v>
      </c>
    </row>
    <row r="668" spans="1:23" x14ac:dyDescent="0.25">
      <c r="A668">
        <v>18</v>
      </c>
      <c r="B668" t="s">
        <v>55</v>
      </c>
      <c r="C668" t="s">
        <v>1345</v>
      </c>
      <c r="D668" t="s">
        <v>282</v>
      </c>
      <c r="E668">
        <v>6</v>
      </c>
      <c r="F668">
        <v>234</v>
      </c>
      <c r="G668">
        <v>5562</v>
      </c>
      <c r="H668">
        <v>2431</v>
      </c>
      <c r="I668">
        <v>1334</v>
      </c>
      <c r="J668">
        <v>238</v>
      </c>
      <c r="K668">
        <v>0.501</v>
      </c>
      <c r="L668">
        <v>0.29699999999999999</v>
      </c>
      <c r="M668">
        <v>0.621</v>
      </c>
      <c r="N668">
        <v>14.7</v>
      </c>
      <c r="O668">
        <v>0.127</v>
      </c>
      <c r="P668">
        <v>2012</v>
      </c>
      <c r="Q668">
        <v>23.8</v>
      </c>
      <c r="R668">
        <v>10.4</v>
      </c>
      <c r="S668">
        <v>5.7</v>
      </c>
      <c r="T668">
        <v>1</v>
      </c>
      <c r="U668">
        <v>1</v>
      </c>
      <c r="V668">
        <v>18</v>
      </c>
      <c r="W668">
        <f>IF(nba_draft[[#This Row],[years_played]]&gt;5,1,0)</f>
        <v>1</v>
      </c>
    </row>
    <row r="669" spans="1:23" x14ac:dyDescent="0.25">
      <c r="A669">
        <v>20</v>
      </c>
      <c r="B669" t="s">
        <v>49</v>
      </c>
      <c r="C669" t="s">
        <v>649</v>
      </c>
      <c r="D669" t="s">
        <v>33</v>
      </c>
      <c r="E669">
        <v>6</v>
      </c>
      <c r="F669">
        <v>294</v>
      </c>
      <c r="G669">
        <v>6132</v>
      </c>
      <c r="H669">
        <v>2407</v>
      </c>
      <c r="I669">
        <v>897</v>
      </c>
      <c r="J669">
        <v>455</v>
      </c>
      <c r="K669">
        <v>0.41099999999999998</v>
      </c>
      <c r="L669">
        <v>0.317</v>
      </c>
      <c r="M669">
        <v>0.75600000000000001</v>
      </c>
      <c r="N669">
        <v>5.8</v>
      </c>
      <c r="O669">
        <v>4.4999999999999998E-2</v>
      </c>
      <c r="P669">
        <v>1999</v>
      </c>
      <c r="Q669">
        <v>20.9</v>
      </c>
      <c r="R669">
        <v>8.1999999999999993</v>
      </c>
      <c r="S669">
        <v>3.1</v>
      </c>
      <c r="T669">
        <v>1.5</v>
      </c>
      <c r="U669">
        <v>1</v>
      </c>
      <c r="V669">
        <v>20</v>
      </c>
      <c r="W669">
        <f>IF(nba_draft[[#This Row],[years_played]]&gt;5,1,0)</f>
        <v>1</v>
      </c>
    </row>
    <row r="670" spans="1:23" x14ac:dyDescent="0.25">
      <c r="A670">
        <v>40</v>
      </c>
      <c r="B670" t="s">
        <v>63</v>
      </c>
      <c r="C670" t="s">
        <v>1311</v>
      </c>
      <c r="D670" t="s">
        <v>412</v>
      </c>
      <c r="E670">
        <v>8</v>
      </c>
      <c r="F670">
        <v>377</v>
      </c>
      <c r="G670">
        <v>5945</v>
      </c>
      <c r="H670">
        <v>2395</v>
      </c>
      <c r="I670">
        <v>1426</v>
      </c>
      <c r="J670">
        <v>301</v>
      </c>
      <c r="K670">
        <v>0.48399999999999999</v>
      </c>
      <c r="L670">
        <v>0.32800000000000001</v>
      </c>
      <c r="M670">
        <v>0.76700000000000002</v>
      </c>
      <c r="N670">
        <v>13.2</v>
      </c>
      <c r="O670">
        <v>0.107</v>
      </c>
      <c r="P670">
        <v>2011</v>
      </c>
      <c r="Q670">
        <v>15.8</v>
      </c>
      <c r="R670">
        <v>6.4</v>
      </c>
      <c r="S670">
        <v>3.8</v>
      </c>
      <c r="T670">
        <v>0.8</v>
      </c>
      <c r="U670">
        <v>2</v>
      </c>
      <c r="V670">
        <v>10</v>
      </c>
      <c r="W670">
        <f>IF(nba_draft[[#This Row],[years_played]]&gt;5,1,0)</f>
        <v>1</v>
      </c>
    </row>
    <row r="671" spans="1:23" x14ac:dyDescent="0.25">
      <c r="A671">
        <v>38</v>
      </c>
      <c r="B671" t="s">
        <v>25</v>
      </c>
      <c r="C671" t="s">
        <v>116</v>
      </c>
      <c r="D671" t="s">
        <v>117</v>
      </c>
      <c r="E671">
        <v>12</v>
      </c>
      <c r="F671">
        <v>720</v>
      </c>
      <c r="G671">
        <v>8444</v>
      </c>
      <c r="H671">
        <v>2385</v>
      </c>
      <c r="I671">
        <v>1266</v>
      </c>
      <c r="J671">
        <v>560</v>
      </c>
      <c r="K671">
        <v>0.433</v>
      </c>
      <c r="L671">
        <v>0.36599999999999999</v>
      </c>
      <c r="M671">
        <v>0.63300000000000001</v>
      </c>
      <c r="N671">
        <v>16.5</v>
      </c>
      <c r="O671">
        <v>9.4E-2</v>
      </c>
      <c r="P671">
        <v>1990</v>
      </c>
      <c r="Q671">
        <v>11.7</v>
      </c>
      <c r="R671">
        <v>3.3</v>
      </c>
      <c r="S671">
        <v>1.8</v>
      </c>
      <c r="T671">
        <v>0.8</v>
      </c>
      <c r="U671">
        <v>2</v>
      </c>
      <c r="V671">
        <v>11</v>
      </c>
      <c r="W671">
        <f>IF(nba_draft[[#This Row],[years_played]]&gt;5,1,0)</f>
        <v>1</v>
      </c>
    </row>
    <row r="672" spans="1:23" x14ac:dyDescent="0.25">
      <c r="A672">
        <v>9</v>
      </c>
      <c r="B672" t="s">
        <v>149</v>
      </c>
      <c r="C672" t="s">
        <v>459</v>
      </c>
      <c r="D672" t="s">
        <v>39</v>
      </c>
      <c r="E672">
        <v>10</v>
      </c>
      <c r="F672">
        <v>445</v>
      </c>
      <c r="G672">
        <v>7612</v>
      </c>
      <c r="H672">
        <v>2376</v>
      </c>
      <c r="I672">
        <v>2089</v>
      </c>
      <c r="J672">
        <v>252</v>
      </c>
      <c r="K672">
        <v>0.46200000000000002</v>
      </c>
      <c r="L672">
        <v>0.111</v>
      </c>
      <c r="M672">
        <v>0.63</v>
      </c>
      <c r="N672">
        <v>14.2</v>
      </c>
      <c r="O672">
        <v>8.8999999999999996E-2</v>
      </c>
      <c r="P672">
        <v>1996</v>
      </c>
      <c r="Q672">
        <v>17.100000000000001</v>
      </c>
      <c r="R672">
        <v>5.3</v>
      </c>
      <c r="S672">
        <v>4.7</v>
      </c>
      <c r="T672">
        <v>0.6</v>
      </c>
      <c r="U672">
        <v>1</v>
      </c>
      <c r="V672">
        <v>9</v>
      </c>
      <c r="W672">
        <f>IF(nba_draft[[#This Row],[years_played]]&gt;5,1,0)</f>
        <v>1</v>
      </c>
    </row>
    <row r="673" spans="1:23" x14ac:dyDescent="0.25">
      <c r="A673">
        <v>41</v>
      </c>
      <c r="B673" t="s">
        <v>22</v>
      </c>
      <c r="C673" t="s">
        <v>1535</v>
      </c>
      <c r="D673" t="s">
        <v>218</v>
      </c>
      <c r="E673">
        <v>7</v>
      </c>
      <c r="F673">
        <v>406</v>
      </c>
      <c r="G673">
        <v>7483</v>
      </c>
      <c r="H673">
        <v>2367</v>
      </c>
      <c r="I673">
        <v>1355</v>
      </c>
      <c r="J673">
        <v>505</v>
      </c>
      <c r="K673">
        <v>0.44700000000000001</v>
      </c>
      <c r="L673">
        <v>0.36599999999999999</v>
      </c>
      <c r="M673">
        <v>0.79100000000000004</v>
      </c>
      <c r="N673">
        <v>17.600000000000001</v>
      </c>
      <c r="O673">
        <v>0.113</v>
      </c>
      <c r="P673">
        <v>2015</v>
      </c>
      <c r="Q673">
        <v>18.399999999999999</v>
      </c>
      <c r="R673">
        <v>5.8</v>
      </c>
      <c r="S673">
        <v>3.3</v>
      </c>
      <c r="T673">
        <v>1.2</v>
      </c>
      <c r="U673">
        <v>2</v>
      </c>
      <c r="V673">
        <v>11</v>
      </c>
      <c r="W673">
        <f>IF(nba_draft[[#This Row],[years_played]]&gt;5,1,0)</f>
        <v>1</v>
      </c>
    </row>
    <row r="674" spans="1:23" x14ac:dyDescent="0.25">
      <c r="A674">
        <v>37</v>
      </c>
      <c r="B674" t="s">
        <v>40</v>
      </c>
      <c r="C674" t="s">
        <v>1689</v>
      </c>
      <c r="D674" t="s">
        <v>87</v>
      </c>
      <c r="E674">
        <v>4</v>
      </c>
      <c r="F674">
        <v>182</v>
      </c>
      <c r="G674">
        <v>4920</v>
      </c>
      <c r="H674">
        <v>2360</v>
      </c>
      <c r="I674">
        <v>391</v>
      </c>
      <c r="J674">
        <v>238</v>
      </c>
      <c r="K674">
        <v>0.42199999999999999</v>
      </c>
      <c r="L674">
        <v>0.39400000000000002</v>
      </c>
      <c r="M674">
        <v>0.79300000000000004</v>
      </c>
      <c r="N674">
        <v>8</v>
      </c>
      <c r="O674">
        <v>7.8E-2</v>
      </c>
      <c r="P674">
        <v>2018</v>
      </c>
      <c r="Q674">
        <v>27</v>
      </c>
      <c r="R674">
        <v>13</v>
      </c>
      <c r="S674">
        <v>2.1</v>
      </c>
      <c r="T674">
        <v>1.3</v>
      </c>
      <c r="U674">
        <v>2</v>
      </c>
      <c r="V674">
        <v>7</v>
      </c>
      <c r="W674">
        <f>IF(nba_draft[[#This Row],[years_played]]&gt;5,1,0)</f>
        <v>0</v>
      </c>
    </row>
    <row r="675" spans="1:23" x14ac:dyDescent="0.25">
      <c r="A675">
        <v>6</v>
      </c>
      <c r="B675" t="s">
        <v>149</v>
      </c>
      <c r="C675" t="s">
        <v>150</v>
      </c>
      <c r="D675" t="s">
        <v>151</v>
      </c>
      <c r="E675">
        <v>5</v>
      </c>
      <c r="F675">
        <v>296</v>
      </c>
      <c r="G675">
        <v>5833</v>
      </c>
      <c r="H675">
        <v>2356</v>
      </c>
      <c r="I675">
        <v>1234</v>
      </c>
      <c r="J675">
        <v>400</v>
      </c>
      <c r="K675">
        <v>0.42499999999999999</v>
      </c>
      <c r="L675">
        <v>8.3000000000000004E-2</v>
      </c>
      <c r="M675">
        <v>0.77300000000000002</v>
      </c>
      <c r="N675">
        <v>3</v>
      </c>
      <c r="O675">
        <v>2.4E-2</v>
      </c>
      <c r="P675">
        <v>1991</v>
      </c>
      <c r="Q675">
        <v>19.7</v>
      </c>
      <c r="R675">
        <v>8</v>
      </c>
      <c r="S675">
        <v>4.2</v>
      </c>
      <c r="T675">
        <v>1.4</v>
      </c>
      <c r="U675">
        <v>1</v>
      </c>
      <c r="V675">
        <v>6</v>
      </c>
      <c r="W675">
        <f>IF(nba_draft[[#This Row],[years_played]]&gt;5,1,0)</f>
        <v>0</v>
      </c>
    </row>
    <row r="676" spans="1:23" x14ac:dyDescent="0.25">
      <c r="A676">
        <v>12</v>
      </c>
      <c r="B676" t="s">
        <v>149</v>
      </c>
      <c r="C676" t="s">
        <v>694</v>
      </c>
      <c r="D676" t="s">
        <v>24</v>
      </c>
      <c r="E676">
        <v>9</v>
      </c>
      <c r="F676">
        <v>409</v>
      </c>
      <c r="G676">
        <v>7084</v>
      </c>
      <c r="H676">
        <v>2341</v>
      </c>
      <c r="I676">
        <v>1927</v>
      </c>
      <c r="J676">
        <v>149</v>
      </c>
      <c r="K676">
        <v>0.51300000000000001</v>
      </c>
      <c r="L676">
        <v>0</v>
      </c>
      <c r="M676">
        <v>0.60299999999999998</v>
      </c>
      <c r="N676">
        <v>14.9</v>
      </c>
      <c r="O676">
        <v>0.10100000000000001</v>
      </c>
      <c r="P676">
        <v>2000</v>
      </c>
      <c r="Q676">
        <v>17.3</v>
      </c>
      <c r="R676">
        <v>5.7</v>
      </c>
      <c r="S676">
        <v>4.7</v>
      </c>
      <c r="T676">
        <v>0.4</v>
      </c>
      <c r="U676">
        <v>1</v>
      </c>
      <c r="V676">
        <v>12</v>
      </c>
      <c r="W676">
        <f>IF(nba_draft[[#This Row],[years_played]]&gt;5,1,0)</f>
        <v>1</v>
      </c>
    </row>
    <row r="677" spans="1:23" x14ac:dyDescent="0.25">
      <c r="A677">
        <v>37</v>
      </c>
      <c r="B677" t="s">
        <v>85</v>
      </c>
      <c r="C677" t="s">
        <v>1093</v>
      </c>
      <c r="D677" t="s">
        <v>87</v>
      </c>
      <c r="E677">
        <v>11</v>
      </c>
      <c r="F677">
        <v>433</v>
      </c>
      <c r="G677">
        <v>8271</v>
      </c>
      <c r="H677">
        <v>2333</v>
      </c>
      <c r="I677">
        <v>1686</v>
      </c>
      <c r="J677">
        <v>901</v>
      </c>
      <c r="K677">
        <v>0.46300000000000002</v>
      </c>
      <c r="L677">
        <v>0.34</v>
      </c>
      <c r="M677">
        <v>0.70499999999999996</v>
      </c>
      <c r="N677">
        <v>18.5</v>
      </c>
      <c r="O677">
        <v>0.107</v>
      </c>
      <c r="P677">
        <v>2007</v>
      </c>
      <c r="Q677">
        <v>19.100000000000001</v>
      </c>
      <c r="R677">
        <v>5.4</v>
      </c>
      <c r="S677">
        <v>3.9</v>
      </c>
      <c r="T677">
        <v>2.1</v>
      </c>
      <c r="U677">
        <v>2</v>
      </c>
      <c r="V677">
        <v>7</v>
      </c>
      <c r="W677">
        <f>IF(nba_draft[[#This Row],[years_played]]&gt;5,1,0)</f>
        <v>1</v>
      </c>
    </row>
    <row r="678" spans="1:23" x14ac:dyDescent="0.25">
      <c r="A678">
        <v>33</v>
      </c>
      <c r="B678" t="s">
        <v>88</v>
      </c>
      <c r="C678" t="s">
        <v>1304</v>
      </c>
      <c r="D678" t="s">
        <v>87</v>
      </c>
      <c r="E678">
        <v>6</v>
      </c>
      <c r="F678">
        <v>356</v>
      </c>
      <c r="G678">
        <v>7794</v>
      </c>
      <c r="H678">
        <v>2326</v>
      </c>
      <c r="I678">
        <v>1026</v>
      </c>
      <c r="J678">
        <v>272</v>
      </c>
      <c r="K678">
        <v>0.41799999999999998</v>
      </c>
      <c r="L678">
        <v>0.36199999999999999</v>
      </c>
      <c r="M678">
        <v>0.78600000000000003</v>
      </c>
      <c r="N678">
        <v>10</v>
      </c>
      <c r="O678">
        <v>6.2E-2</v>
      </c>
      <c r="P678">
        <v>2011</v>
      </c>
      <c r="Q678">
        <v>21.9</v>
      </c>
      <c r="R678">
        <v>6.5</v>
      </c>
      <c r="S678">
        <v>2.9</v>
      </c>
      <c r="T678">
        <v>0.8</v>
      </c>
      <c r="U678">
        <v>2</v>
      </c>
      <c r="V678">
        <v>3</v>
      </c>
      <c r="W678">
        <f>IF(nba_draft[[#This Row],[years_played]]&gt;5,1,0)</f>
        <v>1</v>
      </c>
    </row>
    <row r="679" spans="1:23" x14ac:dyDescent="0.25">
      <c r="A679">
        <v>9</v>
      </c>
      <c r="B679" t="s">
        <v>149</v>
      </c>
      <c r="C679" t="s">
        <v>1604</v>
      </c>
      <c r="D679" t="s">
        <v>184</v>
      </c>
      <c r="E679">
        <v>5</v>
      </c>
      <c r="F679">
        <v>216</v>
      </c>
      <c r="G679">
        <v>5152</v>
      </c>
      <c r="H679">
        <v>2317</v>
      </c>
      <c r="I679">
        <v>636</v>
      </c>
      <c r="J679">
        <v>917</v>
      </c>
      <c r="K679">
        <v>0.40200000000000002</v>
      </c>
      <c r="L679">
        <v>0.312</v>
      </c>
      <c r="M679">
        <v>0.65200000000000002</v>
      </c>
      <c r="N679">
        <v>-0.3</v>
      </c>
      <c r="O679">
        <v>-3.0000000000000001E-3</v>
      </c>
      <c r="P679">
        <v>2017</v>
      </c>
      <c r="Q679">
        <v>23.9</v>
      </c>
      <c r="R679">
        <v>10.7</v>
      </c>
      <c r="S679">
        <v>2.9</v>
      </c>
      <c r="T679">
        <v>4.2</v>
      </c>
      <c r="U679">
        <v>1</v>
      </c>
      <c r="V679">
        <v>9</v>
      </c>
      <c r="W679">
        <f>IF(nba_draft[[#This Row],[years_played]]&gt;5,1,0)</f>
        <v>0</v>
      </c>
    </row>
    <row r="680" spans="1:23" x14ac:dyDescent="0.25">
      <c r="A680">
        <v>24</v>
      </c>
      <c r="B680" t="s">
        <v>90</v>
      </c>
      <c r="C680" t="s">
        <v>870</v>
      </c>
      <c r="D680" t="s">
        <v>36</v>
      </c>
      <c r="E680">
        <v>9</v>
      </c>
      <c r="F680">
        <v>421</v>
      </c>
      <c r="G680">
        <v>5649</v>
      </c>
      <c r="H680">
        <v>2312</v>
      </c>
      <c r="I680">
        <v>1115</v>
      </c>
      <c r="J680">
        <v>252</v>
      </c>
      <c r="K680">
        <v>0.439</v>
      </c>
      <c r="L680">
        <v>0.38200000000000001</v>
      </c>
      <c r="M680">
        <v>0.78300000000000003</v>
      </c>
      <c r="N680">
        <v>10.199999999999999</v>
      </c>
      <c r="O680">
        <v>8.5999999999999993E-2</v>
      </c>
      <c r="P680">
        <v>2003</v>
      </c>
      <c r="Q680">
        <v>13.4</v>
      </c>
      <c r="R680">
        <v>5.5</v>
      </c>
      <c r="S680">
        <v>2.6</v>
      </c>
      <c r="T680">
        <v>0.6</v>
      </c>
      <c r="U680">
        <v>1</v>
      </c>
      <c r="V680">
        <v>24</v>
      </c>
      <c r="W680">
        <f>IF(nba_draft[[#This Row],[years_played]]&gt;5,1,0)</f>
        <v>1</v>
      </c>
    </row>
    <row r="681" spans="1:23" x14ac:dyDescent="0.25">
      <c r="A681">
        <v>9</v>
      </c>
      <c r="B681" t="s">
        <v>55</v>
      </c>
      <c r="C681" t="s">
        <v>691</v>
      </c>
      <c r="D681" t="s">
        <v>48</v>
      </c>
      <c r="E681">
        <v>13</v>
      </c>
      <c r="F681">
        <v>592</v>
      </c>
      <c r="G681">
        <v>11733</v>
      </c>
      <c r="H681">
        <v>2293</v>
      </c>
      <c r="I681">
        <v>3665</v>
      </c>
      <c r="J681">
        <v>256</v>
      </c>
      <c r="K681">
        <v>0.55200000000000005</v>
      </c>
      <c r="L681">
        <v>0</v>
      </c>
      <c r="M681">
        <v>0.55700000000000005</v>
      </c>
      <c r="N681">
        <v>23</v>
      </c>
      <c r="O681">
        <v>9.4E-2</v>
      </c>
      <c r="P681">
        <v>2000</v>
      </c>
      <c r="Q681">
        <v>19.8</v>
      </c>
      <c r="R681">
        <v>3.9</v>
      </c>
      <c r="S681">
        <v>6.2</v>
      </c>
      <c r="T681">
        <v>0.4</v>
      </c>
      <c r="U681">
        <v>1</v>
      </c>
      <c r="V681">
        <v>9</v>
      </c>
      <c r="W681">
        <f>IF(nba_draft[[#This Row],[years_played]]&gt;5,1,0)</f>
        <v>1</v>
      </c>
    </row>
    <row r="682" spans="1:23" x14ac:dyDescent="0.25">
      <c r="A682">
        <v>25</v>
      </c>
      <c r="B682" t="s">
        <v>95</v>
      </c>
      <c r="C682" t="s">
        <v>309</v>
      </c>
      <c r="D682" t="s">
        <v>310</v>
      </c>
      <c r="E682">
        <v>11</v>
      </c>
      <c r="F682">
        <v>644</v>
      </c>
      <c r="G682">
        <v>9925</v>
      </c>
      <c r="H682">
        <v>2287</v>
      </c>
      <c r="I682">
        <v>2690</v>
      </c>
      <c r="J682">
        <v>460</v>
      </c>
      <c r="K682">
        <v>0.47099999999999997</v>
      </c>
      <c r="L682">
        <v>0.115</v>
      </c>
      <c r="M682">
        <v>0.58699999999999997</v>
      </c>
      <c r="N682">
        <v>18.2</v>
      </c>
      <c r="O682">
        <v>8.7999999999999995E-2</v>
      </c>
      <c r="P682">
        <v>1993</v>
      </c>
      <c r="Q682">
        <v>15.4</v>
      </c>
      <c r="R682">
        <v>3.6</v>
      </c>
      <c r="S682">
        <v>4.2</v>
      </c>
      <c r="T682">
        <v>0.7</v>
      </c>
      <c r="U682">
        <v>1</v>
      </c>
      <c r="V682">
        <v>25</v>
      </c>
      <c r="W682">
        <f>IF(nba_draft[[#This Row],[years_played]]&gt;5,1,0)</f>
        <v>1</v>
      </c>
    </row>
    <row r="683" spans="1:23" x14ac:dyDescent="0.25">
      <c r="A683">
        <v>5</v>
      </c>
      <c r="B683" t="s">
        <v>31</v>
      </c>
      <c r="C683" t="s">
        <v>1500</v>
      </c>
      <c r="D683" t="s">
        <v>97</v>
      </c>
      <c r="E683">
        <v>5</v>
      </c>
      <c r="F683">
        <v>330</v>
      </c>
      <c r="G683">
        <v>6107</v>
      </c>
      <c r="H683">
        <v>2284</v>
      </c>
      <c r="I683">
        <v>1026</v>
      </c>
      <c r="J683">
        <v>415</v>
      </c>
      <c r="K683">
        <v>0.41699999999999998</v>
      </c>
      <c r="L683">
        <v>0.31900000000000001</v>
      </c>
      <c r="M683">
        <v>0.81200000000000006</v>
      </c>
      <c r="N683">
        <v>3.2</v>
      </c>
      <c r="O683">
        <v>2.5000000000000001E-2</v>
      </c>
      <c r="P683">
        <v>2015</v>
      </c>
      <c r="Q683">
        <v>18.5</v>
      </c>
      <c r="R683">
        <v>6.9</v>
      </c>
      <c r="S683">
        <v>3.1</v>
      </c>
      <c r="T683">
        <v>1.3</v>
      </c>
      <c r="U683">
        <v>1</v>
      </c>
      <c r="V683">
        <v>5</v>
      </c>
      <c r="W683">
        <f>IF(nba_draft[[#This Row],[years_played]]&gt;5,1,0)</f>
        <v>0</v>
      </c>
    </row>
    <row r="684" spans="1:23" x14ac:dyDescent="0.25">
      <c r="A684">
        <v>8</v>
      </c>
      <c r="B684" t="s">
        <v>40</v>
      </c>
      <c r="C684" t="s">
        <v>1449</v>
      </c>
      <c r="D684" t="s">
        <v>51</v>
      </c>
      <c r="E684">
        <v>6</v>
      </c>
      <c r="F684">
        <v>337</v>
      </c>
      <c r="G684">
        <v>6686</v>
      </c>
      <c r="H684">
        <v>2283</v>
      </c>
      <c r="I684">
        <v>691</v>
      </c>
      <c r="J684">
        <v>514</v>
      </c>
      <c r="K684">
        <v>0.38900000000000001</v>
      </c>
      <c r="L684">
        <v>0.35399999999999998</v>
      </c>
      <c r="M684">
        <v>0.81399999999999995</v>
      </c>
      <c r="N684">
        <v>3.9</v>
      </c>
      <c r="O684">
        <v>2.8000000000000001E-2</v>
      </c>
      <c r="P684">
        <v>2014</v>
      </c>
      <c r="Q684">
        <v>19.8</v>
      </c>
      <c r="R684">
        <v>6.8</v>
      </c>
      <c r="S684">
        <v>2.1</v>
      </c>
      <c r="T684">
        <v>1.5</v>
      </c>
      <c r="U684">
        <v>1</v>
      </c>
      <c r="V684">
        <v>8</v>
      </c>
      <c r="W684">
        <f>IF(nba_draft[[#This Row],[years_played]]&gt;5,1,0)</f>
        <v>1</v>
      </c>
    </row>
    <row r="685" spans="1:23" x14ac:dyDescent="0.25">
      <c r="A685">
        <v>33</v>
      </c>
      <c r="B685" t="s">
        <v>63</v>
      </c>
      <c r="C685" t="s">
        <v>488</v>
      </c>
      <c r="D685" t="s">
        <v>489</v>
      </c>
      <c r="E685">
        <v>9</v>
      </c>
      <c r="F685">
        <v>445</v>
      </c>
      <c r="G685">
        <v>7640</v>
      </c>
      <c r="H685">
        <v>2272</v>
      </c>
      <c r="I685">
        <v>868</v>
      </c>
      <c r="J685">
        <v>1233</v>
      </c>
      <c r="K685">
        <v>0.40100000000000002</v>
      </c>
      <c r="L685">
        <v>0.28599999999999998</v>
      </c>
      <c r="M685">
        <v>0.74</v>
      </c>
      <c r="N685">
        <v>10</v>
      </c>
      <c r="O685">
        <v>6.3E-2</v>
      </c>
      <c r="P685">
        <v>1996</v>
      </c>
      <c r="Q685">
        <v>17.2</v>
      </c>
      <c r="R685">
        <v>5.0999999999999996</v>
      </c>
      <c r="S685">
        <v>2</v>
      </c>
      <c r="T685">
        <v>2.8</v>
      </c>
      <c r="U685">
        <v>2</v>
      </c>
      <c r="V685">
        <v>4</v>
      </c>
      <c r="W685">
        <f>IF(nba_draft[[#This Row],[years_played]]&gt;5,1,0)</f>
        <v>1</v>
      </c>
    </row>
    <row r="686" spans="1:23" x14ac:dyDescent="0.25">
      <c r="A686">
        <v>7</v>
      </c>
      <c r="B686" t="s">
        <v>95</v>
      </c>
      <c r="C686" t="s">
        <v>1658</v>
      </c>
      <c r="D686" t="s">
        <v>87</v>
      </c>
      <c r="E686">
        <v>4</v>
      </c>
      <c r="F686">
        <v>192</v>
      </c>
      <c r="G686">
        <v>5238</v>
      </c>
      <c r="H686">
        <v>2260</v>
      </c>
      <c r="I686">
        <v>1675</v>
      </c>
      <c r="J686">
        <v>372</v>
      </c>
      <c r="K686">
        <v>0.50700000000000001</v>
      </c>
      <c r="L686">
        <v>0.29099999999999998</v>
      </c>
      <c r="M686">
        <v>0.73799999999999999</v>
      </c>
      <c r="N686">
        <v>12.4</v>
      </c>
      <c r="O686">
        <v>0.114</v>
      </c>
      <c r="P686">
        <v>2018</v>
      </c>
      <c r="Q686">
        <v>27.3</v>
      </c>
      <c r="R686">
        <v>11.8</v>
      </c>
      <c r="S686">
        <v>8.6999999999999993</v>
      </c>
      <c r="T686">
        <v>1.9</v>
      </c>
      <c r="U686">
        <v>1</v>
      </c>
      <c r="V686">
        <v>7</v>
      </c>
      <c r="W686">
        <f>IF(nba_draft[[#This Row],[years_played]]&gt;5,1,0)</f>
        <v>0</v>
      </c>
    </row>
    <row r="687" spans="1:23" x14ac:dyDescent="0.25">
      <c r="A687">
        <v>24</v>
      </c>
      <c r="B687" t="s">
        <v>75</v>
      </c>
      <c r="C687" t="s">
        <v>1081</v>
      </c>
      <c r="D687" t="s">
        <v>97</v>
      </c>
      <c r="E687">
        <v>4</v>
      </c>
      <c r="F687">
        <v>249</v>
      </c>
      <c r="G687">
        <v>5965</v>
      </c>
      <c r="H687">
        <v>2254</v>
      </c>
      <c r="I687">
        <v>608</v>
      </c>
      <c r="J687">
        <v>554</v>
      </c>
      <c r="K687">
        <v>0.39900000000000002</v>
      </c>
      <c r="L687">
        <v>0.36</v>
      </c>
      <c r="M687">
        <v>0.84</v>
      </c>
      <c r="N687">
        <v>14.2</v>
      </c>
      <c r="O687">
        <v>0.114</v>
      </c>
      <c r="P687">
        <v>2007</v>
      </c>
      <c r="Q687">
        <v>24</v>
      </c>
      <c r="R687">
        <v>9.1</v>
      </c>
      <c r="S687">
        <v>2.4</v>
      </c>
      <c r="T687">
        <v>2.2000000000000002</v>
      </c>
      <c r="U687">
        <v>1</v>
      </c>
      <c r="V687">
        <v>24</v>
      </c>
      <c r="W687">
        <f>IF(nba_draft[[#This Row],[years_played]]&gt;5,1,0)</f>
        <v>0</v>
      </c>
    </row>
    <row r="688" spans="1:23" x14ac:dyDescent="0.25">
      <c r="A688">
        <v>40</v>
      </c>
      <c r="B688" t="s">
        <v>88</v>
      </c>
      <c r="C688" t="s">
        <v>198</v>
      </c>
      <c r="D688" t="s">
        <v>42</v>
      </c>
      <c r="E688">
        <v>11</v>
      </c>
      <c r="F688">
        <v>499</v>
      </c>
      <c r="G688">
        <v>7275</v>
      </c>
      <c r="H688">
        <v>2253</v>
      </c>
      <c r="I688">
        <v>654</v>
      </c>
      <c r="J688">
        <v>1038</v>
      </c>
      <c r="K688">
        <v>0.41199999999999998</v>
      </c>
      <c r="L688">
        <v>0.31900000000000001</v>
      </c>
      <c r="M688">
        <v>0.81599999999999995</v>
      </c>
      <c r="N688">
        <v>2.5</v>
      </c>
      <c r="O688">
        <v>1.6E-2</v>
      </c>
      <c r="P688">
        <v>1991</v>
      </c>
      <c r="Q688">
        <v>14.6</v>
      </c>
      <c r="R688">
        <v>4.5</v>
      </c>
      <c r="S688">
        <v>1.3</v>
      </c>
      <c r="T688">
        <v>2.1</v>
      </c>
      <c r="U688">
        <v>2</v>
      </c>
      <c r="V688">
        <v>13</v>
      </c>
      <c r="W688">
        <f>IF(nba_draft[[#This Row],[years_played]]&gt;5,1,0)</f>
        <v>1</v>
      </c>
    </row>
    <row r="689" spans="1:23" x14ac:dyDescent="0.25">
      <c r="A689">
        <v>15</v>
      </c>
      <c r="B689" t="s">
        <v>55</v>
      </c>
      <c r="C689" t="s">
        <v>805</v>
      </c>
      <c r="D689" t="s">
        <v>97</v>
      </c>
      <c r="E689">
        <v>6</v>
      </c>
      <c r="F689">
        <v>317</v>
      </c>
      <c r="G689">
        <v>5628</v>
      </c>
      <c r="H689">
        <v>2252</v>
      </c>
      <c r="I689">
        <v>836</v>
      </c>
      <c r="J689">
        <v>283</v>
      </c>
      <c r="K689">
        <v>0.40600000000000003</v>
      </c>
      <c r="L689">
        <v>0.375</v>
      </c>
      <c r="M689">
        <v>0.78400000000000003</v>
      </c>
      <c r="N689">
        <v>8.6999999999999993</v>
      </c>
      <c r="O689">
        <v>7.3999999999999996E-2</v>
      </c>
      <c r="P689">
        <v>2002</v>
      </c>
      <c r="Q689">
        <v>17.8</v>
      </c>
      <c r="R689">
        <v>7.1</v>
      </c>
      <c r="S689">
        <v>2.6</v>
      </c>
      <c r="T689">
        <v>0.9</v>
      </c>
      <c r="U689">
        <v>1</v>
      </c>
      <c r="V689">
        <v>15</v>
      </c>
      <c r="W689">
        <f>IF(nba_draft[[#This Row],[years_played]]&gt;5,1,0)</f>
        <v>1</v>
      </c>
    </row>
    <row r="690" spans="1:23" x14ac:dyDescent="0.25">
      <c r="A690">
        <v>16</v>
      </c>
      <c r="B690" t="s">
        <v>395</v>
      </c>
      <c r="C690" t="s">
        <v>961</v>
      </c>
      <c r="D690" t="s">
        <v>206</v>
      </c>
      <c r="E690">
        <v>6</v>
      </c>
      <c r="F690">
        <v>377</v>
      </c>
      <c r="G690">
        <v>6117</v>
      </c>
      <c r="H690">
        <v>2239</v>
      </c>
      <c r="I690">
        <v>1058</v>
      </c>
      <c r="J690">
        <v>207</v>
      </c>
      <c r="K690">
        <v>0.48299999999999998</v>
      </c>
      <c r="L690">
        <v>0.3</v>
      </c>
      <c r="M690">
        <v>0.81499999999999995</v>
      </c>
      <c r="N690">
        <v>7.8</v>
      </c>
      <c r="O690">
        <v>6.0999999999999999E-2</v>
      </c>
      <c r="P690">
        <v>2005</v>
      </c>
      <c r="Q690">
        <v>16.2</v>
      </c>
      <c r="R690">
        <v>5.9</v>
      </c>
      <c r="S690">
        <v>2.8</v>
      </c>
      <c r="T690">
        <v>0.5</v>
      </c>
      <c r="U690">
        <v>1</v>
      </c>
      <c r="V690">
        <v>16</v>
      </c>
      <c r="W690">
        <f>IF(nba_draft[[#This Row],[years_played]]&gt;5,1,0)</f>
        <v>1</v>
      </c>
    </row>
    <row r="691" spans="1:23" x14ac:dyDescent="0.25">
      <c r="A691">
        <v>19</v>
      </c>
      <c r="B691" t="s">
        <v>88</v>
      </c>
      <c r="C691" t="s">
        <v>528</v>
      </c>
      <c r="D691" t="s">
        <v>108</v>
      </c>
      <c r="E691">
        <v>11</v>
      </c>
      <c r="F691">
        <v>506</v>
      </c>
      <c r="G691">
        <v>8372</v>
      </c>
      <c r="H691">
        <v>2222</v>
      </c>
      <c r="I691">
        <v>2351</v>
      </c>
      <c r="J691">
        <v>220</v>
      </c>
      <c r="K691">
        <v>0.49399999999999999</v>
      </c>
      <c r="L691">
        <v>0</v>
      </c>
      <c r="M691">
        <v>0.70899999999999996</v>
      </c>
      <c r="N691">
        <v>26.6</v>
      </c>
      <c r="O691">
        <v>0.153</v>
      </c>
      <c r="P691">
        <v>1997</v>
      </c>
      <c r="Q691">
        <v>16.5</v>
      </c>
      <c r="R691">
        <v>4.4000000000000004</v>
      </c>
      <c r="S691">
        <v>4.5999999999999996</v>
      </c>
      <c r="T691">
        <v>0.4</v>
      </c>
      <c r="U691">
        <v>1</v>
      </c>
      <c r="V691">
        <v>19</v>
      </c>
      <c r="W691">
        <f>IF(nba_draft[[#This Row],[years_played]]&gt;5,1,0)</f>
        <v>1</v>
      </c>
    </row>
    <row r="692" spans="1:23" x14ac:dyDescent="0.25">
      <c r="A692">
        <v>20</v>
      </c>
      <c r="B692" t="s">
        <v>395</v>
      </c>
      <c r="C692" t="s">
        <v>810</v>
      </c>
      <c r="D692" t="s">
        <v>151</v>
      </c>
      <c r="E692">
        <v>7</v>
      </c>
      <c r="F692">
        <v>346</v>
      </c>
      <c r="G692">
        <v>5956</v>
      </c>
      <c r="H692">
        <v>2213</v>
      </c>
      <c r="I692">
        <v>572</v>
      </c>
      <c r="J692">
        <v>353</v>
      </c>
      <c r="K692">
        <v>0.4</v>
      </c>
      <c r="L692">
        <v>0.35799999999999998</v>
      </c>
      <c r="M692">
        <v>0.70299999999999996</v>
      </c>
      <c r="N692">
        <v>1.7</v>
      </c>
      <c r="O692">
        <v>1.2999999999999999E-2</v>
      </c>
      <c r="P692">
        <v>2002</v>
      </c>
      <c r="Q692">
        <v>17.2</v>
      </c>
      <c r="R692">
        <v>6.4</v>
      </c>
      <c r="S692">
        <v>1.7</v>
      </c>
      <c r="T692">
        <v>1</v>
      </c>
      <c r="U692">
        <v>1</v>
      </c>
      <c r="V692">
        <v>20</v>
      </c>
      <c r="W692">
        <f>IF(nba_draft[[#This Row],[years_played]]&gt;5,1,0)</f>
        <v>1</v>
      </c>
    </row>
    <row r="693" spans="1:23" x14ac:dyDescent="0.25">
      <c r="A693">
        <v>37</v>
      </c>
      <c r="B693" t="s">
        <v>90</v>
      </c>
      <c r="C693" t="s">
        <v>981</v>
      </c>
      <c r="D693" t="s">
        <v>820</v>
      </c>
      <c r="E693">
        <v>10</v>
      </c>
      <c r="F693">
        <v>473</v>
      </c>
      <c r="G693">
        <v>8020</v>
      </c>
      <c r="H693">
        <v>2209</v>
      </c>
      <c r="I693">
        <v>1757</v>
      </c>
      <c r="J693">
        <v>618</v>
      </c>
      <c r="K693">
        <v>0.53300000000000003</v>
      </c>
      <c r="L693">
        <v>0</v>
      </c>
      <c r="M693">
        <v>0.63600000000000001</v>
      </c>
      <c r="N693">
        <v>19.2</v>
      </c>
      <c r="O693">
        <v>0.115</v>
      </c>
      <c r="P693">
        <v>2005</v>
      </c>
      <c r="Q693">
        <v>17</v>
      </c>
      <c r="R693">
        <v>4.7</v>
      </c>
      <c r="S693">
        <v>3.7</v>
      </c>
      <c r="T693">
        <v>1.3</v>
      </c>
      <c r="U693">
        <v>2</v>
      </c>
      <c r="V693">
        <v>7</v>
      </c>
      <c r="W693">
        <f>IF(nba_draft[[#This Row],[years_played]]&gt;5,1,0)</f>
        <v>1</v>
      </c>
    </row>
    <row r="694" spans="1:23" x14ac:dyDescent="0.25">
      <c r="A694">
        <v>25</v>
      </c>
      <c r="B694" t="s">
        <v>25</v>
      </c>
      <c r="C694" t="s">
        <v>970</v>
      </c>
      <c r="D694" t="s">
        <v>97</v>
      </c>
      <c r="E694">
        <v>8</v>
      </c>
      <c r="F694">
        <v>473</v>
      </c>
      <c r="G694">
        <v>7262</v>
      </c>
      <c r="H694">
        <v>2202</v>
      </c>
      <c r="I694">
        <v>1836</v>
      </c>
      <c r="J694">
        <v>227</v>
      </c>
      <c r="K694">
        <v>0.46200000000000002</v>
      </c>
      <c r="L694">
        <v>0.154</v>
      </c>
      <c r="M694">
        <v>0.67800000000000005</v>
      </c>
      <c r="N694">
        <v>5.5</v>
      </c>
      <c r="O694">
        <v>3.6999999999999998E-2</v>
      </c>
      <c r="P694">
        <v>2005</v>
      </c>
      <c r="Q694">
        <v>15.4</v>
      </c>
      <c r="R694">
        <v>4.7</v>
      </c>
      <c r="S694">
        <v>3.9</v>
      </c>
      <c r="T694">
        <v>0.5</v>
      </c>
      <c r="U694">
        <v>1</v>
      </c>
      <c r="V694">
        <v>25</v>
      </c>
      <c r="W694">
        <f>IF(nba_draft[[#This Row],[years_played]]&gt;5,1,0)</f>
        <v>1</v>
      </c>
    </row>
    <row r="695" spans="1:23" x14ac:dyDescent="0.25">
      <c r="A695">
        <v>23</v>
      </c>
      <c r="B695" t="s">
        <v>40</v>
      </c>
      <c r="C695" t="s">
        <v>80</v>
      </c>
      <c r="D695" t="s">
        <v>81</v>
      </c>
      <c r="E695">
        <v>6</v>
      </c>
      <c r="F695">
        <v>318</v>
      </c>
      <c r="G695">
        <v>7372</v>
      </c>
      <c r="H695">
        <v>2199</v>
      </c>
      <c r="I695">
        <v>1726</v>
      </c>
      <c r="J695">
        <v>442</v>
      </c>
      <c r="K695">
        <v>0.46800000000000003</v>
      </c>
      <c r="L695">
        <v>0.125</v>
      </c>
      <c r="M695">
        <v>0.59</v>
      </c>
      <c r="N695">
        <v>10.8</v>
      </c>
      <c r="O695">
        <v>7.0000000000000007E-2</v>
      </c>
      <c r="P695">
        <v>1990</v>
      </c>
      <c r="Q695">
        <v>23.2</v>
      </c>
      <c r="R695">
        <v>6.9</v>
      </c>
      <c r="S695">
        <v>5.4</v>
      </c>
      <c r="T695">
        <v>1.4</v>
      </c>
      <c r="U695">
        <v>1</v>
      </c>
      <c r="V695">
        <v>23</v>
      </c>
      <c r="W695">
        <f>IF(nba_draft[[#This Row],[years_played]]&gt;5,1,0)</f>
        <v>1</v>
      </c>
    </row>
    <row r="696" spans="1:23" x14ac:dyDescent="0.25">
      <c r="A696">
        <v>11</v>
      </c>
      <c r="B696" t="s">
        <v>25</v>
      </c>
      <c r="C696" t="s">
        <v>345</v>
      </c>
      <c r="D696" t="s">
        <v>346</v>
      </c>
      <c r="E696">
        <v>8</v>
      </c>
      <c r="F696">
        <v>298</v>
      </c>
      <c r="G696">
        <v>5654</v>
      </c>
      <c r="H696">
        <v>2196</v>
      </c>
      <c r="I696">
        <v>1272</v>
      </c>
      <c r="J696">
        <v>182</v>
      </c>
      <c r="K696">
        <v>0.53600000000000003</v>
      </c>
      <c r="L696">
        <v>0.25800000000000001</v>
      </c>
      <c r="M696">
        <v>0.56200000000000006</v>
      </c>
      <c r="N696">
        <v>11.1</v>
      </c>
      <c r="O696">
        <v>9.5000000000000001E-2</v>
      </c>
      <c r="P696">
        <v>1994</v>
      </c>
      <c r="Q696">
        <v>19</v>
      </c>
      <c r="R696">
        <v>7.4</v>
      </c>
      <c r="S696">
        <v>4.3</v>
      </c>
      <c r="T696">
        <v>0.6</v>
      </c>
      <c r="U696">
        <v>1</v>
      </c>
      <c r="V696">
        <v>11</v>
      </c>
      <c r="W696">
        <f>IF(nba_draft[[#This Row],[years_played]]&gt;5,1,0)</f>
        <v>1</v>
      </c>
    </row>
    <row r="697" spans="1:23" x14ac:dyDescent="0.25">
      <c r="A697">
        <v>48</v>
      </c>
      <c r="B697" t="s">
        <v>109</v>
      </c>
      <c r="C697" t="s">
        <v>559</v>
      </c>
      <c r="D697" t="s">
        <v>97</v>
      </c>
      <c r="E697">
        <v>4</v>
      </c>
      <c r="F697">
        <v>278</v>
      </c>
      <c r="G697">
        <v>5542</v>
      </c>
      <c r="H697">
        <v>2187</v>
      </c>
      <c r="I697">
        <v>973</v>
      </c>
      <c r="J697">
        <v>225</v>
      </c>
      <c r="K697">
        <v>0.42499999999999999</v>
      </c>
      <c r="L697">
        <v>0.34</v>
      </c>
      <c r="M697">
        <v>0.79900000000000004</v>
      </c>
      <c r="N697">
        <v>5.6</v>
      </c>
      <c r="O697">
        <v>4.8000000000000001E-2</v>
      </c>
      <c r="P697">
        <v>1997</v>
      </c>
      <c r="Q697">
        <v>19.899999999999999</v>
      </c>
      <c r="R697">
        <v>7.9</v>
      </c>
      <c r="S697">
        <v>3.5</v>
      </c>
      <c r="T697">
        <v>0.8</v>
      </c>
      <c r="U697">
        <v>2</v>
      </c>
      <c r="V697">
        <v>20</v>
      </c>
      <c r="W697">
        <f>IF(nba_draft[[#This Row],[years_played]]&gt;5,1,0)</f>
        <v>0</v>
      </c>
    </row>
    <row r="698" spans="1:23" x14ac:dyDescent="0.25">
      <c r="A698">
        <v>1</v>
      </c>
      <c r="B698" t="s">
        <v>863</v>
      </c>
      <c r="C698" t="s">
        <v>1712</v>
      </c>
      <c r="D698" t="s">
        <v>87</v>
      </c>
      <c r="E698">
        <v>2</v>
      </c>
      <c r="F698">
        <v>85</v>
      </c>
      <c r="G698">
        <v>2694</v>
      </c>
      <c r="H698">
        <v>2187</v>
      </c>
      <c r="I698">
        <v>591</v>
      </c>
      <c r="J698">
        <v>276</v>
      </c>
      <c r="K698">
        <v>0.60399999999999998</v>
      </c>
      <c r="L698">
        <v>0.33300000000000002</v>
      </c>
      <c r="M698">
        <v>0.68300000000000005</v>
      </c>
      <c r="N698">
        <v>10.6</v>
      </c>
      <c r="O698">
        <v>0.189</v>
      </c>
      <c r="P698">
        <v>2019</v>
      </c>
      <c r="Q698">
        <v>31.7</v>
      </c>
      <c r="R698">
        <v>25.7</v>
      </c>
      <c r="S698">
        <v>7</v>
      </c>
      <c r="T698">
        <v>3.2</v>
      </c>
      <c r="U698">
        <v>1</v>
      </c>
      <c r="V698">
        <v>1</v>
      </c>
      <c r="W698">
        <f>IF(nba_draft[[#This Row],[years_played]]&gt;5,1,0)</f>
        <v>0</v>
      </c>
    </row>
    <row r="699" spans="1:23" x14ac:dyDescent="0.25">
      <c r="A699">
        <v>32</v>
      </c>
      <c r="B699" t="s">
        <v>55</v>
      </c>
      <c r="C699" t="s">
        <v>1035</v>
      </c>
      <c r="D699" t="s">
        <v>137</v>
      </c>
      <c r="E699">
        <v>11</v>
      </c>
      <c r="F699">
        <v>467</v>
      </c>
      <c r="G699">
        <v>5657</v>
      </c>
      <c r="H699">
        <v>2177</v>
      </c>
      <c r="I699">
        <v>591</v>
      </c>
      <c r="J699">
        <v>132</v>
      </c>
      <c r="K699">
        <v>0.437</v>
      </c>
      <c r="L699">
        <v>0.43</v>
      </c>
      <c r="M699">
        <v>0.877</v>
      </c>
      <c r="N699">
        <v>14.5</v>
      </c>
      <c r="O699">
        <v>0.123</v>
      </c>
      <c r="P699">
        <v>2006</v>
      </c>
      <c r="Q699">
        <v>12.1</v>
      </c>
      <c r="R699">
        <v>4.7</v>
      </c>
      <c r="S699">
        <v>1.3</v>
      </c>
      <c r="T699">
        <v>0.3</v>
      </c>
      <c r="U699">
        <v>2</v>
      </c>
      <c r="V699">
        <v>2</v>
      </c>
      <c r="W699">
        <f>IF(nba_draft[[#This Row],[years_played]]&gt;5,1,0)</f>
        <v>1</v>
      </c>
    </row>
    <row r="700" spans="1:23" x14ac:dyDescent="0.25">
      <c r="A700">
        <v>7</v>
      </c>
      <c r="B700" t="s">
        <v>22</v>
      </c>
      <c r="C700" t="s">
        <v>746</v>
      </c>
      <c r="D700" t="s">
        <v>164</v>
      </c>
      <c r="E700">
        <v>5</v>
      </c>
      <c r="F700">
        <v>303</v>
      </c>
      <c r="G700">
        <v>6729</v>
      </c>
      <c r="H700">
        <v>2171</v>
      </c>
      <c r="I700">
        <v>1744</v>
      </c>
      <c r="J700">
        <v>236</v>
      </c>
      <c r="K700">
        <v>0.377</v>
      </c>
      <c r="L700">
        <v>0.315</v>
      </c>
      <c r="M700">
        <v>0.67100000000000004</v>
      </c>
      <c r="N700">
        <v>10.9</v>
      </c>
      <c r="O700">
        <v>7.8E-2</v>
      </c>
      <c r="P700">
        <v>2001</v>
      </c>
      <c r="Q700">
        <v>22.2</v>
      </c>
      <c r="R700">
        <v>7.2</v>
      </c>
      <c r="S700">
        <v>5.8</v>
      </c>
      <c r="T700">
        <v>0.8</v>
      </c>
      <c r="U700">
        <v>1</v>
      </c>
      <c r="V700">
        <v>7</v>
      </c>
      <c r="W700">
        <f>IF(nba_draft[[#This Row],[years_played]]&gt;5,1,0)</f>
        <v>0</v>
      </c>
    </row>
    <row r="701" spans="1:23" x14ac:dyDescent="0.25">
      <c r="A701">
        <v>12</v>
      </c>
      <c r="B701" t="s">
        <v>46</v>
      </c>
      <c r="C701" t="s">
        <v>347</v>
      </c>
      <c r="D701" t="s">
        <v>117</v>
      </c>
      <c r="E701">
        <v>6</v>
      </c>
      <c r="F701">
        <v>277</v>
      </c>
      <c r="G701">
        <v>5837</v>
      </c>
      <c r="H701">
        <v>2167</v>
      </c>
      <c r="I701">
        <v>580</v>
      </c>
      <c r="J701">
        <v>886</v>
      </c>
      <c r="K701">
        <v>0.41599999999999998</v>
      </c>
      <c r="L701">
        <v>0.36299999999999999</v>
      </c>
      <c r="M701">
        <v>0.74399999999999999</v>
      </c>
      <c r="N701">
        <v>8.4</v>
      </c>
      <c r="O701">
        <v>6.9000000000000006E-2</v>
      </c>
      <c r="P701">
        <v>1994</v>
      </c>
      <c r="Q701">
        <v>21.1</v>
      </c>
      <c r="R701">
        <v>7.8</v>
      </c>
      <c r="S701">
        <v>2.1</v>
      </c>
      <c r="T701">
        <v>3.2</v>
      </c>
      <c r="U701">
        <v>1</v>
      </c>
      <c r="V701">
        <v>12</v>
      </c>
      <c r="W701">
        <f>IF(nba_draft[[#This Row],[years_played]]&gt;5,1,0)</f>
        <v>1</v>
      </c>
    </row>
    <row r="702" spans="1:23" x14ac:dyDescent="0.25">
      <c r="A702">
        <v>47</v>
      </c>
      <c r="B702" t="s">
        <v>49</v>
      </c>
      <c r="C702" t="s">
        <v>1435</v>
      </c>
      <c r="D702" t="s">
        <v>97</v>
      </c>
      <c r="E702">
        <v>7</v>
      </c>
      <c r="F702">
        <v>366</v>
      </c>
      <c r="G702">
        <v>5884</v>
      </c>
      <c r="H702">
        <v>2167</v>
      </c>
      <c r="I702">
        <v>574</v>
      </c>
      <c r="J702">
        <v>753</v>
      </c>
      <c r="K702">
        <v>0.45300000000000001</v>
      </c>
      <c r="L702">
        <v>0.36299999999999999</v>
      </c>
      <c r="M702">
        <v>0.80100000000000005</v>
      </c>
      <c r="N702">
        <v>9.4</v>
      </c>
      <c r="O702">
        <v>7.5999999999999998E-2</v>
      </c>
      <c r="P702">
        <v>2013</v>
      </c>
      <c r="Q702">
        <v>16.100000000000001</v>
      </c>
      <c r="R702">
        <v>5.9</v>
      </c>
      <c r="S702">
        <v>1.6</v>
      </c>
      <c r="T702">
        <v>2.1</v>
      </c>
      <c r="U702">
        <v>2</v>
      </c>
      <c r="V702">
        <v>17</v>
      </c>
      <c r="W702">
        <f>IF(nba_draft[[#This Row],[years_played]]&gt;5,1,0)</f>
        <v>1</v>
      </c>
    </row>
    <row r="703" spans="1:23" x14ac:dyDescent="0.25">
      <c r="A703">
        <v>8</v>
      </c>
      <c r="B703" t="s">
        <v>40</v>
      </c>
      <c r="C703" t="s">
        <v>1548</v>
      </c>
      <c r="D703" t="s">
        <v>325</v>
      </c>
      <c r="E703">
        <v>6</v>
      </c>
      <c r="F703">
        <v>281</v>
      </c>
      <c r="G703">
        <v>5248</v>
      </c>
      <c r="H703">
        <v>2167</v>
      </c>
      <c r="I703">
        <v>1343</v>
      </c>
      <c r="J703">
        <v>293</v>
      </c>
      <c r="K703">
        <v>0.45600000000000002</v>
      </c>
      <c r="L703">
        <v>0.28999999999999998</v>
      </c>
      <c r="M703">
        <v>0.66600000000000004</v>
      </c>
      <c r="N703">
        <v>6.2</v>
      </c>
      <c r="O703">
        <v>5.6000000000000001E-2</v>
      </c>
      <c r="P703">
        <v>2016</v>
      </c>
      <c r="Q703">
        <v>18.7</v>
      </c>
      <c r="R703">
        <v>7.7</v>
      </c>
      <c r="S703">
        <v>4.8</v>
      </c>
      <c r="T703">
        <v>1</v>
      </c>
      <c r="U703">
        <v>1</v>
      </c>
      <c r="V703">
        <v>8</v>
      </c>
      <c r="W703">
        <f>IF(nba_draft[[#This Row],[years_played]]&gt;5,1,0)</f>
        <v>1</v>
      </c>
    </row>
    <row r="704" spans="1:23" x14ac:dyDescent="0.25">
      <c r="A704">
        <v>6</v>
      </c>
      <c r="B704" t="s">
        <v>63</v>
      </c>
      <c r="C704" t="s">
        <v>1061</v>
      </c>
      <c r="D704" t="s">
        <v>97</v>
      </c>
      <c r="E704">
        <v>5</v>
      </c>
      <c r="F704">
        <v>272</v>
      </c>
      <c r="G704">
        <v>6038</v>
      </c>
      <c r="H704">
        <v>2148</v>
      </c>
      <c r="I704">
        <v>1339</v>
      </c>
      <c r="J704">
        <v>192</v>
      </c>
      <c r="K704">
        <v>0.40400000000000003</v>
      </c>
      <c r="L704">
        <v>0.33300000000000002</v>
      </c>
      <c r="M704">
        <v>0.78</v>
      </c>
      <c r="N704">
        <v>3.1</v>
      </c>
      <c r="O704">
        <v>2.5000000000000001E-2</v>
      </c>
      <c r="P704">
        <v>2007</v>
      </c>
      <c r="Q704">
        <v>22.2</v>
      </c>
      <c r="R704">
        <v>7.9</v>
      </c>
      <c r="S704">
        <v>4.9000000000000004</v>
      </c>
      <c r="T704">
        <v>0.7</v>
      </c>
      <c r="U704">
        <v>1</v>
      </c>
      <c r="V704">
        <v>6</v>
      </c>
      <c r="W704">
        <f>IF(nba_draft[[#This Row],[years_played]]&gt;5,1,0)</f>
        <v>0</v>
      </c>
    </row>
    <row r="705" spans="1:23" x14ac:dyDescent="0.25">
      <c r="A705">
        <v>6</v>
      </c>
      <c r="B705" t="s">
        <v>49</v>
      </c>
      <c r="C705" t="s">
        <v>688</v>
      </c>
      <c r="D705" t="s">
        <v>310</v>
      </c>
      <c r="E705">
        <v>7</v>
      </c>
      <c r="F705">
        <v>344</v>
      </c>
      <c r="G705">
        <v>5930</v>
      </c>
      <c r="H705">
        <v>2121</v>
      </c>
      <c r="I705">
        <v>769</v>
      </c>
      <c r="J705">
        <v>304</v>
      </c>
      <c r="K705">
        <v>0.41099999999999998</v>
      </c>
      <c r="L705">
        <v>0.33600000000000002</v>
      </c>
      <c r="M705">
        <v>0.78900000000000003</v>
      </c>
      <c r="N705">
        <v>6.4</v>
      </c>
      <c r="O705">
        <v>5.1999999999999998E-2</v>
      </c>
      <c r="P705">
        <v>2000</v>
      </c>
      <c r="Q705">
        <v>17.2</v>
      </c>
      <c r="R705">
        <v>6.2</v>
      </c>
      <c r="S705">
        <v>2.2000000000000002</v>
      </c>
      <c r="T705">
        <v>0.9</v>
      </c>
      <c r="U705">
        <v>1</v>
      </c>
      <c r="V705">
        <v>6</v>
      </c>
      <c r="W705">
        <f>IF(nba_draft[[#This Row],[years_played]]&gt;5,1,0)</f>
        <v>1</v>
      </c>
    </row>
    <row r="706" spans="1:23" x14ac:dyDescent="0.25">
      <c r="A706">
        <v>21</v>
      </c>
      <c r="B706" t="s">
        <v>102</v>
      </c>
      <c r="C706" t="s">
        <v>1078</v>
      </c>
      <c r="D706" t="s">
        <v>216</v>
      </c>
      <c r="E706">
        <v>6</v>
      </c>
      <c r="F706">
        <v>328</v>
      </c>
      <c r="G706">
        <v>5993</v>
      </c>
      <c r="H706">
        <v>2114</v>
      </c>
      <c r="I706">
        <v>703</v>
      </c>
      <c r="J706">
        <v>243</v>
      </c>
      <c r="K706">
        <v>0.36899999999999999</v>
      </c>
      <c r="L706">
        <v>0.35899999999999999</v>
      </c>
      <c r="M706">
        <v>0.81299999999999994</v>
      </c>
      <c r="N706">
        <v>4.9000000000000004</v>
      </c>
      <c r="O706">
        <v>3.9E-2</v>
      </c>
      <c r="P706">
        <v>2007</v>
      </c>
      <c r="Q706">
        <v>18.3</v>
      </c>
      <c r="R706">
        <v>6.4</v>
      </c>
      <c r="S706">
        <v>2.1</v>
      </c>
      <c r="T706">
        <v>0.7</v>
      </c>
      <c r="U706">
        <v>1</v>
      </c>
      <c r="V706">
        <v>21</v>
      </c>
      <c r="W706">
        <f>IF(nba_draft[[#This Row],[years_played]]&gt;5,1,0)</f>
        <v>1</v>
      </c>
    </row>
    <row r="707" spans="1:23" x14ac:dyDescent="0.25">
      <c r="A707">
        <v>26</v>
      </c>
      <c r="B707" t="s">
        <v>102</v>
      </c>
      <c r="C707" t="s">
        <v>1678</v>
      </c>
      <c r="D707" t="s">
        <v>1476</v>
      </c>
      <c r="E707">
        <v>4</v>
      </c>
      <c r="F707">
        <v>238</v>
      </c>
      <c r="G707">
        <v>5548</v>
      </c>
      <c r="H707">
        <v>2112</v>
      </c>
      <c r="I707">
        <v>432</v>
      </c>
      <c r="J707">
        <v>386</v>
      </c>
      <c r="K707">
        <v>0.40799999999999997</v>
      </c>
      <c r="L707">
        <v>0.39</v>
      </c>
      <c r="M707">
        <v>0.83699999999999997</v>
      </c>
      <c r="N707">
        <v>9.6999999999999993</v>
      </c>
      <c r="O707">
        <v>8.4000000000000005E-2</v>
      </c>
      <c r="P707">
        <v>2018</v>
      </c>
      <c r="Q707">
        <v>23.3</v>
      </c>
      <c r="R707">
        <v>8.9</v>
      </c>
      <c r="S707">
        <v>1.8</v>
      </c>
      <c r="T707">
        <v>1.6</v>
      </c>
      <c r="U707">
        <v>1</v>
      </c>
      <c r="V707">
        <v>26</v>
      </c>
      <c r="W707">
        <f>IF(nba_draft[[#This Row],[years_played]]&gt;5,1,0)</f>
        <v>0</v>
      </c>
    </row>
    <row r="708" spans="1:23" x14ac:dyDescent="0.25">
      <c r="A708">
        <v>44</v>
      </c>
      <c r="B708" t="s">
        <v>88</v>
      </c>
      <c r="C708" t="s">
        <v>729</v>
      </c>
      <c r="D708" t="s">
        <v>119</v>
      </c>
      <c r="E708">
        <v>12</v>
      </c>
      <c r="F708">
        <v>456</v>
      </c>
      <c r="G708">
        <v>6477</v>
      </c>
      <c r="H708">
        <v>2108</v>
      </c>
      <c r="I708">
        <v>1050</v>
      </c>
      <c r="J708">
        <v>465</v>
      </c>
      <c r="K708">
        <v>0.40799999999999997</v>
      </c>
      <c r="L708">
        <v>0.372</v>
      </c>
      <c r="M708">
        <v>0.86099999999999999</v>
      </c>
      <c r="N708">
        <v>15.4</v>
      </c>
      <c r="O708">
        <v>0.114</v>
      </c>
      <c r="P708">
        <v>2000</v>
      </c>
      <c r="Q708">
        <v>14.2</v>
      </c>
      <c r="R708">
        <v>4.5999999999999996</v>
      </c>
      <c r="S708">
        <v>2.2999999999999998</v>
      </c>
      <c r="T708">
        <v>1</v>
      </c>
      <c r="U708">
        <v>2</v>
      </c>
      <c r="V708">
        <v>15</v>
      </c>
      <c r="W708">
        <f>IF(nba_draft[[#This Row],[years_played]]&gt;5,1,0)</f>
        <v>1</v>
      </c>
    </row>
    <row r="709" spans="1:23" x14ac:dyDescent="0.25">
      <c r="A709">
        <v>53</v>
      </c>
      <c r="B709" t="s">
        <v>104</v>
      </c>
      <c r="C709" t="s">
        <v>788</v>
      </c>
      <c r="D709" t="s">
        <v>226</v>
      </c>
      <c r="E709">
        <v>10</v>
      </c>
      <c r="F709">
        <v>542</v>
      </c>
      <c r="G709">
        <v>8542</v>
      </c>
      <c r="H709">
        <v>2095</v>
      </c>
      <c r="I709">
        <v>1579</v>
      </c>
      <c r="J709">
        <v>419</v>
      </c>
      <c r="K709">
        <v>0.45500000000000002</v>
      </c>
      <c r="L709">
        <v>0</v>
      </c>
      <c r="M709">
        <v>0.69899999999999995</v>
      </c>
      <c r="N709">
        <v>15.7</v>
      </c>
      <c r="O709">
        <v>8.7999999999999995E-2</v>
      </c>
      <c r="P709">
        <v>2001</v>
      </c>
      <c r="Q709">
        <v>15.8</v>
      </c>
      <c r="R709">
        <v>3.9</v>
      </c>
      <c r="S709">
        <v>2.9</v>
      </c>
      <c r="T709">
        <v>0.8</v>
      </c>
      <c r="U709">
        <v>2</v>
      </c>
      <c r="V709">
        <v>24</v>
      </c>
      <c r="W709">
        <f>IF(nba_draft[[#This Row],[years_played]]&gt;5,1,0)</f>
        <v>1</v>
      </c>
    </row>
    <row r="710" spans="1:23" x14ac:dyDescent="0.25">
      <c r="A710">
        <v>6</v>
      </c>
      <c r="B710" t="s">
        <v>149</v>
      </c>
      <c r="C710" t="s">
        <v>569</v>
      </c>
      <c r="D710" t="s">
        <v>51</v>
      </c>
      <c r="E710">
        <v>7</v>
      </c>
      <c r="F710">
        <v>438</v>
      </c>
      <c r="G710">
        <v>6243</v>
      </c>
      <c r="H710">
        <v>2085</v>
      </c>
      <c r="I710">
        <v>1640</v>
      </c>
      <c r="J710">
        <v>312</v>
      </c>
      <c r="K710">
        <v>0.47399999999999998</v>
      </c>
      <c r="L710">
        <v>0.16700000000000001</v>
      </c>
      <c r="M710">
        <v>0.57699999999999996</v>
      </c>
      <c r="N710">
        <v>13.3</v>
      </c>
      <c r="O710">
        <v>0.10199999999999999</v>
      </c>
      <c r="P710">
        <v>1998</v>
      </c>
      <c r="Q710">
        <v>14.3</v>
      </c>
      <c r="R710">
        <v>4.8</v>
      </c>
      <c r="S710">
        <v>3.7</v>
      </c>
      <c r="T710">
        <v>0.7</v>
      </c>
      <c r="U710">
        <v>1</v>
      </c>
      <c r="V710">
        <v>6</v>
      </c>
      <c r="W710">
        <f>IF(nba_draft[[#This Row],[years_played]]&gt;5,1,0)</f>
        <v>1</v>
      </c>
    </row>
    <row r="711" spans="1:23" x14ac:dyDescent="0.25">
      <c r="A711">
        <v>35</v>
      </c>
      <c r="B711" t="s">
        <v>102</v>
      </c>
      <c r="C711" t="s">
        <v>1530</v>
      </c>
      <c r="D711" t="s">
        <v>97</v>
      </c>
      <c r="E711">
        <v>6</v>
      </c>
      <c r="F711">
        <v>287</v>
      </c>
      <c r="G711">
        <v>4356</v>
      </c>
      <c r="H711">
        <v>2084</v>
      </c>
      <c r="I711">
        <v>1677</v>
      </c>
      <c r="J711">
        <v>308</v>
      </c>
      <c r="K711">
        <v>0.53700000000000003</v>
      </c>
      <c r="L711">
        <v>0.314</v>
      </c>
      <c r="M711">
        <v>0.69199999999999995</v>
      </c>
      <c r="N711">
        <v>13.4</v>
      </c>
      <c r="O711">
        <v>0.14799999999999999</v>
      </c>
      <c r="P711">
        <v>2015</v>
      </c>
      <c r="Q711">
        <v>15.2</v>
      </c>
      <c r="R711">
        <v>7.3</v>
      </c>
      <c r="S711">
        <v>5.8</v>
      </c>
      <c r="T711">
        <v>1.1000000000000001</v>
      </c>
      <c r="U711">
        <v>2</v>
      </c>
      <c r="V711">
        <v>5</v>
      </c>
      <c r="W711">
        <f>IF(nba_draft[[#This Row],[years_played]]&gt;5,1,0)</f>
        <v>1</v>
      </c>
    </row>
    <row r="712" spans="1:23" x14ac:dyDescent="0.25">
      <c r="A712">
        <v>9</v>
      </c>
      <c r="B712" t="s">
        <v>70</v>
      </c>
      <c r="C712" t="s">
        <v>343</v>
      </c>
      <c r="D712" t="s">
        <v>179</v>
      </c>
      <c r="E712">
        <v>8</v>
      </c>
      <c r="F712">
        <v>465</v>
      </c>
      <c r="G712">
        <v>8479</v>
      </c>
      <c r="H712">
        <v>2071</v>
      </c>
      <c r="I712">
        <v>2159</v>
      </c>
      <c r="J712">
        <v>207</v>
      </c>
      <c r="K712">
        <v>0.49</v>
      </c>
      <c r="L712">
        <v>0</v>
      </c>
      <c r="M712">
        <v>0.47799999999999998</v>
      </c>
      <c r="N712">
        <v>8.5</v>
      </c>
      <c r="O712">
        <v>4.8000000000000001E-2</v>
      </c>
      <c r="P712">
        <v>1994</v>
      </c>
      <c r="Q712">
        <v>18.2</v>
      </c>
      <c r="R712">
        <v>4.5</v>
      </c>
      <c r="S712">
        <v>4.5999999999999996</v>
      </c>
      <c r="T712">
        <v>0.4</v>
      </c>
      <c r="U712">
        <v>1</v>
      </c>
      <c r="V712">
        <v>9</v>
      </c>
      <c r="W712">
        <f>IF(nba_draft[[#This Row],[years_played]]&gt;5,1,0)</f>
        <v>1</v>
      </c>
    </row>
    <row r="713" spans="1:23" x14ac:dyDescent="0.25">
      <c r="A713">
        <v>13</v>
      </c>
      <c r="B713" t="s">
        <v>393</v>
      </c>
      <c r="C713" t="s">
        <v>858</v>
      </c>
      <c r="D713" t="s">
        <v>142</v>
      </c>
      <c r="E713">
        <v>8</v>
      </c>
      <c r="F713">
        <v>348</v>
      </c>
      <c r="G713">
        <v>5571</v>
      </c>
      <c r="H713">
        <v>2061</v>
      </c>
      <c r="I713">
        <v>519</v>
      </c>
      <c r="J713">
        <v>728</v>
      </c>
      <c r="K713">
        <v>0.432</v>
      </c>
      <c r="L713">
        <v>0.32700000000000001</v>
      </c>
      <c r="M713">
        <v>0.76800000000000002</v>
      </c>
      <c r="N713">
        <v>6.6</v>
      </c>
      <c r="O713">
        <v>5.7000000000000002E-2</v>
      </c>
      <c r="P713">
        <v>2003</v>
      </c>
      <c r="Q713">
        <v>16</v>
      </c>
      <c r="R713">
        <v>5.9</v>
      </c>
      <c r="S713">
        <v>1.5</v>
      </c>
      <c r="T713">
        <v>2.1</v>
      </c>
      <c r="U713">
        <v>1</v>
      </c>
      <c r="V713">
        <v>13</v>
      </c>
      <c r="W713">
        <f>IF(nba_draft[[#This Row],[years_played]]&gt;5,1,0)</f>
        <v>1</v>
      </c>
    </row>
    <row r="714" spans="1:23" x14ac:dyDescent="0.25">
      <c r="A714">
        <v>12</v>
      </c>
      <c r="B714" t="s">
        <v>149</v>
      </c>
      <c r="C714" t="s">
        <v>401</v>
      </c>
      <c r="D714" t="s">
        <v>87</v>
      </c>
      <c r="E714">
        <v>9</v>
      </c>
      <c r="F714">
        <v>472</v>
      </c>
      <c r="G714">
        <v>7459</v>
      </c>
      <c r="H714">
        <v>2056</v>
      </c>
      <c r="I714">
        <v>1703</v>
      </c>
      <c r="J714">
        <v>265</v>
      </c>
      <c r="K714">
        <v>0.47</v>
      </c>
      <c r="L714">
        <v>0.21099999999999999</v>
      </c>
      <c r="M714">
        <v>0.63</v>
      </c>
      <c r="N714">
        <v>11.8</v>
      </c>
      <c r="O714">
        <v>7.5999999999999998E-2</v>
      </c>
      <c r="P714">
        <v>1995</v>
      </c>
      <c r="Q714">
        <v>15.8</v>
      </c>
      <c r="R714">
        <v>4.4000000000000004</v>
      </c>
      <c r="S714">
        <v>3.6</v>
      </c>
      <c r="T714">
        <v>0.6</v>
      </c>
      <c r="U714">
        <v>1</v>
      </c>
      <c r="V714">
        <v>12</v>
      </c>
      <c r="W714">
        <f>IF(nba_draft[[#This Row],[years_played]]&gt;5,1,0)</f>
        <v>1</v>
      </c>
    </row>
    <row r="715" spans="1:23" x14ac:dyDescent="0.25">
      <c r="A715">
        <v>24</v>
      </c>
      <c r="B715" t="s">
        <v>85</v>
      </c>
      <c r="C715" t="s">
        <v>1676</v>
      </c>
      <c r="D715" t="s">
        <v>97</v>
      </c>
      <c r="E715">
        <v>4</v>
      </c>
      <c r="F715">
        <v>207</v>
      </c>
      <c r="G715">
        <v>4249</v>
      </c>
      <c r="H715">
        <v>2055</v>
      </c>
      <c r="I715">
        <v>448</v>
      </c>
      <c r="J715">
        <v>404</v>
      </c>
      <c r="K715">
        <v>0.42499999999999999</v>
      </c>
      <c r="L715">
        <v>0.39</v>
      </c>
      <c r="M715">
        <v>0.82799999999999996</v>
      </c>
      <c r="N715">
        <v>4.5999999999999996</v>
      </c>
      <c r="O715">
        <v>5.1999999999999998E-2</v>
      </c>
      <c r="P715">
        <v>2018</v>
      </c>
      <c r="Q715">
        <v>20.5</v>
      </c>
      <c r="R715">
        <v>9.9</v>
      </c>
      <c r="S715">
        <v>2.2000000000000002</v>
      </c>
      <c r="T715">
        <v>2</v>
      </c>
      <c r="U715">
        <v>1</v>
      </c>
      <c r="V715">
        <v>24</v>
      </c>
      <c r="W715">
        <f>IF(nba_draft[[#This Row],[years_played]]&gt;5,1,0)</f>
        <v>0</v>
      </c>
    </row>
    <row r="716" spans="1:23" x14ac:dyDescent="0.25">
      <c r="A716">
        <v>51</v>
      </c>
      <c r="B716" t="s">
        <v>40</v>
      </c>
      <c r="C716" t="s">
        <v>385</v>
      </c>
      <c r="D716" t="s">
        <v>216</v>
      </c>
      <c r="E716">
        <v>7</v>
      </c>
      <c r="F716">
        <v>318</v>
      </c>
      <c r="G716">
        <v>4726</v>
      </c>
      <c r="H716">
        <v>2031</v>
      </c>
      <c r="I716">
        <v>1142</v>
      </c>
      <c r="J716">
        <v>183</v>
      </c>
      <c r="K716">
        <v>0.50600000000000001</v>
      </c>
      <c r="L716">
        <v>0.11799999999999999</v>
      </c>
      <c r="M716">
        <v>0.67500000000000004</v>
      </c>
      <c r="N716">
        <v>12.9</v>
      </c>
      <c r="O716">
        <v>0.13100000000000001</v>
      </c>
      <c r="P716">
        <v>1994</v>
      </c>
      <c r="Q716">
        <v>14.9</v>
      </c>
      <c r="R716">
        <v>6.4</v>
      </c>
      <c r="S716">
        <v>3.6</v>
      </c>
      <c r="T716">
        <v>0.6</v>
      </c>
      <c r="U716">
        <v>2</v>
      </c>
      <c r="V716">
        <v>24</v>
      </c>
      <c r="W716">
        <f>IF(nba_draft[[#This Row],[years_played]]&gt;5,1,0)</f>
        <v>1</v>
      </c>
    </row>
    <row r="717" spans="1:23" x14ac:dyDescent="0.25">
      <c r="A717">
        <v>2</v>
      </c>
      <c r="B717" t="s">
        <v>40</v>
      </c>
      <c r="C717" t="s">
        <v>1653</v>
      </c>
      <c r="D717" t="s">
        <v>87</v>
      </c>
      <c r="E717">
        <v>4</v>
      </c>
      <c r="F717">
        <v>150</v>
      </c>
      <c r="G717">
        <v>3713</v>
      </c>
      <c r="H717">
        <v>2010</v>
      </c>
      <c r="I717">
        <v>1115</v>
      </c>
      <c r="J717">
        <v>133</v>
      </c>
      <c r="K717">
        <v>0.49299999999999999</v>
      </c>
      <c r="L717">
        <v>0.29799999999999999</v>
      </c>
      <c r="M717">
        <v>0.66500000000000004</v>
      </c>
      <c r="N717">
        <v>6.3</v>
      </c>
      <c r="O717">
        <v>8.1000000000000003E-2</v>
      </c>
      <c r="P717">
        <v>2018</v>
      </c>
      <c r="Q717">
        <v>24.8</v>
      </c>
      <c r="R717">
        <v>13.4</v>
      </c>
      <c r="S717">
        <v>7.4</v>
      </c>
      <c r="T717">
        <v>0.9</v>
      </c>
      <c r="U717">
        <v>1</v>
      </c>
      <c r="V717">
        <v>2</v>
      </c>
      <c r="W717">
        <f>IF(nba_draft[[#This Row],[years_played]]&gt;5,1,0)</f>
        <v>0</v>
      </c>
    </row>
    <row r="718" spans="1:23" x14ac:dyDescent="0.25">
      <c r="A718">
        <v>12</v>
      </c>
      <c r="B718" t="s">
        <v>43</v>
      </c>
      <c r="C718" t="s">
        <v>802</v>
      </c>
      <c r="D718" t="s">
        <v>609</v>
      </c>
      <c r="E718">
        <v>9</v>
      </c>
      <c r="F718">
        <v>375</v>
      </c>
      <c r="G718">
        <v>6005</v>
      </c>
      <c r="H718">
        <v>1992</v>
      </c>
      <c r="I718">
        <v>1215</v>
      </c>
      <c r="J718">
        <v>261</v>
      </c>
      <c r="K718">
        <v>0.46</v>
      </c>
      <c r="L718">
        <v>0</v>
      </c>
      <c r="M718">
        <v>0.625</v>
      </c>
      <c r="N718">
        <v>4</v>
      </c>
      <c r="O718">
        <v>3.2000000000000001E-2</v>
      </c>
      <c r="P718">
        <v>2002</v>
      </c>
      <c r="Q718">
        <v>16</v>
      </c>
      <c r="R718">
        <v>5.3</v>
      </c>
      <c r="S718">
        <v>3.2</v>
      </c>
      <c r="T718">
        <v>0.7</v>
      </c>
      <c r="U718">
        <v>1</v>
      </c>
      <c r="V718">
        <v>12</v>
      </c>
      <c r="W718">
        <f>IF(nba_draft[[#This Row],[years_played]]&gt;5,1,0)</f>
        <v>1</v>
      </c>
    </row>
    <row r="719" spans="1:23" x14ac:dyDescent="0.25">
      <c r="A719">
        <v>56</v>
      </c>
      <c r="B719" t="s">
        <v>75</v>
      </c>
      <c r="C719" t="s">
        <v>446</v>
      </c>
      <c r="D719" t="s">
        <v>447</v>
      </c>
      <c r="E719">
        <v>6</v>
      </c>
      <c r="F719">
        <v>297</v>
      </c>
      <c r="G719">
        <v>4505</v>
      </c>
      <c r="H719">
        <v>1988</v>
      </c>
      <c r="I719">
        <v>658</v>
      </c>
      <c r="J719">
        <v>294</v>
      </c>
      <c r="K719">
        <v>0.41599999999999998</v>
      </c>
      <c r="L719">
        <v>0.33800000000000002</v>
      </c>
      <c r="M719">
        <v>0.80700000000000005</v>
      </c>
      <c r="N719">
        <v>3.9</v>
      </c>
      <c r="O719">
        <v>4.2000000000000003E-2</v>
      </c>
      <c r="P719">
        <v>1995</v>
      </c>
      <c r="Q719">
        <v>15.2</v>
      </c>
      <c r="R719">
        <v>6.7</v>
      </c>
      <c r="S719">
        <v>2.2000000000000002</v>
      </c>
      <c r="T719">
        <v>1</v>
      </c>
      <c r="U719">
        <v>2</v>
      </c>
      <c r="V719">
        <v>27</v>
      </c>
      <c r="W719">
        <f>IF(nba_draft[[#This Row],[years_played]]&gt;5,1,0)</f>
        <v>1</v>
      </c>
    </row>
    <row r="720" spans="1:23" x14ac:dyDescent="0.25">
      <c r="A720">
        <v>28</v>
      </c>
      <c r="B720" t="s">
        <v>52</v>
      </c>
      <c r="C720" t="s">
        <v>1740</v>
      </c>
      <c r="D720" t="s">
        <v>51</v>
      </c>
      <c r="E720">
        <v>3</v>
      </c>
      <c r="F720">
        <v>161</v>
      </c>
      <c r="G720">
        <v>3791</v>
      </c>
      <c r="H720">
        <v>1982</v>
      </c>
      <c r="I720">
        <v>375</v>
      </c>
      <c r="J720">
        <v>417</v>
      </c>
      <c r="K720">
        <v>0.40400000000000003</v>
      </c>
      <c r="L720">
        <v>0.32500000000000001</v>
      </c>
      <c r="M720">
        <v>0.874</v>
      </c>
      <c r="N720">
        <v>4.2</v>
      </c>
      <c r="O720">
        <v>5.3999999999999999E-2</v>
      </c>
      <c r="P720">
        <v>2019</v>
      </c>
      <c r="Q720">
        <v>23.5</v>
      </c>
      <c r="R720">
        <v>12.3</v>
      </c>
      <c r="S720">
        <v>2.2999999999999998</v>
      </c>
      <c r="T720">
        <v>2.6</v>
      </c>
      <c r="U720">
        <v>1</v>
      </c>
      <c r="V720">
        <v>28</v>
      </c>
      <c r="W720">
        <f>IF(nba_draft[[#This Row],[years_played]]&gt;5,1,0)</f>
        <v>0</v>
      </c>
    </row>
    <row r="721" spans="1:23" x14ac:dyDescent="0.25">
      <c r="A721">
        <v>6</v>
      </c>
      <c r="B721" t="s">
        <v>102</v>
      </c>
      <c r="C721" t="s">
        <v>340</v>
      </c>
      <c r="D721" t="s">
        <v>92</v>
      </c>
      <c r="E721">
        <v>4</v>
      </c>
      <c r="F721">
        <v>203</v>
      </c>
      <c r="G721">
        <v>4531</v>
      </c>
      <c r="H721">
        <v>1974</v>
      </c>
      <c r="I721">
        <v>1023</v>
      </c>
      <c r="J721">
        <v>118</v>
      </c>
      <c r="K721">
        <v>0.45600000000000002</v>
      </c>
      <c r="L721">
        <v>8.3000000000000004E-2</v>
      </c>
      <c r="M721">
        <v>0.61799999999999999</v>
      </c>
      <c r="N721">
        <v>1.4</v>
      </c>
      <c r="O721">
        <v>1.4999999999999999E-2</v>
      </c>
      <c r="P721">
        <v>1994</v>
      </c>
      <c r="Q721">
        <v>22.3</v>
      </c>
      <c r="R721">
        <v>9.6999999999999993</v>
      </c>
      <c r="S721">
        <v>5</v>
      </c>
      <c r="T721">
        <v>0.6</v>
      </c>
      <c r="U721">
        <v>1</v>
      </c>
      <c r="V721">
        <v>6</v>
      </c>
      <c r="W721">
        <f>IF(nba_draft[[#This Row],[years_played]]&gt;5,1,0)</f>
        <v>0</v>
      </c>
    </row>
    <row r="722" spans="1:23" x14ac:dyDescent="0.25">
      <c r="A722">
        <v>26</v>
      </c>
      <c r="B722" t="s">
        <v>102</v>
      </c>
      <c r="C722" t="s">
        <v>1566</v>
      </c>
      <c r="D722" t="s">
        <v>97</v>
      </c>
      <c r="E722">
        <v>5</v>
      </c>
      <c r="F722">
        <v>240</v>
      </c>
      <c r="G722">
        <v>4603</v>
      </c>
      <c r="H722">
        <v>1961</v>
      </c>
      <c r="I722">
        <v>553</v>
      </c>
      <c r="J722">
        <v>333</v>
      </c>
      <c r="K722">
        <v>0.40699999999999997</v>
      </c>
      <c r="L722">
        <v>0.35899999999999999</v>
      </c>
      <c r="M722">
        <v>0.77300000000000002</v>
      </c>
      <c r="N722">
        <v>7.3</v>
      </c>
      <c r="O722">
        <v>7.5999999999999998E-2</v>
      </c>
      <c r="P722">
        <v>2016</v>
      </c>
      <c r="Q722">
        <v>19.2</v>
      </c>
      <c r="R722">
        <v>8.1999999999999993</v>
      </c>
      <c r="S722">
        <v>2.2999999999999998</v>
      </c>
      <c r="T722">
        <v>1.4</v>
      </c>
      <c r="U722">
        <v>1</v>
      </c>
      <c r="V722">
        <v>26</v>
      </c>
      <c r="W722">
        <f>IF(nba_draft[[#This Row],[years_played]]&gt;5,1,0)</f>
        <v>0</v>
      </c>
    </row>
    <row r="723" spans="1:23" x14ac:dyDescent="0.25">
      <c r="A723">
        <v>15</v>
      </c>
      <c r="B723" t="s">
        <v>49</v>
      </c>
      <c r="C723" t="s">
        <v>163</v>
      </c>
      <c r="D723" t="s">
        <v>164</v>
      </c>
      <c r="E723">
        <v>6</v>
      </c>
      <c r="F723">
        <v>352</v>
      </c>
      <c r="G723">
        <v>6729</v>
      </c>
      <c r="H723">
        <v>1958</v>
      </c>
      <c r="I723">
        <v>1584</v>
      </c>
      <c r="J723">
        <v>278</v>
      </c>
      <c r="K723">
        <v>0.40300000000000002</v>
      </c>
      <c r="L723">
        <v>0</v>
      </c>
      <c r="M723">
        <v>0.68600000000000005</v>
      </c>
      <c r="N723">
        <v>0.3</v>
      </c>
      <c r="O723">
        <v>2E-3</v>
      </c>
      <c r="P723">
        <v>1991</v>
      </c>
      <c r="Q723">
        <v>19.100000000000001</v>
      </c>
      <c r="R723">
        <v>5.6</v>
      </c>
      <c r="S723">
        <v>4.5</v>
      </c>
      <c r="T723">
        <v>0.8</v>
      </c>
      <c r="U723">
        <v>1</v>
      </c>
      <c r="V723">
        <v>15</v>
      </c>
      <c r="W723">
        <f>IF(nba_draft[[#This Row],[years_played]]&gt;5,1,0)</f>
        <v>1</v>
      </c>
    </row>
    <row r="724" spans="1:23" x14ac:dyDescent="0.25">
      <c r="A724">
        <v>12</v>
      </c>
      <c r="B724" t="s">
        <v>34</v>
      </c>
      <c r="C724" t="s">
        <v>1723</v>
      </c>
      <c r="D724" t="s">
        <v>282</v>
      </c>
      <c r="E724">
        <v>3</v>
      </c>
      <c r="F724">
        <v>165</v>
      </c>
      <c r="G724">
        <v>4805</v>
      </c>
      <c r="H724">
        <v>1955</v>
      </c>
      <c r="I724">
        <v>976</v>
      </c>
      <c r="J724">
        <v>370</v>
      </c>
      <c r="K724">
        <v>0.44600000000000001</v>
      </c>
      <c r="L724">
        <v>0.38</v>
      </c>
      <c r="M724">
        <v>0.70199999999999996</v>
      </c>
      <c r="N724">
        <v>6.7</v>
      </c>
      <c r="O724">
        <v>6.7000000000000004E-2</v>
      </c>
      <c r="P724">
        <v>2019</v>
      </c>
      <c r="Q724">
        <v>29.1</v>
      </c>
      <c r="R724">
        <v>11.8</v>
      </c>
      <c r="S724">
        <v>5.9</v>
      </c>
      <c r="T724">
        <v>2.2000000000000002</v>
      </c>
      <c r="U724">
        <v>1</v>
      </c>
      <c r="V724">
        <v>12</v>
      </c>
      <c r="W724">
        <f>IF(nba_draft[[#This Row],[years_played]]&gt;5,1,0)</f>
        <v>0</v>
      </c>
    </row>
    <row r="725" spans="1:23" x14ac:dyDescent="0.25">
      <c r="A725">
        <v>43</v>
      </c>
      <c r="B725" t="s">
        <v>109</v>
      </c>
      <c r="C725" t="s">
        <v>614</v>
      </c>
      <c r="D725" t="s">
        <v>146</v>
      </c>
      <c r="E725">
        <v>7</v>
      </c>
      <c r="F725">
        <v>334</v>
      </c>
      <c r="G725">
        <v>5913</v>
      </c>
      <c r="H725">
        <v>1954</v>
      </c>
      <c r="I725">
        <v>1944</v>
      </c>
      <c r="J725">
        <v>63</v>
      </c>
      <c r="K725">
        <v>0.51</v>
      </c>
      <c r="L725">
        <v>0</v>
      </c>
      <c r="M725">
        <v>0.53400000000000003</v>
      </c>
      <c r="N725">
        <v>10.4</v>
      </c>
      <c r="O725">
        <v>8.5000000000000006E-2</v>
      </c>
      <c r="P725">
        <v>1998</v>
      </c>
      <c r="Q725">
        <v>17.7</v>
      </c>
      <c r="R725">
        <v>5.9</v>
      </c>
      <c r="S725">
        <v>5.8</v>
      </c>
      <c r="T725">
        <v>0.2</v>
      </c>
      <c r="U725">
        <v>2</v>
      </c>
      <c r="V725">
        <v>14</v>
      </c>
      <c r="W725">
        <f>IF(nba_draft[[#This Row],[years_played]]&gt;5,1,0)</f>
        <v>1</v>
      </c>
    </row>
    <row r="726" spans="1:23" x14ac:dyDescent="0.25">
      <c r="A726">
        <v>42</v>
      </c>
      <c r="B726" t="s">
        <v>28</v>
      </c>
      <c r="C726" t="s">
        <v>123</v>
      </c>
      <c r="D726" t="s">
        <v>36</v>
      </c>
      <c r="E726">
        <v>4</v>
      </c>
      <c r="F726">
        <v>267</v>
      </c>
      <c r="G726">
        <v>4568</v>
      </c>
      <c r="H726">
        <v>1942</v>
      </c>
      <c r="I726">
        <v>925</v>
      </c>
      <c r="J726">
        <v>244</v>
      </c>
      <c r="K726">
        <v>0.41699999999999998</v>
      </c>
      <c r="L726">
        <v>0.34</v>
      </c>
      <c r="M726">
        <v>0.66400000000000003</v>
      </c>
      <c r="N726">
        <v>4</v>
      </c>
      <c r="O726">
        <v>4.2000000000000003E-2</v>
      </c>
      <c r="P726">
        <v>1990</v>
      </c>
      <c r="Q726">
        <v>17.100000000000001</v>
      </c>
      <c r="R726">
        <v>7.3</v>
      </c>
      <c r="S726">
        <v>3.5</v>
      </c>
      <c r="T726">
        <v>0.9</v>
      </c>
      <c r="U726">
        <v>2</v>
      </c>
      <c r="V726">
        <v>15</v>
      </c>
      <c r="W726">
        <f>IF(nba_draft[[#This Row],[years_played]]&gt;5,1,0)</f>
        <v>0</v>
      </c>
    </row>
    <row r="727" spans="1:23" x14ac:dyDescent="0.25">
      <c r="A727">
        <v>14</v>
      </c>
      <c r="B727" t="s">
        <v>25</v>
      </c>
      <c r="C727" t="s">
        <v>1509</v>
      </c>
      <c r="D727" t="s">
        <v>265</v>
      </c>
      <c r="E727">
        <v>7</v>
      </c>
      <c r="F727">
        <v>261</v>
      </c>
      <c r="G727">
        <v>4531</v>
      </c>
      <c r="H727">
        <v>1924</v>
      </c>
      <c r="I727">
        <v>559</v>
      </c>
      <c r="J727">
        <v>767</v>
      </c>
      <c r="K727">
        <v>0.42099999999999999</v>
      </c>
      <c r="L727">
        <v>0.36499999999999999</v>
      </c>
      <c r="M727">
        <v>0.83499999999999996</v>
      </c>
      <c r="N727">
        <v>7.1</v>
      </c>
      <c r="O727">
        <v>7.4999999999999997E-2</v>
      </c>
      <c r="P727">
        <v>2015</v>
      </c>
      <c r="Q727">
        <v>17.399999999999999</v>
      </c>
      <c r="R727">
        <v>7.4</v>
      </c>
      <c r="S727">
        <v>2.1</v>
      </c>
      <c r="T727">
        <v>2.9</v>
      </c>
      <c r="U727">
        <v>1</v>
      </c>
      <c r="V727">
        <v>14</v>
      </c>
      <c r="W727">
        <f>IF(nba_draft[[#This Row],[years_played]]&gt;5,1,0)</f>
        <v>1</v>
      </c>
    </row>
    <row r="728" spans="1:23" x14ac:dyDescent="0.25">
      <c r="A728">
        <v>50</v>
      </c>
      <c r="B728" t="s">
        <v>34</v>
      </c>
      <c r="C728" t="s">
        <v>1050</v>
      </c>
      <c r="D728" t="s">
        <v>113</v>
      </c>
      <c r="E728">
        <v>10</v>
      </c>
      <c r="F728">
        <v>518</v>
      </c>
      <c r="G728">
        <v>6134</v>
      </c>
      <c r="H728">
        <v>1913</v>
      </c>
      <c r="I728">
        <v>1140</v>
      </c>
      <c r="J728">
        <v>151</v>
      </c>
      <c r="K728">
        <v>0.58399999999999996</v>
      </c>
      <c r="L728">
        <v>0</v>
      </c>
      <c r="M728">
        <v>0.64900000000000002</v>
      </c>
      <c r="N728">
        <v>10.4</v>
      </c>
      <c r="O728">
        <v>8.1000000000000003E-2</v>
      </c>
      <c r="P728">
        <v>2006</v>
      </c>
      <c r="Q728">
        <v>11.8</v>
      </c>
      <c r="R728">
        <v>3.7</v>
      </c>
      <c r="S728">
        <v>2.2000000000000002</v>
      </c>
      <c r="T728">
        <v>0.3</v>
      </c>
      <c r="U728">
        <v>2</v>
      </c>
      <c r="V728">
        <v>20</v>
      </c>
      <c r="W728">
        <f>IF(nba_draft[[#This Row],[years_played]]&gt;5,1,0)</f>
        <v>1</v>
      </c>
    </row>
    <row r="729" spans="1:23" x14ac:dyDescent="0.25">
      <c r="A729">
        <v>34</v>
      </c>
      <c r="B729" t="s">
        <v>55</v>
      </c>
      <c r="C729" t="s">
        <v>1420</v>
      </c>
      <c r="D729" t="s">
        <v>265</v>
      </c>
      <c r="E729">
        <v>6</v>
      </c>
      <c r="F729">
        <v>235</v>
      </c>
      <c r="G729">
        <v>4799</v>
      </c>
      <c r="H729">
        <v>1913</v>
      </c>
      <c r="I729">
        <v>438</v>
      </c>
      <c r="J729">
        <v>454</v>
      </c>
      <c r="K729">
        <v>0.371</v>
      </c>
      <c r="L729">
        <v>0.35099999999999998</v>
      </c>
      <c r="M729">
        <v>0.83599999999999997</v>
      </c>
      <c r="N729">
        <v>4.3</v>
      </c>
      <c r="O729">
        <v>4.2999999999999997E-2</v>
      </c>
      <c r="P729">
        <v>2013</v>
      </c>
      <c r="Q729">
        <v>20.399999999999999</v>
      </c>
      <c r="R729">
        <v>8.1</v>
      </c>
      <c r="S729">
        <v>1.9</v>
      </c>
      <c r="T729">
        <v>1.9</v>
      </c>
      <c r="U729">
        <v>2</v>
      </c>
      <c r="V729">
        <v>4</v>
      </c>
      <c r="W729">
        <f>IF(nba_draft[[#This Row],[years_played]]&gt;5,1,0)</f>
        <v>1</v>
      </c>
    </row>
    <row r="730" spans="1:23" x14ac:dyDescent="0.25">
      <c r="A730">
        <v>25</v>
      </c>
      <c r="B730" t="s">
        <v>43</v>
      </c>
      <c r="C730" t="s">
        <v>364</v>
      </c>
      <c r="D730" t="s">
        <v>39</v>
      </c>
      <c r="E730">
        <v>5</v>
      </c>
      <c r="F730">
        <v>277</v>
      </c>
      <c r="G730">
        <v>5144</v>
      </c>
      <c r="H730">
        <v>1902</v>
      </c>
      <c r="I730">
        <v>741</v>
      </c>
      <c r="J730">
        <v>384</v>
      </c>
      <c r="K730">
        <v>0.47799999999999998</v>
      </c>
      <c r="L730">
        <v>0.22600000000000001</v>
      </c>
      <c r="M730">
        <v>0.76700000000000002</v>
      </c>
      <c r="N730">
        <v>8.1999999999999993</v>
      </c>
      <c r="O730">
        <v>7.6999999999999999E-2</v>
      </c>
      <c r="P730">
        <v>1994</v>
      </c>
      <c r="Q730">
        <v>18.600000000000001</v>
      </c>
      <c r="R730">
        <v>6.9</v>
      </c>
      <c r="S730">
        <v>2.7</v>
      </c>
      <c r="T730">
        <v>1.4</v>
      </c>
      <c r="U730">
        <v>1</v>
      </c>
      <c r="V730">
        <v>25</v>
      </c>
      <c r="W730">
        <f>IF(nba_draft[[#This Row],[years_played]]&gt;5,1,0)</f>
        <v>0</v>
      </c>
    </row>
    <row r="731" spans="1:23" x14ac:dyDescent="0.25">
      <c r="A731">
        <v>29</v>
      </c>
      <c r="B731" t="s">
        <v>82</v>
      </c>
      <c r="C731" t="s">
        <v>1741</v>
      </c>
      <c r="D731" t="s">
        <v>282</v>
      </c>
      <c r="E731">
        <v>3</v>
      </c>
      <c r="F731">
        <v>141</v>
      </c>
      <c r="G731">
        <v>3989</v>
      </c>
      <c r="H731">
        <v>1898</v>
      </c>
      <c r="I731">
        <v>797</v>
      </c>
      <c r="J731">
        <v>237</v>
      </c>
      <c r="K731">
        <v>0.48099999999999998</v>
      </c>
      <c r="L731">
        <v>0.39600000000000002</v>
      </c>
      <c r="M731">
        <v>0.749</v>
      </c>
      <c r="N731">
        <v>7.6</v>
      </c>
      <c r="O731">
        <v>9.0999999999999998E-2</v>
      </c>
      <c r="P731">
        <v>2019</v>
      </c>
      <c r="Q731">
        <v>28.3</v>
      </c>
      <c r="R731">
        <v>13.5</v>
      </c>
      <c r="S731">
        <v>5.7</v>
      </c>
      <c r="T731">
        <v>1.7</v>
      </c>
      <c r="U731">
        <v>1</v>
      </c>
      <c r="V731">
        <v>29</v>
      </c>
      <c r="W731">
        <f>IF(nba_draft[[#This Row],[years_played]]&gt;5,1,0)</f>
        <v>0</v>
      </c>
    </row>
    <row r="732" spans="1:23" x14ac:dyDescent="0.25">
      <c r="A732">
        <v>34</v>
      </c>
      <c r="B732" t="s">
        <v>95</v>
      </c>
      <c r="C732" t="s">
        <v>600</v>
      </c>
      <c r="D732" t="s">
        <v>179</v>
      </c>
      <c r="E732">
        <v>7</v>
      </c>
      <c r="F732">
        <v>325</v>
      </c>
      <c r="G732">
        <v>5351</v>
      </c>
      <c r="H732">
        <v>1892</v>
      </c>
      <c r="I732">
        <v>518</v>
      </c>
      <c r="J732">
        <v>765</v>
      </c>
      <c r="K732">
        <v>0.40100000000000002</v>
      </c>
      <c r="L732">
        <v>0.36599999999999999</v>
      </c>
      <c r="M732">
        <v>0.79800000000000004</v>
      </c>
      <c r="N732">
        <v>8.8000000000000007</v>
      </c>
      <c r="O732">
        <v>7.9000000000000001E-2</v>
      </c>
      <c r="P732">
        <v>1998</v>
      </c>
      <c r="Q732">
        <v>16.5</v>
      </c>
      <c r="R732">
        <v>5.8</v>
      </c>
      <c r="S732">
        <v>1.6</v>
      </c>
      <c r="T732">
        <v>2.4</v>
      </c>
      <c r="U732">
        <v>2</v>
      </c>
      <c r="V732">
        <v>5</v>
      </c>
      <c r="W732">
        <f>IF(nba_draft[[#This Row],[years_played]]&gt;5,1,0)</f>
        <v>1</v>
      </c>
    </row>
    <row r="733" spans="1:23" x14ac:dyDescent="0.25">
      <c r="A733">
        <v>5</v>
      </c>
      <c r="B733" t="s">
        <v>37</v>
      </c>
      <c r="C733" t="s">
        <v>1545</v>
      </c>
      <c r="D733" t="s">
        <v>175</v>
      </c>
      <c r="E733">
        <v>5</v>
      </c>
      <c r="F733">
        <v>231</v>
      </c>
      <c r="G733">
        <v>5561</v>
      </c>
      <c r="H733">
        <v>1889</v>
      </c>
      <c r="I733">
        <v>766</v>
      </c>
      <c r="J733">
        <v>950</v>
      </c>
      <c r="K733">
        <v>0.42</v>
      </c>
      <c r="L733">
        <v>0.30499999999999999</v>
      </c>
      <c r="M733">
        <v>0.72699999999999998</v>
      </c>
      <c r="N733">
        <v>3.7</v>
      </c>
      <c r="O733">
        <v>3.2000000000000001E-2</v>
      </c>
      <c r="P733">
        <v>2016</v>
      </c>
      <c r="Q733">
        <v>24.1</v>
      </c>
      <c r="R733">
        <v>8.1999999999999993</v>
      </c>
      <c r="S733">
        <v>3.3</v>
      </c>
      <c r="T733">
        <v>4.0999999999999996</v>
      </c>
      <c r="U733">
        <v>1</v>
      </c>
      <c r="V733">
        <v>5</v>
      </c>
      <c r="W733">
        <f>IF(nba_draft[[#This Row],[years_played]]&gt;5,1,0)</f>
        <v>0</v>
      </c>
    </row>
    <row r="734" spans="1:23" x14ac:dyDescent="0.25">
      <c r="A734">
        <v>44</v>
      </c>
      <c r="B734" t="s">
        <v>138</v>
      </c>
      <c r="C734" t="s">
        <v>555</v>
      </c>
      <c r="D734" t="s">
        <v>196</v>
      </c>
      <c r="E734">
        <v>5</v>
      </c>
      <c r="F734">
        <v>260</v>
      </c>
      <c r="G734">
        <v>6182</v>
      </c>
      <c r="H734">
        <v>1885</v>
      </c>
      <c r="I734">
        <v>755</v>
      </c>
      <c r="J734">
        <v>419</v>
      </c>
      <c r="K734">
        <v>0.436</v>
      </c>
      <c r="L734">
        <v>0.14000000000000001</v>
      </c>
      <c r="M734">
        <v>0.71499999999999997</v>
      </c>
      <c r="N734">
        <v>3.3</v>
      </c>
      <c r="O734">
        <v>2.5999999999999999E-2</v>
      </c>
      <c r="P734">
        <v>1997</v>
      </c>
      <c r="Q734">
        <v>23.8</v>
      </c>
      <c r="R734">
        <v>7.3</v>
      </c>
      <c r="S734">
        <v>2.9</v>
      </c>
      <c r="T734">
        <v>1.6</v>
      </c>
      <c r="U734">
        <v>2</v>
      </c>
      <c r="V734">
        <v>16</v>
      </c>
      <c r="W734">
        <f>IF(nba_draft[[#This Row],[years_played]]&gt;5,1,0)</f>
        <v>0</v>
      </c>
    </row>
    <row r="735" spans="1:23" x14ac:dyDescent="0.25">
      <c r="A735">
        <v>28</v>
      </c>
      <c r="B735" t="s">
        <v>104</v>
      </c>
      <c r="C735" t="s">
        <v>660</v>
      </c>
      <c r="D735" t="s">
        <v>282</v>
      </c>
      <c r="E735">
        <v>8</v>
      </c>
      <c r="F735">
        <v>448</v>
      </c>
      <c r="G735">
        <v>5613</v>
      </c>
      <c r="H735">
        <v>1874</v>
      </c>
      <c r="I735">
        <v>1227</v>
      </c>
      <c r="J735">
        <v>325</v>
      </c>
      <c r="K735">
        <v>0.41</v>
      </c>
      <c r="L735">
        <v>0.373</v>
      </c>
      <c r="M735">
        <v>0.73599999999999999</v>
      </c>
      <c r="N735">
        <v>13.2</v>
      </c>
      <c r="O735">
        <v>0.113</v>
      </c>
      <c r="P735">
        <v>1999</v>
      </c>
      <c r="Q735">
        <v>12.5</v>
      </c>
      <c r="R735">
        <v>4.2</v>
      </c>
      <c r="S735">
        <v>2.7</v>
      </c>
      <c r="T735">
        <v>0.7</v>
      </c>
      <c r="U735">
        <v>1</v>
      </c>
      <c r="V735">
        <v>28</v>
      </c>
      <c r="W735">
        <f>IF(nba_draft[[#This Row],[years_played]]&gt;5,1,0)</f>
        <v>1</v>
      </c>
    </row>
    <row r="736" spans="1:23" x14ac:dyDescent="0.25">
      <c r="A736">
        <v>3</v>
      </c>
      <c r="B736" t="s">
        <v>34</v>
      </c>
      <c r="C736" t="s">
        <v>1774</v>
      </c>
      <c r="D736" t="s">
        <v>97</v>
      </c>
      <c r="E736">
        <v>2</v>
      </c>
      <c r="F736">
        <v>104</v>
      </c>
      <c r="G736">
        <v>3202</v>
      </c>
      <c r="H736">
        <v>1865</v>
      </c>
      <c r="I736">
        <v>678</v>
      </c>
      <c r="J736">
        <v>713</v>
      </c>
      <c r="K736">
        <v>0.42899999999999999</v>
      </c>
      <c r="L736">
        <v>0.36099999999999999</v>
      </c>
      <c r="M736">
        <v>0.81100000000000005</v>
      </c>
      <c r="N736">
        <v>7.1</v>
      </c>
      <c r="O736">
        <v>0.106</v>
      </c>
      <c r="P736">
        <v>2020</v>
      </c>
      <c r="Q736">
        <v>30.8</v>
      </c>
      <c r="R736">
        <v>17.899999999999999</v>
      </c>
      <c r="S736">
        <v>6.5</v>
      </c>
      <c r="T736">
        <v>6.9</v>
      </c>
      <c r="U736">
        <v>1</v>
      </c>
      <c r="V736">
        <v>3</v>
      </c>
      <c r="W736">
        <f>IF(nba_draft[[#This Row],[years_played]]&gt;5,1,0)</f>
        <v>0</v>
      </c>
    </row>
    <row r="737" spans="1:23" x14ac:dyDescent="0.25">
      <c r="A737">
        <v>24</v>
      </c>
      <c r="B737" t="s">
        <v>102</v>
      </c>
      <c r="C737" t="s">
        <v>1564</v>
      </c>
      <c r="D737" t="s">
        <v>97</v>
      </c>
      <c r="E737">
        <v>6</v>
      </c>
      <c r="F737">
        <v>312</v>
      </c>
      <c r="G737">
        <v>5021</v>
      </c>
      <c r="H737">
        <v>1859</v>
      </c>
      <c r="I737">
        <v>623</v>
      </c>
      <c r="J737">
        <v>279</v>
      </c>
      <c r="K737">
        <v>0.39</v>
      </c>
      <c r="L737">
        <v>0.33400000000000002</v>
      </c>
      <c r="M737">
        <v>0.82799999999999996</v>
      </c>
      <c r="N737">
        <v>4.3</v>
      </c>
      <c r="O737">
        <v>4.1000000000000002E-2</v>
      </c>
      <c r="P737">
        <v>2016</v>
      </c>
      <c r="Q737">
        <v>16.100000000000001</v>
      </c>
      <c r="R737">
        <v>6</v>
      </c>
      <c r="S737">
        <v>2</v>
      </c>
      <c r="T737">
        <v>0.9</v>
      </c>
      <c r="U737">
        <v>1</v>
      </c>
      <c r="V737">
        <v>24</v>
      </c>
      <c r="W737">
        <f>IF(nba_draft[[#This Row],[years_played]]&gt;5,1,0)</f>
        <v>1</v>
      </c>
    </row>
    <row r="738" spans="1:23" x14ac:dyDescent="0.25">
      <c r="A738">
        <v>50</v>
      </c>
      <c r="B738" t="s">
        <v>102</v>
      </c>
      <c r="C738" t="s">
        <v>1322</v>
      </c>
      <c r="D738" t="s">
        <v>69</v>
      </c>
      <c r="E738">
        <v>6</v>
      </c>
      <c r="F738">
        <v>388</v>
      </c>
      <c r="G738">
        <v>6905</v>
      </c>
      <c r="H738">
        <v>1847</v>
      </c>
      <c r="I738">
        <v>1843</v>
      </c>
      <c r="J738">
        <v>384</v>
      </c>
      <c r="K738">
        <v>0.47099999999999997</v>
      </c>
      <c r="L738">
        <v>0.13300000000000001</v>
      </c>
      <c r="M738">
        <v>0.68200000000000005</v>
      </c>
      <c r="N738">
        <v>13.8</v>
      </c>
      <c r="O738">
        <v>9.6000000000000002E-2</v>
      </c>
      <c r="P738">
        <v>2011</v>
      </c>
      <c r="Q738">
        <v>17.8</v>
      </c>
      <c r="R738">
        <v>4.8</v>
      </c>
      <c r="S738">
        <v>4.8</v>
      </c>
      <c r="T738">
        <v>1</v>
      </c>
      <c r="U738">
        <v>2</v>
      </c>
      <c r="V738">
        <v>20</v>
      </c>
      <c r="W738">
        <f>IF(nba_draft[[#This Row],[years_played]]&gt;5,1,0)</f>
        <v>1</v>
      </c>
    </row>
    <row r="739" spans="1:23" x14ac:dyDescent="0.25">
      <c r="A739">
        <v>20</v>
      </c>
      <c r="B739" t="s">
        <v>37</v>
      </c>
      <c r="C739" t="s">
        <v>1288</v>
      </c>
      <c r="D739" t="s">
        <v>97</v>
      </c>
      <c r="E739">
        <v>6</v>
      </c>
      <c r="F739">
        <v>251</v>
      </c>
      <c r="G739">
        <v>4566</v>
      </c>
      <c r="H739">
        <v>1832</v>
      </c>
      <c r="I739">
        <v>952</v>
      </c>
      <c r="J739">
        <v>269</v>
      </c>
      <c r="K739">
        <v>0.46899999999999997</v>
      </c>
      <c r="L739">
        <v>0.3</v>
      </c>
      <c r="M739">
        <v>0.59699999999999998</v>
      </c>
      <c r="N739">
        <v>7.1</v>
      </c>
      <c r="O739">
        <v>7.4999999999999997E-2</v>
      </c>
      <c r="P739">
        <v>2011</v>
      </c>
      <c r="Q739">
        <v>18.2</v>
      </c>
      <c r="R739">
        <v>7.3</v>
      </c>
      <c r="S739">
        <v>3.8</v>
      </c>
      <c r="T739">
        <v>1.1000000000000001</v>
      </c>
      <c r="U739">
        <v>1</v>
      </c>
      <c r="V739">
        <v>20</v>
      </c>
      <c r="W739">
        <f>IF(nba_draft[[#This Row],[years_played]]&gt;5,1,0)</f>
        <v>1</v>
      </c>
    </row>
    <row r="740" spans="1:23" x14ac:dyDescent="0.25">
      <c r="A740">
        <v>11</v>
      </c>
      <c r="B740" t="s">
        <v>40</v>
      </c>
      <c r="C740" t="s">
        <v>518</v>
      </c>
      <c r="D740" t="s">
        <v>519</v>
      </c>
      <c r="E740">
        <v>6</v>
      </c>
      <c r="F740">
        <v>236</v>
      </c>
      <c r="G740">
        <v>4807</v>
      </c>
      <c r="H740">
        <v>1830</v>
      </c>
      <c r="I740">
        <v>776</v>
      </c>
      <c r="J740">
        <v>266</v>
      </c>
      <c r="K740">
        <v>0.41699999999999998</v>
      </c>
      <c r="L740">
        <v>0.23699999999999999</v>
      </c>
      <c r="M740">
        <v>0.70299999999999996</v>
      </c>
      <c r="N740">
        <v>3.5</v>
      </c>
      <c r="O740">
        <v>3.5000000000000003E-2</v>
      </c>
      <c r="P740">
        <v>1997</v>
      </c>
      <c r="Q740">
        <v>20.399999999999999</v>
      </c>
      <c r="R740">
        <v>7.8</v>
      </c>
      <c r="S740">
        <v>3.3</v>
      </c>
      <c r="T740">
        <v>1.1000000000000001</v>
      </c>
      <c r="U740">
        <v>1</v>
      </c>
      <c r="V740">
        <v>11</v>
      </c>
      <c r="W740">
        <f>IF(nba_draft[[#This Row],[years_played]]&gt;5,1,0)</f>
        <v>1</v>
      </c>
    </row>
    <row r="741" spans="1:23" x14ac:dyDescent="0.25">
      <c r="A741">
        <v>16</v>
      </c>
      <c r="B741" t="s">
        <v>37</v>
      </c>
      <c r="C741" t="s">
        <v>1233</v>
      </c>
      <c r="D741" t="s">
        <v>912</v>
      </c>
      <c r="E741">
        <v>8</v>
      </c>
      <c r="F741">
        <v>381</v>
      </c>
      <c r="G741">
        <v>5332</v>
      </c>
      <c r="H741">
        <v>1818</v>
      </c>
      <c r="I741">
        <v>846</v>
      </c>
      <c r="J741">
        <v>224</v>
      </c>
      <c r="K741">
        <v>0.40799999999999997</v>
      </c>
      <c r="L741">
        <v>0.40200000000000002</v>
      </c>
      <c r="M741">
        <v>0.747</v>
      </c>
      <c r="N741">
        <v>7.2</v>
      </c>
      <c r="O741">
        <v>6.5000000000000002E-2</v>
      </c>
      <c r="P741">
        <v>2010</v>
      </c>
      <c r="Q741">
        <v>14</v>
      </c>
      <c r="R741">
        <v>4.8</v>
      </c>
      <c r="S741">
        <v>2.2000000000000002</v>
      </c>
      <c r="T741">
        <v>0.6</v>
      </c>
      <c r="U741">
        <v>1</v>
      </c>
      <c r="V741">
        <v>16</v>
      </c>
      <c r="W741">
        <f>IF(nba_draft[[#This Row],[years_played]]&gt;5,1,0)</f>
        <v>1</v>
      </c>
    </row>
    <row r="742" spans="1:23" x14ac:dyDescent="0.25">
      <c r="A742">
        <v>15</v>
      </c>
      <c r="B742" t="s">
        <v>31</v>
      </c>
      <c r="C742" t="s">
        <v>755</v>
      </c>
      <c r="D742" t="s">
        <v>701</v>
      </c>
      <c r="E742">
        <v>8</v>
      </c>
      <c r="F742">
        <v>400</v>
      </c>
      <c r="G742">
        <v>5993</v>
      </c>
      <c r="H742">
        <v>1817</v>
      </c>
      <c r="I742">
        <v>1264</v>
      </c>
      <c r="J742">
        <v>79</v>
      </c>
      <c r="K742">
        <v>0.56000000000000005</v>
      </c>
      <c r="L742">
        <v>0</v>
      </c>
      <c r="M742">
        <v>0.48499999999999999</v>
      </c>
      <c r="N742">
        <v>10.6</v>
      </c>
      <c r="O742">
        <v>8.5000000000000006E-2</v>
      </c>
      <c r="P742">
        <v>2001</v>
      </c>
      <c r="Q742">
        <v>15</v>
      </c>
      <c r="R742">
        <v>4.5</v>
      </c>
      <c r="S742">
        <v>3.2</v>
      </c>
      <c r="T742">
        <v>0.2</v>
      </c>
      <c r="U742">
        <v>1</v>
      </c>
      <c r="V742">
        <v>15</v>
      </c>
      <c r="W742">
        <f>IF(nba_draft[[#This Row],[years_played]]&gt;5,1,0)</f>
        <v>1</v>
      </c>
    </row>
    <row r="743" spans="1:23" x14ac:dyDescent="0.25">
      <c r="A743">
        <v>33</v>
      </c>
      <c r="B743" t="s">
        <v>95</v>
      </c>
      <c r="C743" t="s">
        <v>718</v>
      </c>
      <c r="D743" t="s">
        <v>79</v>
      </c>
      <c r="E743">
        <v>9</v>
      </c>
      <c r="F743">
        <v>450</v>
      </c>
      <c r="G743">
        <v>6443</v>
      </c>
      <c r="H743">
        <v>1814</v>
      </c>
      <c r="I743">
        <v>1539</v>
      </c>
      <c r="J743">
        <v>237</v>
      </c>
      <c r="K743">
        <v>0.48699999999999999</v>
      </c>
      <c r="L743">
        <v>0.33300000000000002</v>
      </c>
      <c r="M743">
        <v>0.71399999999999997</v>
      </c>
      <c r="N743">
        <v>11.6</v>
      </c>
      <c r="O743">
        <v>8.6999999999999994E-2</v>
      </c>
      <c r="P743">
        <v>2000</v>
      </c>
      <c r="Q743">
        <v>14.3</v>
      </c>
      <c r="R743">
        <v>4</v>
      </c>
      <c r="S743">
        <v>3.4</v>
      </c>
      <c r="T743">
        <v>0.5</v>
      </c>
      <c r="U743">
        <v>2</v>
      </c>
      <c r="V743">
        <v>4</v>
      </c>
      <c r="W743">
        <f>IF(nba_draft[[#This Row],[years_played]]&gt;5,1,0)</f>
        <v>1</v>
      </c>
    </row>
    <row r="744" spans="1:23" x14ac:dyDescent="0.25">
      <c r="A744">
        <v>40</v>
      </c>
      <c r="B744" t="s">
        <v>37</v>
      </c>
      <c r="C744" t="s">
        <v>1481</v>
      </c>
      <c r="D744" t="s">
        <v>51</v>
      </c>
      <c r="E744">
        <v>7</v>
      </c>
      <c r="F744">
        <v>304</v>
      </c>
      <c r="G744">
        <v>5299</v>
      </c>
      <c r="H744">
        <v>1804</v>
      </c>
      <c r="I744">
        <v>776</v>
      </c>
      <c r="J744">
        <v>238</v>
      </c>
      <c r="K744">
        <v>0.45700000000000002</v>
      </c>
      <c r="L744">
        <v>0.373</v>
      </c>
      <c r="M744">
        <v>0.77900000000000003</v>
      </c>
      <c r="N744">
        <v>7.9</v>
      </c>
      <c r="O744">
        <v>7.0999999999999994E-2</v>
      </c>
      <c r="P744">
        <v>2014</v>
      </c>
      <c r="Q744">
        <v>17.399999999999999</v>
      </c>
      <c r="R744">
        <v>5.9</v>
      </c>
      <c r="S744">
        <v>2.6</v>
      </c>
      <c r="T744">
        <v>0.8</v>
      </c>
      <c r="U744">
        <v>2</v>
      </c>
      <c r="V744">
        <v>10</v>
      </c>
      <c r="W744">
        <f>IF(nba_draft[[#This Row],[years_played]]&gt;5,1,0)</f>
        <v>1</v>
      </c>
    </row>
    <row r="745" spans="1:23" x14ac:dyDescent="0.25">
      <c r="A745">
        <v>12</v>
      </c>
      <c r="B745" t="s">
        <v>46</v>
      </c>
      <c r="C745" t="s">
        <v>229</v>
      </c>
      <c r="D745" t="s">
        <v>230</v>
      </c>
      <c r="E745">
        <v>4</v>
      </c>
      <c r="F745">
        <v>200</v>
      </c>
      <c r="G745">
        <v>3748</v>
      </c>
      <c r="H745">
        <v>1801</v>
      </c>
      <c r="I745">
        <v>432</v>
      </c>
      <c r="J745">
        <v>245</v>
      </c>
      <c r="K745">
        <v>0.46</v>
      </c>
      <c r="L745">
        <v>0.311</v>
      </c>
      <c r="M745">
        <v>0.78500000000000003</v>
      </c>
      <c r="N745">
        <v>4.2</v>
      </c>
      <c r="O745">
        <v>5.2999999999999999E-2</v>
      </c>
      <c r="P745">
        <v>1992</v>
      </c>
      <c r="Q745">
        <v>18.7</v>
      </c>
      <c r="R745">
        <v>9</v>
      </c>
      <c r="S745">
        <v>2.2000000000000002</v>
      </c>
      <c r="T745">
        <v>1.2</v>
      </c>
      <c r="U745">
        <v>1</v>
      </c>
      <c r="V745">
        <v>12</v>
      </c>
      <c r="W745">
        <f>IF(nba_draft[[#This Row],[years_played]]&gt;5,1,0)</f>
        <v>0</v>
      </c>
    </row>
    <row r="746" spans="1:23" x14ac:dyDescent="0.25">
      <c r="A746">
        <v>14</v>
      </c>
      <c r="B746" t="s">
        <v>95</v>
      </c>
      <c r="C746" t="s">
        <v>1554</v>
      </c>
      <c r="D746" t="s">
        <v>148</v>
      </c>
      <c r="E746">
        <v>5</v>
      </c>
      <c r="F746">
        <v>256</v>
      </c>
      <c r="G746">
        <v>4817</v>
      </c>
      <c r="H746">
        <v>1795</v>
      </c>
      <c r="I746">
        <v>857</v>
      </c>
      <c r="J746">
        <v>466</v>
      </c>
      <c r="K746">
        <v>0.39400000000000002</v>
      </c>
      <c r="L746">
        <v>0.36</v>
      </c>
      <c r="M746">
        <v>0.78700000000000003</v>
      </c>
      <c r="N746">
        <v>4.5</v>
      </c>
      <c r="O746">
        <v>4.4999999999999998E-2</v>
      </c>
      <c r="P746">
        <v>2016</v>
      </c>
      <c r="Q746">
        <v>18.8</v>
      </c>
      <c r="R746">
        <v>7</v>
      </c>
      <c r="S746">
        <v>3.3</v>
      </c>
      <c r="T746">
        <v>1.8</v>
      </c>
      <c r="U746">
        <v>1</v>
      </c>
      <c r="V746">
        <v>14</v>
      </c>
      <c r="W746">
        <f>IF(nba_draft[[#This Row],[years_played]]&gt;5,1,0)</f>
        <v>0</v>
      </c>
    </row>
    <row r="747" spans="1:23" x14ac:dyDescent="0.25">
      <c r="A747">
        <v>14</v>
      </c>
      <c r="B747" t="s">
        <v>52</v>
      </c>
      <c r="C747" t="s">
        <v>1122</v>
      </c>
      <c r="D747" t="s">
        <v>30</v>
      </c>
      <c r="E747">
        <v>6</v>
      </c>
      <c r="F747">
        <v>252</v>
      </c>
      <c r="G747">
        <v>3841</v>
      </c>
      <c r="H747">
        <v>1789</v>
      </c>
      <c r="I747">
        <v>1078</v>
      </c>
      <c r="J747">
        <v>187</v>
      </c>
      <c r="K747">
        <v>0.45300000000000001</v>
      </c>
      <c r="L747">
        <v>0.24099999999999999</v>
      </c>
      <c r="M747">
        <v>0.74</v>
      </c>
      <c r="N747">
        <v>5.8</v>
      </c>
      <c r="O747">
        <v>7.1999999999999995E-2</v>
      </c>
      <c r="P747">
        <v>2008</v>
      </c>
      <c r="Q747">
        <v>15.2</v>
      </c>
      <c r="R747">
        <v>7.1</v>
      </c>
      <c r="S747">
        <v>4.3</v>
      </c>
      <c r="T747">
        <v>0.7</v>
      </c>
      <c r="U747">
        <v>1</v>
      </c>
      <c r="V747">
        <v>14</v>
      </c>
      <c r="W747">
        <f>IF(nba_draft[[#This Row],[years_played]]&gt;5,1,0)</f>
        <v>1</v>
      </c>
    </row>
    <row r="748" spans="1:23" x14ac:dyDescent="0.25">
      <c r="A748">
        <v>21</v>
      </c>
      <c r="B748" t="s">
        <v>25</v>
      </c>
      <c r="C748" t="s">
        <v>1732</v>
      </c>
      <c r="D748" t="s">
        <v>820</v>
      </c>
      <c r="E748">
        <v>3</v>
      </c>
      <c r="F748">
        <v>162</v>
      </c>
      <c r="G748">
        <v>3582</v>
      </c>
      <c r="H748">
        <v>1784</v>
      </c>
      <c r="I748">
        <v>920</v>
      </c>
      <c r="J748">
        <v>240</v>
      </c>
      <c r="K748">
        <v>0.58699999999999997</v>
      </c>
      <c r="L748">
        <v>0.29399999999999998</v>
      </c>
      <c r="M748">
        <v>0.71699999999999997</v>
      </c>
      <c r="N748">
        <v>13.8</v>
      </c>
      <c r="O748">
        <v>0.184</v>
      </c>
      <c r="P748">
        <v>2019</v>
      </c>
      <c r="Q748">
        <v>22.1</v>
      </c>
      <c r="R748">
        <v>11</v>
      </c>
      <c r="S748">
        <v>5.7</v>
      </c>
      <c r="T748">
        <v>1.5</v>
      </c>
      <c r="U748">
        <v>1</v>
      </c>
      <c r="V748">
        <v>21</v>
      </c>
      <c r="W748">
        <f>IF(nba_draft[[#This Row],[years_played]]&gt;5,1,0)</f>
        <v>0</v>
      </c>
    </row>
    <row r="749" spans="1:23" x14ac:dyDescent="0.25">
      <c r="A749">
        <v>19</v>
      </c>
      <c r="B749" t="s">
        <v>22</v>
      </c>
      <c r="C749" t="s">
        <v>1790</v>
      </c>
      <c r="D749" t="s">
        <v>458</v>
      </c>
      <c r="E749">
        <v>2</v>
      </c>
      <c r="F749">
        <v>128</v>
      </c>
      <c r="G749">
        <v>3859</v>
      </c>
      <c r="H749">
        <v>1782</v>
      </c>
      <c r="I749">
        <v>655</v>
      </c>
      <c r="J749">
        <v>258</v>
      </c>
      <c r="K749">
        <v>0.39500000000000002</v>
      </c>
      <c r="L749">
        <v>0.36399999999999999</v>
      </c>
      <c r="M749">
        <v>0.83599999999999997</v>
      </c>
      <c r="N749">
        <v>5.6</v>
      </c>
      <c r="O749">
        <v>7.0000000000000007E-2</v>
      </c>
      <c r="P749">
        <v>2020</v>
      </c>
      <c r="Q749">
        <v>30.1</v>
      </c>
      <c r="R749">
        <v>13.9</v>
      </c>
      <c r="S749">
        <v>5.0999999999999996</v>
      </c>
      <c r="T749">
        <v>2</v>
      </c>
      <c r="U749">
        <v>1</v>
      </c>
      <c r="V749">
        <v>19</v>
      </c>
      <c r="W749">
        <f>IF(nba_draft[[#This Row],[years_played]]&gt;5,1,0)</f>
        <v>0</v>
      </c>
    </row>
    <row r="750" spans="1:23" x14ac:dyDescent="0.25">
      <c r="A750">
        <v>16</v>
      </c>
      <c r="B750" t="s">
        <v>95</v>
      </c>
      <c r="C750" t="s">
        <v>1018</v>
      </c>
      <c r="D750" t="s">
        <v>196</v>
      </c>
      <c r="E750">
        <v>5</v>
      </c>
      <c r="F750">
        <v>299</v>
      </c>
      <c r="G750">
        <v>4600</v>
      </c>
      <c r="H750">
        <v>1778</v>
      </c>
      <c r="I750">
        <v>588</v>
      </c>
      <c r="J750">
        <v>132</v>
      </c>
      <c r="K750">
        <v>0.42199999999999999</v>
      </c>
      <c r="L750">
        <v>0.33800000000000002</v>
      </c>
      <c r="M750">
        <v>0.70399999999999996</v>
      </c>
      <c r="N750">
        <v>6.2</v>
      </c>
      <c r="O750">
        <v>6.4000000000000001E-2</v>
      </c>
      <c r="P750">
        <v>2006</v>
      </c>
      <c r="Q750">
        <v>15.4</v>
      </c>
      <c r="R750">
        <v>5.9</v>
      </c>
      <c r="S750">
        <v>2</v>
      </c>
      <c r="T750">
        <v>0.4</v>
      </c>
      <c r="U750">
        <v>1</v>
      </c>
      <c r="V750">
        <v>16</v>
      </c>
      <c r="W750">
        <f>IF(nba_draft[[#This Row],[years_played]]&gt;5,1,0)</f>
        <v>0</v>
      </c>
    </row>
    <row r="751" spans="1:23" x14ac:dyDescent="0.25">
      <c r="A751">
        <v>36</v>
      </c>
      <c r="B751" t="s">
        <v>65</v>
      </c>
      <c r="C751" t="s">
        <v>1688</v>
      </c>
      <c r="D751" t="s">
        <v>97</v>
      </c>
      <c r="E751">
        <v>4</v>
      </c>
      <c r="F751">
        <v>211</v>
      </c>
      <c r="G751">
        <v>4973</v>
      </c>
      <c r="H751">
        <v>1777</v>
      </c>
      <c r="I751">
        <v>1566</v>
      </c>
      <c r="J751">
        <v>113</v>
      </c>
      <c r="K751">
        <v>0.71899999999999997</v>
      </c>
      <c r="L751">
        <v>0</v>
      </c>
      <c r="M751">
        <v>0.55500000000000005</v>
      </c>
      <c r="N751">
        <v>22.4</v>
      </c>
      <c r="O751">
        <v>0.217</v>
      </c>
      <c r="P751">
        <v>2018</v>
      </c>
      <c r="Q751">
        <v>23.6</v>
      </c>
      <c r="R751">
        <v>8.4</v>
      </c>
      <c r="S751">
        <v>7.4</v>
      </c>
      <c r="T751">
        <v>0.5</v>
      </c>
      <c r="U751">
        <v>2</v>
      </c>
      <c r="V751">
        <v>6</v>
      </c>
      <c r="W751">
        <f>IF(nba_draft[[#This Row],[years_played]]&gt;5,1,0)</f>
        <v>0</v>
      </c>
    </row>
    <row r="752" spans="1:23" x14ac:dyDescent="0.25">
      <c r="A752">
        <v>17</v>
      </c>
      <c r="B752" t="s">
        <v>127</v>
      </c>
      <c r="C752" t="s">
        <v>1019</v>
      </c>
      <c r="D752" t="s">
        <v>196</v>
      </c>
      <c r="E752">
        <v>7</v>
      </c>
      <c r="F752">
        <v>314</v>
      </c>
      <c r="G752">
        <v>5368</v>
      </c>
      <c r="H752">
        <v>1769</v>
      </c>
      <c r="I752">
        <v>945</v>
      </c>
      <c r="J752">
        <v>220</v>
      </c>
      <c r="K752">
        <v>0.40300000000000002</v>
      </c>
      <c r="L752">
        <v>0.33900000000000002</v>
      </c>
      <c r="M752">
        <v>0.755</v>
      </c>
      <c r="N752">
        <v>6.7</v>
      </c>
      <c r="O752">
        <v>0.06</v>
      </c>
      <c r="P752">
        <v>2006</v>
      </c>
      <c r="Q752">
        <v>17.100000000000001</v>
      </c>
      <c r="R752">
        <v>5.6</v>
      </c>
      <c r="S752">
        <v>3</v>
      </c>
      <c r="T752">
        <v>0.7</v>
      </c>
      <c r="U752">
        <v>1</v>
      </c>
      <c r="V752">
        <v>17</v>
      </c>
      <c r="W752">
        <f>IF(nba_draft[[#This Row],[years_played]]&gt;5,1,0)</f>
        <v>1</v>
      </c>
    </row>
    <row r="753" spans="1:23" x14ac:dyDescent="0.25">
      <c r="A753">
        <v>14</v>
      </c>
      <c r="B753" t="s">
        <v>28</v>
      </c>
      <c r="C753" t="s">
        <v>1665</v>
      </c>
      <c r="D753" t="s">
        <v>151</v>
      </c>
      <c r="E753">
        <v>3</v>
      </c>
      <c r="F753">
        <v>125</v>
      </c>
      <c r="G753">
        <v>3080</v>
      </c>
      <c r="H753">
        <v>1763</v>
      </c>
      <c r="I753">
        <v>763</v>
      </c>
      <c r="J753">
        <v>133</v>
      </c>
      <c r="K753">
        <v>0.51800000000000002</v>
      </c>
      <c r="L753">
        <v>0.41899999999999998</v>
      </c>
      <c r="M753">
        <v>0.79500000000000004</v>
      </c>
      <c r="N753">
        <v>9.6</v>
      </c>
      <c r="O753">
        <v>0.15</v>
      </c>
      <c r="P753">
        <v>2018</v>
      </c>
      <c r="Q753">
        <v>24.6</v>
      </c>
      <c r="R753">
        <v>14.1</v>
      </c>
      <c r="S753">
        <v>6.1</v>
      </c>
      <c r="T753">
        <v>1.1000000000000001</v>
      </c>
      <c r="U753">
        <v>1</v>
      </c>
      <c r="V753">
        <v>14</v>
      </c>
      <c r="W753">
        <f>IF(nba_draft[[#This Row],[years_played]]&gt;5,1,0)</f>
        <v>0</v>
      </c>
    </row>
    <row r="754" spans="1:23" x14ac:dyDescent="0.25">
      <c r="A754">
        <v>27</v>
      </c>
      <c r="B754" t="s">
        <v>75</v>
      </c>
      <c r="C754" t="s">
        <v>1030</v>
      </c>
      <c r="D754" t="s">
        <v>97</v>
      </c>
      <c r="E754">
        <v>5</v>
      </c>
      <c r="F754">
        <v>353</v>
      </c>
      <c r="G754">
        <v>5281</v>
      </c>
      <c r="H754">
        <v>1747</v>
      </c>
      <c r="I754">
        <v>525</v>
      </c>
      <c r="J754">
        <v>1183</v>
      </c>
      <c r="K754">
        <v>0.40899999999999997</v>
      </c>
      <c r="L754">
        <v>0.33700000000000002</v>
      </c>
      <c r="M754">
        <v>0.73899999999999999</v>
      </c>
      <c r="N754">
        <v>4.3</v>
      </c>
      <c r="O754">
        <v>3.9E-2</v>
      </c>
      <c r="P754">
        <v>2006</v>
      </c>
      <c r="Q754">
        <v>15</v>
      </c>
      <c r="R754">
        <v>4.9000000000000004</v>
      </c>
      <c r="S754">
        <v>1.5</v>
      </c>
      <c r="T754">
        <v>3.4</v>
      </c>
      <c r="U754">
        <v>1</v>
      </c>
      <c r="V754">
        <v>27</v>
      </c>
      <c r="W754">
        <f>IF(nba_draft[[#This Row],[years_played]]&gt;5,1,0)</f>
        <v>0</v>
      </c>
    </row>
    <row r="755" spans="1:23" x14ac:dyDescent="0.25">
      <c r="A755">
        <v>28</v>
      </c>
      <c r="B755" t="s">
        <v>40</v>
      </c>
      <c r="C755" t="s">
        <v>819</v>
      </c>
      <c r="D755" t="s">
        <v>820</v>
      </c>
      <c r="E755">
        <v>6</v>
      </c>
      <c r="F755">
        <v>300</v>
      </c>
      <c r="G755">
        <v>4617</v>
      </c>
      <c r="H755">
        <v>1745</v>
      </c>
      <c r="I755">
        <v>405</v>
      </c>
      <c r="J755">
        <v>752</v>
      </c>
      <c r="K755">
        <v>0.40100000000000002</v>
      </c>
      <c r="L755">
        <v>0.34100000000000003</v>
      </c>
      <c r="M755">
        <v>0.83099999999999996</v>
      </c>
      <c r="N755">
        <v>5.9</v>
      </c>
      <c r="O755">
        <v>6.0999999999999999E-2</v>
      </c>
      <c r="P755">
        <v>2002</v>
      </c>
      <c r="Q755">
        <v>15.4</v>
      </c>
      <c r="R755">
        <v>5.8</v>
      </c>
      <c r="S755">
        <v>1.4</v>
      </c>
      <c r="T755">
        <v>2.5</v>
      </c>
      <c r="U755">
        <v>1</v>
      </c>
      <c r="V755">
        <v>28</v>
      </c>
      <c r="W755">
        <f>IF(nba_draft[[#This Row],[years_played]]&gt;5,1,0)</f>
        <v>1</v>
      </c>
    </row>
    <row r="756" spans="1:23" x14ac:dyDescent="0.25">
      <c r="A756">
        <v>21</v>
      </c>
      <c r="B756" t="s">
        <v>49</v>
      </c>
      <c r="C756" t="s">
        <v>1561</v>
      </c>
      <c r="D756" t="s">
        <v>917</v>
      </c>
      <c r="E756">
        <v>6</v>
      </c>
      <c r="F756">
        <v>288</v>
      </c>
      <c r="G756">
        <v>5593</v>
      </c>
      <c r="H756">
        <v>1744</v>
      </c>
      <c r="I756">
        <v>939</v>
      </c>
      <c r="J756">
        <v>527</v>
      </c>
      <c r="K756">
        <v>0.47499999999999998</v>
      </c>
      <c r="L756">
        <v>0.28299999999999997</v>
      </c>
      <c r="M756">
        <v>0.61099999999999999</v>
      </c>
      <c r="N756">
        <v>4.4000000000000004</v>
      </c>
      <c r="O756">
        <v>3.7999999999999999E-2</v>
      </c>
      <c r="P756">
        <v>2016</v>
      </c>
      <c r="Q756">
        <v>19.399999999999999</v>
      </c>
      <c r="R756">
        <v>6.1</v>
      </c>
      <c r="S756">
        <v>3.3</v>
      </c>
      <c r="T756">
        <v>1.8</v>
      </c>
      <c r="U756">
        <v>1</v>
      </c>
      <c r="V756">
        <v>21</v>
      </c>
      <c r="W756">
        <f>IF(nba_draft[[#This Row],[years_played]]&gt;5,1,0)</f>
        <v>1</v>
      </c>
    </row>
    <row r="757" spans="1:23" x14ac:dyDescent="0.25">
      <c r="A757">
        <v>42</v>
      </c>
      <c r="B757" t="s">
        <v>88</v>
      </c>
      <c r="C757" t="s">
        <v>1694</v>
      </c>
      <c r="D757" t="s">
        <v>657</v>
      </c>
      <c r="E757">
        <v>4</v>
      </c>
      <c r="F757">
        <v>247</v>
      </c>
      <c r="G757">
        <v>5598</v>
      </c>
      <c r="H757">
        <v>1732</v>
      </c>
      <c r="I757">
        <v>1023</v>
      </c>
      <c r="J757">
        <v>491</v>
      </c>
      <c r="K757">
        <v>0.47399999999999998</v>
      </c>
      <c r="L757">
        <v>0.30099999999999999</v>
      </c>
      <c r="M757">
        <v>0.73899999999999999</v>
      </c>
      <c r="N757">
        <v>10.199999999999999</v>
      </c>
      <c r="O757">
        <v>8.6999999999999994E-2</v>
      </c>
      <c r="P757">
        <v>2018</v>
      </c>
      <c r="Q757">
        <v>22.7</v>
      </c>
      <c r="R757">
        <v>7</v>
      </c>
      <c r="S757">
        <v>4.0999999999999996</v>
      </c>
      <c r="T757">
        <v>2</v>
      </c>
      <c r="U757">
        <v>2</v>
      </c>
      <c r="V757">
        <v>12</v>
      </c>
      <c r="W757">
        <f>IF(nba_draft[[#This Row],[years_played]]&gt;5,1,0)</f>
        <v>0</v>
      </c>
    </row>
    <row r="758" spans="1:23" x14ac:dyDescent="0.25">
      <c r="A758">
        <v>39</v>
      </c>
      <c r="B758" t="s">
        <v>65</v>
      </c>
      <c r="C758" t="s">
        <v>1255</v>
      </c>
      <c r="D758" t="s">
        <v>226</v>
      </c>
      <c r="E758">
        <v>5</v>
      </c>
      <c r="F758">
        <v>255</v>
      </c>
      <c r="G758">
        <v>6010</v>
      </c>
      <c r="H758">
        <v>1731</v>
      </c>
      <c r="I758">
        <v>1092</v>
      </c>
      <c r="J758">
        <v>419</v>
      </c>
      <c r="K758">
        <v>0.47299999999999998</v>
      </c>
      <c r="L758">
        <v>0.33200000000000002</v>
      </c>
      <c r="M758">
        <v>0.66600000000000004</v>
      </c>
      <c r="N758">
        <v>10.5</v>
      </c>
      <c r="O758">
        <v>8.4000000000000005E-2</v>
      </c>
      <c r="P758">
        <v>2010</v>
      </c>
      <c r="Q758">
        <v>23.6</v>
      </c>
      <c r="R758">
        <v>6.8</v>
      </c>
      <c r="S758">
        <v>4.3</v>
      </c>
      <c r="T758">
        <v>1.6</v>
      </c>
      <c r="U758">
        <v>2</v>
      </c>
      <c r="V758">
        <v>9</v>
      </c>
      <c r="W758">
        <f>IF(nba_draft[[#This Row],[years_played]]&gt;5,1,0)</f>
        <v>0</v>
      </c>
    </row>
    <row r="759" spans="1:23" x14ac:dyDescent="0.25">
      <c r="A759">
        <v>11</v>
      </c>
      <c r="B759" t="s">
        <v>37</v>
      </c>
      <c r="C759" t="s">
        <v>1722</v>
      </c>
      <c r="D759" t="s">
        <v>179</v>
      </c>
      <c r="E759">
        <v>3</v>
      </c>
      <c r="F759">
        <v>172</v>
      </c>
      <c r="G759">
        <v>4123</v>
      </c>
      <c r="H759">
        <v>1730</v>
      </c>
      <c r="I759">
        <v>617</v>
      </c>
      <c r="J759">
        <v>229</v>
      </c>
      <c r="K759">
        <v>0.439</v>
      </c>
      <c r="L759">
        <v>0.38900000000000001</v>
      </c>
      <c r="M759">
        <v>0.83499999999999996</v>
      </c>
      <c r="N759">
        <v>10</v>
      </c>
      <c r="O759">
        <v>0.11600000000000001</v>
      </c>
      <c r="P759">
        <v>2019</v>
      </c>
      <c r="Q759">
        <v>24</v>
      </c>
      <c r="R759">
        <v>10.1</v>
      </c>
      <c r="S759">
        <v>3.6</v>
      </c>
      <c r="T759">
        <v>1.3</v>
      </c>
      <c r="U759">
        <v>1</v>
      </c>
      <c r="V759">
        <v>11</v>
      </c>
      <c r="W759">
        <f>IF(nba_draft[[#This Row],[years_played]]&gt;5,1,0)</f>
        <v>0</v>
      </c>
    </row>
    <row r="760" spans="1:23" x14ac:dyDescent="0.25">
      <c r="A760">
        <v>47</v>
      </c>
      <c r="B760" t="s">
        <v>40</v>
      </c>
      <c r="C760" t="s">
        <v>437</v>
      </c>
      <c r="D760" t="s">
        <v>113</v>
      </c>
      <c r="E760">
        <v>4</v>
      </c>
      <c r="F760">
        <v>226</v>
      </c>
      <c r="G760">
        <v>4743</v>
      </c>
      <c r="H760">
        <v>1728</v>
      </c>
      <c r="I760">
        <v>393</v>
      </c>
      <c r="J760">
        <v>910</v>
      </c>
      <c r="K760">
        <v>0.40500000000000003</v>
      </c>
      <c r="L760">
        <v>0.32200000000000001</v>
      </c>
      <c r="M760">
        <v>0.80600000000000005</v>
      </c>
      <c r="N760">
        <v>6.8</v>
      </c>
      <c r="O760">
        <v>6.8000000000000005E-2</v>
      </c>
      <c r="P760">
        <v>1995</v>
      </c>
      <c r="Q760">
        <v>21</v>
      </c>
      <c r="R760">
        <v>7.6</v>
      </c>
      <c r="S760">
        <v>1.7</v>
      </c>
      <c r="T760">
        <v>4</v>
      </c>
      <c r="U760">
        <v>2</v>
      </c>
      <c r="V760">
        <v>18</v>
      </c>
      <c r="W760">
        <f>IF(nba_draft[[#This Row],[years_played]]&gt;5,1,0)</f>
        <v>0</v>
      </c>
    </row>
    <row r="761" spans="1:23" x14ac:dyDescent="0.25">
      <c r="A761">
        <v>41</v>
      </c>
      <c r="B761" t="s">
        <v>28</v>
      </c>
      <c r="C761" t="s">
        <v>675</v>
      </c>
      <c r="D761" t="s">
        <v>336</v>
      </c>
      <c r="E761">
        <v>9</v>
      </c>
      <c r="F761">
        <v>472</v>
      </c>
      <c r="G761">
        <v>7207</v>
      </c>
      <c r="H761">
        <v>1726</v>
      </c>
      <c r="I761">
        <v>1638</v>
      </c>
      <c r="J761">
        <v>260</v>
      </c>
      <c r="K761">
        <v>0.47799999999999998</v>
      </c>
      <c r="L761">
        <v>0.188</v>
      </c>
      <c r="M761">
        <v>0.7</v>
      </c>
      <c r="N761">
        <v>11.7</v>
      </c>
      <c r="O761">
        <v>7.8E-2</v>
      </c>
      <c r="P761">
        <v>1999</v>
      </c>
      <c r="Q761">
        <v>15.3</v>
      </c>
      <c r="R761">
        <v>3.7</v>
      </c>
      <c r="S761">
        <v>3.5</v>
      </c>
      <c r="T761">
        <v>0.6</v>
      </c>
      <c r="U761">
        <v>2</v>
      </c>
      <c r="V761">
        <v>12</v>
      </c>
      <c r="W761">
        <f>IF(nba_draft[[#This Row],[years_played]]&gt;5,1,0)</f>
        <v>1</v>
      </c>
    </row>
    <row r="762" spans="1:23" x14ac:dyDescent="0.25">
      <c r="A762">
        <v>31</v>
      </c>
      <c r="B762" t="s">
        <v>34</v>
      </c>
      <c r="C762" t="s">
        <v>1626</v>
      </c>
      <c r="D762" t="s">
        <v>87</v>
      </c>
      <c r="E762">
        <v>4</v>
      </c>
      <c r="F762">
        <v>203</v>
      </c>
      <c r="G762">
        <v>3672</v>
      </c>
      <c r="H762">
        <v>1724</v>
      </c>
      <c r="I762">
        <v>372</v>
      </c>
      <c r="J762">
        <v>207</v>
      </c>
      <c r="K762">
        <v>0.42599999999999999</v>
      </c>
      <c r="L762">
        <v>0.33800000000000002</v>
      </c>
      <c r="M762">
        <v>0.77400000000000002</v>
      </c>
      <c r="N762">
        <v>2.2999999999999998</v>
      </c>
      <c r="O762">
        <v>0.03</v>
      </c>
      <c r="P762">
        <v>2017</v>
      </c>
      <c r="Q762">
        <v>18.100000000000001</v>
      </c>
      <c r="R762">
        <v>8.5</v>
      </c>
      <c r="S762">
        <v>1.8</v>
      </c>
      <c r="T762">
        <v>1</v>
      </c>
      <c r="U762">
        <v>2</v>
      </c>
      <c r="V762">
        <v>1</v>
      </c>
      <c r="W762">
        <f>IF(nba_draft[[#This Row],[years_played]]&gt;5,1,0)</f>
        <v>0</v>
      </c>
    </row>
    <row r="763" spans="1:23" x14ac:dyDescent="0.25">
      <c r="A763">
        <v>18</v>
      </c>
      <c r="B763" t="s">
        <v>82</v>
      </c>
      <c r="C763" t="s">
        <v>1669</v>
      </c>
      <c r="D763" t="s">
        <v>657</v>
      </c>
      <c r="E763">
        <v>4</v>
      </c>
      <c r="F763">
        <v>192</v>
      </c>
      <c r="G763">
        <v>3858</v>
      </c>
      <c r="H763">
        <v>1708</v>
      </c>
      <c r="I763">
        <v>450</v>
      </c>
      <c r="J763">
        <v>301</v>
      </c>
      <c r="K763">
        <v>0.41</v>
      </c>
      <c r="L763">
        <v>0.33900000000000002</v>
      </c>
      <c r="M763">
        <v>0.78800000000000003</v>
      </c>
      <c r="N763">
        <v>1.3</v>
      </c>
      <c r="O763">
        <v>1.7000000000000001E-2</v>
      </c>
      <c r="P763">
        <v>2018</v>
      </c>
      <c r="Q763">
        <v>20.100000000000001</v>
      </c>
      <c r="R763">
        <v>8.9</v>
      </c>
      <c r="S763">
        <v>2.2999999999999998</v>
      </c>
      <c r="T763">
        <v>1.6</v>
      </c>
      <c r="U763">
        <v>1</v>
      </c>
      <c r="V763">
        <v>18</v>
      </c>
      <c r="W763">
        <f>IF(nba_draft[[#This Row],[years_played]]&gt;5,1,0)</f>
        <v>0</v>
      </c>
    </row>
    <row r="764" spans="1:23" x14ac:dyDescent="0.25">
      <c r="A764">
        <v>19</v>
      </c>
      <c r="B764" t="s">
        <v>31</v>
      </c>
      <c r="C764" t="s">
        <v>1346</v>
      </c>
      <c r="D764" t="s">
        <v>1347</v>
      </c>
      <c r="E764">
        <v>5</v>
      </c>
      <c r="F764">
        <v>285</v>
      </c>
      <c r="G764">
        <v>4080</v>
      </c>
      <c r="H764">
        <v>1700</v>
      </c>
      <c r="I764">
        <v>857</v>
      </c>
      <c r="J764">
        <v>126</v>
      </c>
      <c r="K764">
        <v>0.46700000000000003</v>
      </c>
      <c r="L764">
        <v>0.32100000000000001</v>
      </c>
      <c r="M764">
        <v>0.77300000000000002</v>
      </c>
      <c r="N764">
        <v>3.8</v>
      </c>
      <c r="O764">
        <v>4.4999999999999998E-2</v>
      </c>
      <c r="P764">
        <v>2012</v>
      </c>
      <c r="Q764">
        <v>14.3</v>
      </c>
      <c r="R764">
        <v>6</v>
      </c>
      <c r="S764">
        <v>3</v>
      </c>
      <c r="T764">
        <v>0.4</v>
      </c>
      <c r="U764">
        <v>1</v>
      </c>
      <c r="V764">
        <v>19</v>
      </c>
      <c r="W764">
        <f>IF(nba_draft[[#This Row],[years_played]]&gt;5,1,0)</f>
        <v>0</v>
      </c>
    </row>
    <row r="765" spans="1:23" x14ac:dyDescent="0.25">
      <c r="A765">
        <v>31</v>
      </c>
      <c r="B765" t="s">
        <v>75</v>
      </c>
      <c r="C765" t="s">
        <v>100</v>
      </c>
      <c r="D765" t="s">
        <v>101</v>
      </c>
      <c r="E765">
        <v>6</v>
      </c>
      <c r="F765">
        <v>276</v>
      </c>
      <c r="G765">
        <v>4513</v>
      </c>
      <c r="H765">
        <v>1699</v>
      </c>
      <c r="I765">
        <v>351</v>
      </c>
      <c r="J765">
        <v>780</v>
      </c>
      <c r="K765">
        <v>0.436</v>
      </c>
      <c r="L765">
        <v>0.26300000000000001</v>
      </c>
      <c r="M765">
        <v>0.73</v>
      </c>
      <c r="N765">
        <v>4.2</v>
      </c>
      <c r="O765">
        <v>4.3999999999999997E-2</v>
      </c>
      <c r="P765">
        <v>1990</v>
      </c>
      <c r="Q765">
        <v>16.399999999999999</v>
      </c>
      <c r="R765">
        <v>6.2</v>
      </c>
      <c r="S765">
        <v>1.3</v>
      </c>
      <c r="T765">
        <v>2.8</v>
      </c>
      <c r="U765">
        <v>2</v>
      </c>
      <c r="V765">
        <v>4</v>
      </c>
      <c r="W765">
        <f>IF(nba_draft[[#This Row],[years_played]]&gt;5,1,0)</f>
        <v>1</v>
      </c>
    </row>
    <row r="766" spans="1:23" x14ac:dyDescent="0.25">
      <c r="A766">
        <v>26</v>
      </c>
      <c r="B766" t="s">
        <v>127</v>
      </c>
      <c r="C766" t="s">
        <v>1354</v>
      </c>
      <c r="D766" t="s">
        <v>87</v>
      </c>
      <c r="E766">
        <v>7</v>
      </c>
      <c r="F766">
        <v>346</v>
      </c>
      <c r="G766">
        <v>5658</v>
      </c>
      <c r="H766">
        <v>1697</v>
      </c>
      <c r="I766">
        <v>1562</v>
      </c>
      <c r="J766">
        <v>178</v>
      </c>
      <c r="K766">
        <v>0.54200000000000004</v>
      </c>
      <c r="L766">
        <v>0</v>
      </c>
      <c r="M766">
        <v>0.54300000000000004</v>
      </c>
      <c r="N766">
        <v>10.6</v>
      </c>
      <c r="O766">
        <v>0.09</v>
      </c>
      <c r="P766">
        <v>2012</v>
      </c>
      <c r="Q766">
        <v>16.399999999999999</v>
      </c>
      <c r="R766">
        <v>4.9000000000000004</v>
      </c>
      <c r="S766">
        <v>4.5</v>
      </c>
      <c r="T766">
        <v>0.5</v>
      </c>
      <c r="U766">
        <v>1</v>
      </c>
      <c r="V766">
        <v>26</v>
      </c>
      <c r="W766">
        <f>IF(nba_draft[[#This Row],[years_played]]&gt;5,1,0)</f>
        <v>1</v>
      </c>
    </row>
    <row r="767" spans="1:23" x14ac:dyDescent="0.25">
      <c r="A767">
        <v>19</v>
      </c>
      <c r="B767" t="s">
        <v>109</v>
      </c>
      <c r="C767" t="s">
        <v>1514</v>
      </c>
      <c r="D767" t="s">
        <v>218</v>
      </c>
      <c r="E767">
        <v>5</v>
      </c>
      <c r="F767">
        <v>279</v>
      </c>
      <c r="G767">
        <v>4998</v>
      </c>
      <c r="H767">
        <v>1692</v>
      </c>
      <c r="I767">
        <v>530</v>
      </c>
      <c r="J767">
        <v>805</v>
      </c>
      <c r="K767">
        <v>0.41099999999999998</v>
      </c>
      <c r="L767">
        <v>0.32300000000000001</v>
      </c>
      <c r="M767">
        <v>0.77</v>
      </c>
      <c r="N767">
        <v>8.3000000000000007</v>
      </c>
      <c r="O767">
        <v>0.08</v>
      </c>
      <c r="P767">
        <v>2015</v>
      </c>
      <c r="Q767">
        <v>17.899999999999999</v>
      </c>
      <c r="R767">
        <v>6.1</v>
      </c>
      <c r="S767">
        <v>1.9</v>
      </c>
      <c r="T767">
        <v>2.9</v>
      </c>
      <c r="U767">
        <v>1</v>
      </c>
      <c r="V767">
        <v>19</v>
      </c>
      <c r="W767">
        <f>IF(nba_draft[[#This Row],[years_played]]&gt;5,1,0)</f>
        <v>0</v>
      </c>
    </row>
    <row r="768" spans="1:23" x14ac:dyDescent="0.25">
      <c r="A768">
        <v>13</v>
      </c>
      <c r="B768" t="s">
        <v>31</v>
      </c>
      <c r="C768" t="s">
        <v>695</v>
      </c>
      <c r="D768" t="s">
        <v>609</v>
      </c>
      <c r="E768">
        <v>3</v>
      </c>
      <c r="F768">
        <v>187</v>
      </c>
      <c r="G768">
        <v>4067</v>
      </c>
      <c r="H768">
        <v>1690</v>
      </c>
      <c r="I768">
        <v>409</v>
      </c>
      <c r="J768">
        <v>227</v>
      </c>
      <c r="K768">
        <v>0.42199999999999999</v>
      </c>
      <c r="L768">
        <v>0.33900000000000002</v>
      </c>
      <c r="M768">
        <v>0.81299999999999994</v>
      </c>
      <c r="N768">
        <v>4.0999999999999996</v>
      </c>
      <c r="O768">
        <v>4.8000000000000001E-2</v>
      </c>
      <c r="P768">
        <v>2000</v>
      </c>
      <c r="Q768">
        <v>21.7</v>
      </c>
      <c r="R768">
        <v>9</v>
      </c>
      <c r="S768">
        <v>2.2000000000000002</v>
      </c>
      <c r="T768">
        <v>1.2</v>
      </c>
      <c r="U768">
        <v>1</v>
      </c>
      <c r="V768">
        <v>13</v>
      </c>
      <c r="W768">
        <f>IF(nba_draft[[#This Row],[years_played]]&gt;5,1,0)</f>
        <v>0</v>
      </c>
    </row>
    <row r="769" spans="1:23" x14ac:dyDescent="0.25">
      <c r="A769">
        <v>8</v>
      </c>
      <c r="B769" t="s">
        <v>28</v>
      </c>
      <c r="C769" t="s">
        <v>154</v>
      </c>
      <c r="D769" t="s">
        <v>69</v>
      </c>
      <c r="E769">
        <v>6</v>
      </c>
      <c r="F769">
        <v>251</v>
      </c>
      <c r="G769">
        <v>5018</v>
      </c>
      <c r="H769">
        <v>1685</v>
      </c>
      <c r="I769">
        <v>467</v>
      </c>
      <c r="J769">
        <v>428</v>
      </c>
      <c r="K769">
        <v>0.38400000000000001</v>
      </c>
      <c r="L769">
        <v>0.27</v>
      </c>
      <c r="M769">
        <v>0.73499999999999999</v>
      </c>
      <c r="N769">
        <v>0.1</v>
      </c>
      <c r="O769">
        <v>1E-3</v>
      </c>
      <c r="P769">
        <v>1991</v>
      </c>
      <c r="Q769">
        <v>20</v>
      </c>
      <c r="R769">
        <v>6.7</v>
      </c>
      <c r="S769">
        <v>1.9</v>
      </c>
      <c r="T769">
        <v>1.7</v>
      </c>
      <c r="U769">
        <v>1</v>
      </c>
      <c r="V769">
        <v>8</v>
      </c>
      <c r="W769">
        <f>IF(nba_draft[[#This Row],[years_played]]&gt;5,1,0)</f>
        <v>1</v>
      </c>
    </row>
    <row r="770" spans="1:23" x14ac:dyDescent="0.25">
      <c r="A770">
        <v>46</v>
      </c>
      <c r="B770" t="s">
        <v>55</v>
      </c>
      <c r="C770" t="s">
        <v>1696</v>
      </c>
      <c r="D770" t="s">
        <v>230</v>
      </c>
      <c r="E770">
        <v>4</v>
      </c>
      <c r="F770">
        <v>213</v>
      </c>
      <c r="G770">
        <v>4352</v>
      </c>
      <c r="H770">
        <v>1684</v>
      </c>
      <c r="I770">
        <v>745</v>
      </c>
      <c r="J770">
        <v>602</v>
      </c>
      <c r="K770">
        <v>0.40500000000000003</v>
      </c>
      <c r="L770">
        <v>0.34699999999999998</v>
      </c>
      <c r="M770">
        <v>0.75700000000000001</v>
      </c>
      <c r="N770">
        <v>6.3</v>
      </c>
      <c r="O770">
        <v>7.0000000000000007E-2</v>
      </c>
      <c r="P770">
        <v>2018</v>
      </c>
      <c r="Q770">
        <v>20.399999999999999</v>
      </c>
      <c r="R770">
        <v>7.9</v>
      </c>
      <c r="S770">
        <v>3.5</v>
      </c>
      <c r="T770">
        <v>2.8</v>
      </c>
      <c r="U770">
        <v>2</v>
      </c>
      <c r="V770">
        <v>16</v>
      </c>
      <c r="W770">
        <f>IF(nba_draft[[#This Row],[years_played]]&gt;5,1,0)</f>
        <v>0</v>
      </c>
    </row>
    <row r="771" spans="1:23" x14ac:dyDescent="0.25">
      <c r="A771">
        <v>29</v>
      </c>
      <c r="B771" t="s">
        <v>82</v>
      </c>
      <c r="C771" t="s">
        <v>421</v>
      </c>
      <c r="D771" t="s">
        <v>232</v>
      </c>
      <c r="E771">
        <v>7</v>
      </c>
      <c r="F771">
        <v>307</v>
      </c>
      <c r="G771">
        <v>4847</v>
      </c>
      <c r="H771">
        <v>1677</v>
      </c>
      <c r="I771">
        <v>481</v>
      </c>
      <c r="J771">
        <v>834</v>
      </c>
      <c r="K771">
        <v>0.38900000000000001</v>
      </c>
      <c r="L771">
        <v>0.35399999999999998</v>
      </c>
      <c r="M771">
        <v>0.75600000000000001</v>
      </c>
      <c r="N771">
        <v>3</v>
      </c>
      <c r="O771">
        <v>0.03</v>
      </c>
      <c r="P771">
        <v>1995</v>
      </c>
      <c r="Q771">
        <v>15.8</v>
      </c>
      <c r="R771">
        <v>5.5</v>
      </c>
      <c r="S771">
        <v>1.6</v>
      </c>
      <c r="T771">
        <v>2.7</v>
      </c>
      <c r="U771">
        <v>1</v>
      </c>
      <c r="V771">
        <v>29</v>
      </c>
      <c r="W771">
        <f>IF(nba_draft[[#This Row],[years_played]]&gt;5,1,0)</f>
        <v>1</v>
      </c>
    </row>
    <row r="772" spans="1:23" x14ac:dyDescent="0.25">
      <c r="A772">
        <v>45</v>
      </c>
      <c r="B772" t="s">
        <v>22</v>
      </c>
      <c r="C772" t="s">
        <v>1695</v>
      </c>
      <c r="D772" t="s">
        <v>282</v>
      </c>
      <c r="E772">
        <v>4</v>
      </c>
      <c r="F772">
        <v>200</v>
      </c>
      <c r="G772">
        <v>3799</v>
      </c>
      <c r="H772">
        <v>1676</v>
      </c>
      <c r="I772">
        <v>787</v>
      </c>
      <c r="J772">
        <v>218</v>
      </c>
      <c r="K772">
        <v>0.47299999999999998</v>
      </c>
      <c r="L772">
        <v>0.27600000000000002</v>
      </c>
      <c r="M772">
        <v>0.63400000000000001</v>
      </c>
      <c r="N772">
        <v>4.5999999999999996</v>
      </c>
      <c r="O772">
        <v>5.8000000000000003E-2</v>
      </c>
      <c r="P772">
        <v>2018</v>
      </c>
      <c r="Q772">
        <v>19</v>
      </c>
      <c r="R772">
        <v>8.4</v>
      </c>
      <c r="S772">
        <v>3.9</v>
      </c>
      <c r="T772">
        <v>1.1000000000000001</v>
      </c>
      <c r="U772">
        <v>2</v>
      </c>
      <c r="V772">
        <v>15</v>
      </c>
      <c r="W772">
        <f>IF(nba_draft[[#This Row],[years_played]]&gt;5,1,0)</f>
        <v>0</v>
      </c>
    </row>
    <row r="773" spans="1:23" x14ac:dyDescent="0.25">
      <c r="A773">
        <v>23</v>
      </c>
      <c r="B773" t="s">
        <v>127</v>
      </c>
      <c r="C773" t="s">
        <v>1675</v>
      </c>
      <c r="D773" t="s">
        <v>113</v>
      </c>
      <c r="E773">
        <v>4</v>
      </c>
      <c r="F773">
        <v>226</v>
      </c>
      <c r="G773">
        <v>4142</v>
      </c>
      <c r="H773">
        <v>1669</v>
      </c>
      <c r="I773">
        <v>385</v>
      </c>
      <c r="J773">
        <v>521</v>
      </c>
      <c r="K773">
        <v>0.41499999999999998</v>
      </c>
      <c r="L773">
        <v>0.371</v>
      </c>
      <c r="M773">
        <v>0.82699999999999996</v>
      </c>
      <c r="N773">
        <v>4.0999999999999996</v>
      </c>
      <c r="O773">
        <v>4.7E-2</v>
      </c>
      <c r="P773">
        <v>2018</v>
      </c>
      <c r="Q773">
        <v>18.3</v>
      </c>
      <c r="R773">
        <v>7.4</v>
      </c>
      <c r="S773">
        <v>1.7</v>
      </c>
      <c r="T773">
        <v>2.2999999999999998</v>
      </c>
      <c r="U773">
        <v>1</v>
      </c>
      <c r="V773">
        <v>23</v>
      </c>
      <c r="W773">
        <f>IF(nba_draft[[#This Row],[years_played]]&gt;5,1,0)</f>
        <v>0</v>
      </c>
    </row>
    <row r="774" spans="1:23" x14ac:dyDescent="0.25">
      <c r="A774">
        <v>52</v>
      </c>
      <c r="B774" t="s">
        <v>75</v>
      </c>
      <c r="C774" t="s">
        <v>386</v>
      </c>
      <c r="D774" t="s">
        <v>99</v>
      </c>
      <c r="E774">
        <v>8</v>
      </c>
      <c r="F774">
        <v>266</v>
      </c>
      <c r="G774">
        <v>4951</v>
      </c>
      <c r="H774">
        <v>1667</v>
      </c>
      <c r="I774">
        <v>359</v>
      </c>
      <c r="J774">
        <v>737</v>
      </c>
      <c r="K774">
        <v>0.40699999999999997</v>
      </c>
      <c r="L774">
        <v>0.38600000000000001</v>
      </c>
      <c r="M774">
        <v>0.79200000000000004</v>
      </c>
      <c r="N774">
        <v>6.4</v>
      </c>
      <c r="O774">
        <v>6.2E-2</v>
      </c>
      <c r="P774">
        <v>1994</v>
      </c>
      <c r="Q774">
        <v>18.600000000000001</v>
      </c>
      <c r="R774">
        <v>6.3</v>
      </c>
      <c r="S774">
        <v>1.3</v>
      </c>
      <c r="T774">
        <v>2.8</v>
      </c>
      <c r="U774">
        <v>2</v>
      </c>
      <c r="V774">
        <v>25</v>
      </c>
      <c r="W774">
        <f>IF(nba_draft[[#This Row],[years_played]]&gt;5,1,0)</f>
        <v>1</v>
      </c>
    </row>
    <row r="775" spans="1:23" x14ac:dyDescent="0.25">
      <c r="A775">
        <v>50</v>
      </c>
      <c r="B775" t="s">
        <v>127</v>
      </c>
      <c r="C775" t="s">
        <v>1587</v>
      </c>
      <c r="D775" t="s">
        <v>168</v>
      </c>
      <c r="E775">
        <v>6</v>
      </c>
      <c r="F775">
        <v>283</v>
      </c>
      <c r="G775">
        <v>3981</v>
      </c>
      <c r="H775">
        <v>1667</v>
      </c>
      <c r="I775">
        <v>563</v>
      </c>
      <c r="J775">
        <v>228</v>
      </c>
      <c r="K775">
        <v>0.435</v>
      </c>
      <c r="L775">
        <v>0.40200000000000002</v>
      </c>
      <c r="M775">
        <v>0.86499999999999999</v>
      </c>
      <c r="N775">
        <v>7.4</v>
      </c>
      <c r="O775">
        <v>8.8999999999999996E-2</v>
      </c>
      <c r="P775">
        <v>2016</v>
      </c>
      <c r="Q775">
        <v>14.1</v>
      </c>
      <c r="R775">
        <v>5.9</v>
      </c>
      <c r="S775">
        <v>2</v>
      </c>
      <c r="T775">
        <v>0.8</v>
      </c>
      <c r="U775">
        <v>2</v>
      </c>
      <c r="V775">
        <v>20</v>
      </c>
      <c r="W775">
        <f>IF(nba_draft[[#This Row],[years_played]]&gt;5,1,0)</f>
        <v>1</v>
      </c>
    </row>
    <row r="776" spans="1:23" x14ac:dyDescent="0.25">
      <c r="A776">
        <v>42</v>
      </c>
      <c r="B776" t="s">
        <v>104</v>
      </c>
      <c r="C776" t="s">
        <v>1637</v>
      </c>
      <c r="D776" t="s">
        <v>285</v>
      </c>
      <c r="E776">
        <v>5</v>
      </c>
      <c r="F776">
        <v>159</v>
      </c>
      <c r="G776">
        <v>3263</v>
      </c>
      <c r="H776">
        <v>1661</v>
      </c>
      <c r="I776">
        <v>927</v>
      </c>
      <c r="J776">
        <v>211</v>
      </c>
      <c r="K776">
        <v>0.59299999999999997</v>
      </c>
      <c r="L776">
        <v>0.35599999999999998</v>
      </c>
      <c r="M776">
        <v>0.755</v>
      </c>
      <c r="N776">
        <v>11.4</v>
      </c>
      <c r="O776">
        <v>0.16700000000000001</v>
      </c>
      <c r="P776">
        <v>2017</v>
      </c>
      <c r="Q776">
        <v>20.5</v>
      </c>
      <c r="R776">
        <v>10.4</v>
      </c>
      <c r="S776">
        <v>5.8</v>
      </c>
      <c r="T776">
        <v>1.3</v>
      </c>
      <c r="U776">
        <v>2</v>
      </c>
      <c r="V776">
        <v>12</v>
      </c>
      <c r="W776">
        <f>IF(nba_draft[[#This Row],[years_played]]&gt;5,1,0)</f>
        <v>0</v>
      </c>
    </row>
    <row r="777" spans="1:23" x14ac:dyDescent="0.25">
      <c r="A777">
        <v>9</v>
      </c>
      <c r="B777" t="s">
        <v>34</v>
      </c>
      <c r="C777" t="s">
        <v>1450</v>
      </c>
      <c r="D777" t="s">
        <v>285</v>
      </c>
      <c r="E777">
        <v>7</v>
      </c>
      <c r="F777">
        <v>339</v>
      </c>
      <c r="G777">
        <v>5683</v>
      </c>
      <c r="H777">
        <v>1660</v>
      </c>
      <c r="I777">
        <v>1742</v>
      </c>
      <c r="J777">
        <v>257</v>
      </c>
      <c r="K777">
        <v>0.45900000000000002</v>
      </c>
      <c r="L777">
        <v>0.308</v>
      </c>
      <c r="M777">
        <v>0.69099999999999995</v>
      </c>
      <c r="N777">
        <v>9.1999999999999993</v>
      </c>
      <c r="O777">
        <v>7.8E-2</v>
      </c>
      <c r="P777">
        <v>2014</v>
      </c>
      <c r="Q777">
        <v>16.8</v>
      </c>
      <c r="R777">
        <v>4.9000000000000004</v>
      </c>
      <c r="S777">
        <v>5.0999999999999996</v>
      </c>
      <c r="T777">
        <v>0.8</v>
      </c>
      <c r="U777">
        <v>1</v>
      </c>
      <c r="V777">
        <v>9</v>
      </c>
      <c r="W777">
        <f>IF(nba_draft[[#This Row],[years_played]]&gt;5,1,0)</f>
        <v>1</v>
      </c>
    </row>
    <row r="778" spans="1:23" x14ac:dyDescent="0.25">
      <c r="A778">
        <v>15</v>
      </c>
      <c r="B778" t="s">
        <v>85</v>
      </c>
      <c r="C778" t="s">
        <v>1610</v>
      </c>
      <c r="D778" t="s">
        <v>179</v>
      </c>
      <c r="E778">
        <v>5</v>
      </c>
      <c r="F778">
        <v>255</v>
      </c>
      <c r="G778">
        <v>4779</v>
      </c>
      <c r="H778">
        <v>1656</v>
      </c>
      <c r="I778">
        <v>637</v>
      </c>
      <c r="J778">
        <v>276</v>
      </c>
      <c r="K778">
        <v>0.42599999999999999</v>
      </c>
      <c r="L778">
        <v>0.32100000000000001</v>
      </c>
      <c r="M778">
        <v>0.79900000000000004</v>
      </c>
      <c r="N778">
        <v>5.3</v>
      </c>
      <c r="O778">
        <v>5.2999999999999999E-2</v>
      </c>
      <c r="P778">
        <v>2017</v>
      </c>
      <c r="Q778">
        <v>18.7</v>
      </c>
      <c r="R778">
        <v>6.5</v>
      </c>
      <c r="S778">
        <v>2.5</v>
      </c>
      <c r="T778">
        <v>1.1000000000000001</v>
      </c>
      <c r="U778">
        <v>1</v>
      </c>
      <c r="V778">
        <v>15</v>
      </c>
      <c r="W778">
        <f>IF(nba_draft[[#This Row],[years_played]]&gt;5,1,0)</f>
        <v>0</v>
      </c>
    </row>
    <row r="779" spans="1:23" x14ac:dyDescent="0.25">
      <c r="A779">
        <v>50</v>
      </c>
      <c r="B779" t="s">
        <v>49</v>
      </c>
      <c r="C779" t="s">
        <v>560</v>
      </c>
      <c r="D779" t="s">
        <v>137</v>
      </c>
      <c r="E779">
        <v>7</v>
      </c>
      <c r="F779">
        <v>252</v>
      </c>
      <c r="G779">
        <v>3985</v>
      </c>
      <c r="H779">
        <v>1654</v>
      </c>
      <c r="I779">
        <v>547</v>
      </c>
      <c r="J779">
        <v>154</v>
      </c>
      <c r="K779">
        <v>0.437</v>
      </c>
      <c r="L779">
        <v>0.34699999999999998</v>
      </c>
      <c r="M779">
        <v>0.82399999999999995</v>
      </c>
      <c r="N779">
        <v>6.5</v>
      </c>
      <c r="O779">
        <v>7.8E-2</v>
      </c>
      <c r="P779">
        <v>1997</v>
      </c>
      <c r="Q779">
        <v>15.8</v>
      </c>
      <c r="R779">
        <v>6.6</v>
      </c>
      <c r="S779">
        <v>2.2000000000000002</v>
      </c>
      <c r="T779">
        <v>0.6</v>
      </c>
      <c r="U779">
        <v>2</v>
      </c>
      <c r="V779">
        <v>22</v>
      </c>
      <c r="W779">
        <f>IF(nba_draft[[#This Row],[years_played]]&gt;5,1,0)</f>
        <v>1</v>
      </c>
    </row>
    <row r="780" spans="1:23" x14ac:dyDescent="0.25">
      <c r="A780">
        <v>37</v>
      </c>
      <c r="B780" t="s">
        <v>395</v>
      </c>
      <c r="C780" t="s">
        <v>1366</v>
      </c>
      <c r="D780" t="s">
        <v>588</v>
      </c>
      <c r="E780">
        <v>7</v>
      </c>
      <c r="F780">
        <v>337</v>
      </c>
      <c r="G780">
        <v>5392</v>
      </c>
      <c r="H780">
        <v>1642</v>
      </c>
      <c r="I780">
        <v>1179</v>
      </c>
      <c r="J780">
        <v>217</v>
      </c>
      <c r="K780">
        <v>0.44400000000000001</v>
      </c>
      <c r="L780">
        <v>0.35</v>
      </c>
      <c r="M780">
        <v>0.75900000000000001</v>
      </c>
      <c r="N780">
        <v>8.6999999999999993</v>
      </c>
      <c r="O780">
        <v>7.8E-2</v>
      </c>
      <c r="P780">
        <v>2012</v>
      </c>
      <c r="Q780">
        <v>16</v>
      </c>
      <c r="R780">
        <v>4.9000000000000004</v>
      </c>
      <c r="S780">
        <v>3.5</v>
      </c>
      <c r="T780">
        <v>0.6</v>
      </c>
      <c r="U780">
        <v>2</v>
      </c>
      <c r="V780">
        <v>7</v>
      </c>
      <c r="W780">
        <f>IF(nba_draft[[#This Row],[years_played]]&gt;5,1,0)</f>
        <v>1</v>
      </c>
    </row>
    <row r="781" spans="1:23" x14ac:dyDescent="0.25">
      <c r="A781">
        <v>37</v>
      </c>
      <c r="B781" t="s">
        <v>49</v>
      </c>
      <c r="C781" t="s">
        <v>935</v>
      </c>
      <c r="D781" t="s">
        <v>60</v>
      </c>
      <c r="E781">
        <v>10</v>
      </c>
      <c r="F781">
        <v>492</v>
      </c>
      <c r="G781">
        <v>6162</v>
      </c>
      <c r="H781">
        <v>1641</v>
      </c>
      <c r="I781">
        <v>557</v>
      </c>
      <c r="J781">
        <v>501</v>
      </c>
      <c r="K781">
        <v>0.40600000000000003</v>
      </c>
      <c r="L781">
        <v>0.36099999999999999</v>
      </c>
      <c r="M781">
        <v>0.70599999999999996</v>
      </c>
      <c r="N781">
        <v>4.5</v>
      </c>
      <c r="O781">
        <v>3.5000000000000003E-2</v>
      </c>
      <c r="P781">
        <v>2004</v>
      </c>
      <c r="Q781">
        <v>12.5</v>
      </c>
      <c r="R781">
        <v>3.3</v>
      </c>
      <c r="S781">
        <v>1.1000000000000001</v>
      </c>
      <c r="T781">
        <v>1</v>
      </c>
      <c r="U781">
        <v>2</v>
      </c>
      <c r="V781">
        <v>8</v>
      </c>
      <c r="W781">
        <f>IF(nba_draft[[#This Row],[years_played]]&gt;5,1,0)</f>
        <v>1</v>
      </c>
    </row>
    <row r="782" spans="1:23" x14ac:dyDescent="0.25">
      <c r="A782">
        <v>21</v>
      </c>
      <c r="B782" t="s">
        <v>104</v>
      </c>
      <c r="C782" t="s">
        <v>1672</v>
      </c>
      <c r="D782" t="s">
        <v>87</v>
      </c>
      <c r="E782">
        <v>4</v>
      </c>
      <c r="F782">
        <v>175</v>
      </c>
      <c r="G782">
        <v>3764</v>
      </c>
      <c r="H782">
        <v>1637</v>
      </c>
      <c r="I782">
        <v>434</v>
      </c>
      <c r="J782">
        <v>259</v>
      </c>
      <c r="K782">
        <v>0.42399999999999999</v>
      </c>
      <c r="L782">
        <v>0.38600000000000001</v>
      </c>
      <c r="M782">
        <v>0.83699999999999997</v>
      </c>
      <c r="N782">
        <v>7.1</v>
      </c>
      <c r="O782">
        <v>0.09</v>
      </c>
      <c r="P782">
        <v>2018</v>
      </c>
      <c r="Q782">
        <v>21.5</v>
      </c>
      <c r="R782">
        <v>9.4</v>
      </c>
      <c r="S782">
        <v>2.5</v>
      </c>
      <c r="T782">
        <v>1.5</v>
      </c>
      <c r="U782">
        <v>1</v>
      </c>
      <c r="V782">
        <v>21</v>
      </c>
      <c r="W782">
        <f>IF(nba_draft[[#This Row],[years_played]]&gt;5,1,0)</f>
        <v>0</v>
      </c>
    </row>
    <row r="783" spans="1:23" x14ac:dyDescent="0.25">
      <c r="A783">
        <v>30</v>
      </c>
      <c r="B783" t="s">
        <v>70</v>
      </c>
      <c r="C783" t="s">
        <v>1801</v>
      </c>
      <c r="D783" t="s">
        <v>253</v>
      </c>
      <c r="E783">
        <v>2</v>
      </c>
      <c r="F783">
        <v>124</v>
      </c>
      <c r="G783">
        <v>3210</v>
      </c>
      <c r="H783">
        <v>1625</v>
      </c>
      <c r="I783">
        <v>462</v>
      </c>
      <c r="J783">
        <v>258</v>
      </c>
      <c r="K783">
        <v>0.46400000000000002</v>
      </c>
      <c r="L783">
        <v>0.42399999999999999</v>
      </c>
      <c r="M783">
        <v>0.879</v>
      </c>
      <c r="N783">
        <v>7.8</v>
      </c>
      <c r="O783">
        <v>0.11600000000000001</v>
      </c>
      <c r="P783">
        <v>2020</v>
      </c>
      <c r="Q783">
        <v>25.9</v>
      </c>
      <c r="R783">
        <v>13.1</v>
      </c>
      <c r="S783">
        <v>3.7</v>
      </c>
      <c r="T783">
        <v>2.1</v>
      </c>
      <c r="U783">
        <v>1</v>
      </c>
      <c r="V783">
        <v>30</v>
      </c>
      <c r="W783">
        <f>IF(nba_draft[[#This Row],[years_played]]&gt;5,1,0)</f>
        <v>0</v>
      </c>
    </row>
    <row r="784" spans="1:23" x14ac:dyDescent="0.25">
      <c r="A784">
        <v>49</v>
      </c>
      <c r="B784" t="s">
        <v>63</v>
      </c>
      <c r="C784" t="s">
        <v>731</v>
      </c>
      <c r="D784" t="s">
        <v>24</v>
      </c>
      <c r="E784">
        <v>9</v>
      </c>
      <c r="F784">
        <v>341</v>
      </c>
      <c r="G784">
        <v>5289</v>
      </c>
      <c r="H784">
        <v>1623</v>
      </c>
      <c r="I784">
        <v>567</v>
      </c>
      <c r="J784">
        <v>774</v>
      </c>
      <c r="K784">
        <v>0.41699999999999998</v>
      </c>
      <c r="L784">
        <v>0.315</v>
      </c>
      <c r="M784">
        <v>0.78800000000000003</v>
      </c>
      <c r="N784">
        <v>8.6</v>
      </c>
      <c r="O784">
        <v>7.8E-2</v>
      </c>
      <c r="P784">
        <v>2000</v>
      </c>
      <c r="Q784">
        <v>15.5</v>
      </c>
      <c r="R784">
        <v>4.8</v>
      </c>
      <c r="S784">
        <v>1.7</v>
      </c>
      <c r="T784">
        <v>2.2999999999999998</v>
      </c>
      <c r="U784">
        <v>2</v>
      </c>
      <c r="V784">
        <v>20</v>
      </c>
      <c r="W784">
        <f>IF(nba_draft[[#This Row],[years_played]]&gt;5,1,0)</f>
        <v>1</v>
      </c>
    </row>
    <row r="785" spans="1:23" x14ac:dyDescent="0.25">
      <c r="A785">
        <v>5</v>
      </c>
      <c r="B785" t="s">
        <v>49</v>
      </c>
      <c r="C785" t="s">
        <v>1007</v>
      </c>
      <c r="D785" t="s">
        <v>87</v>
      </c>
      <c r="E785">
        <v>6</v>
      </c>
      <c r="F785">
        <v>361</v>
      </c>
      <c r="G785">
        <v>5586</v>
      </c>
      <c r="H785">
        <v>1618</v>
      </c>
      <c r="I785">
        <v>1562</v>
      </c>
      <c r="J785">
        <v>163</v>
      </c>
      <c r="K785">
        <v>0.46200000000000002</v>
      </c>
      <c r="L785">
        <v>0.222</v>
      </c>
      <c r="M785">
        <v>0.74</v>
      </c>
      <c r="N785">
        <v>9.9</v>
      </c>
      <c r="O785">
        <v>8.5000000000000006E-2</v>
      </c>
      <c r="P785">
        <v>2006</v>
      </c>
      <c r="Q785">
        <v>15.5</v>
      </c>
      <c r="R785">
        <v>4.5</v>
      </c>
      <c r="S785">
        <v>4.3</v>
      </c>
      <c r="T785">
        <v>0.5</v>
      </c>
      <c r="U785">
        <v>1</v>
      </c>
      <c r="V785">
        <v>5</v>
      </c>
      <c r="W785">
        <f>IF(nba_draft[[#This Row],[years_played]]&gt;5,1,0)</f>
        <v>1</v>
      </c>
    </row>
    <row r="786" spans="1:23" x14ac:dyDescent="0.25">
      <c r="A786">
        <v>23</v>
      </c>
      <c r="B786" t="s">
        <v>104</v>
      </c>
      <c r="C786" t="s">
        <v>1734</v>
      </c>
      <c r="D786" t="s">
        <v>97</v>
      </c>
      <c r="E786">
        <v>3</v>
      </c>
      <c r="F786">
        <v>169</v>
      </c>
      <c r="G786">
        <v>4293</v>
      </c>
      <c r="H786">
        <v>1618</v>
      </c>
      <c r="I786">
        <v>990</v>
      </c>
      <c r="J786">
        <v>211</v>
      </c>
      <c r="K786">
        <v>0.39700000000000002</v>
      </c>
      <c r="L786">
        <v>0.30499999999999999</v>
      </c>
      <c r="M786">
        <v>0.69899999999999995</v>
      </c>
      <c r="N786">
        <v>1.4</v>
      </c>
      <c r="O786">
        <v>1.6E-2</v>
      </c>
      <c r="P786">
        <v>2019</v>
      </c>
      <c r="Q786">
        <v>25.4</v>
      </c>
      <c r="R786">
        <v>9.6</v>
      </c>
      <c r="S786">
        <v>5.9</v>
      </c>
      <c r="T786">
        <v>1.2</v>
      </c>
      <c r="U786">
        <v>1</v>
      </c>
      <c r="V786">
        <v>23</v>
      </c>
      <c r="W786">
        <f>IF(nba_draft[[#This Row],[years_played]]&gt;5,1,0)</f>
        <v>0</v>
      </c>
    </row>
    <row r="787" spans="1:23" x14ac:dyDescent="0.25">
      <c r="A787">
        <v>15</v>
      </c>
      <c r="B787" t="s">
        <v>22</v>
      </c>
      <c r="C787" t="s">
        <v>959</v>
      </c>
      <c r="D787" t="s">
        <v>960</v>
      </c>
      <c r="E787">
        <v>6</v>
      </c>
      <c r="F787">
        <v>297</v>
      </c>
      <c r="G787">
        <v>5714</v>
      </c>
      <c r="H787">
        <v>1614</v>
      </c>
      <c r="I787">
        <v>681</v>
      </c>
      <c r="J787">
        <v>295</v>
      </c>
      <c r="K787">
        <v>0.41199999999999998</v>
      </c>
      <c r="L787">
        <v>0.30399999999999999</v>
      </c>
      <c r="M787">
        <v>0.67400000000000004</v>
      </c>
      <c r="N787">
        <v>3.1</v>
      </c>
      <c r="O787">
        <v>2.5999999999999999E-2</v>
      </c>
      <c r="P787">
        <v>2005</v>
      </c>
      <c r="Q787">
        <v>19.2</v>
      </c>
      <c r="R787">
        <v>5.4</v>
      </c>
      <c r="S787">
        <v>2.2999999999999998</v>
      </c>
      <c r="T787">
        <v>1</v>
      </c>
      <c r="U787">
        <v>1</v>
      </c>
      <c r="V787">
        <v>15</v>
      </c>
      <c r="W787">
        <f>IF(nba_draft[[#This Row],[years_played]]&gt;5,1,0)</f>
        <v>1</v>
      </c>
    </row>
    <row r="788" spans="1:23" x14ac:dyDescent="0.25">
      <c r="A788">
        <v>26</v>
      </c>
      <c r="B788" t="s">
        <v>25</v>
      </c>
      <c r="C788" t="s">
        <v>1243</v>
      </c>
      <c r="D788" t="s">
        <v>325</v>
      </c>
      <c r="E788">
        <v>7</v>
      </c>
      <c r="F788">
        <v>355</v>
      </c>
      <c r="G788">
        <v>5530</v>
      </c>
      <c r="H788">
        <v>1609</v>
      </c>
      <c r="I788">
        <v>640</v>
      </c>
      <c r="J788">
        <v>263</v>
      </c>
      <c r="K788">
        <v>0.42299999999999999</v>
      </c>
      <c r="L788">
        <v>0.35599999999999998</v>
      </c>
      <c r="M788">
        <v>0.746</v>
      </c>
      <c r="N788">
        <v>9.6999999999999993</v>
      </c>
      <c r="O788">
        <v>8.4000000000000005E-2</v>
      </c>
      <c r="P788">
        <v>2010</v>
      </c>
      <c r="Q788">
        <v>15.6</v>
      </c>
      <c r="R788">
        <v>4.5</v>
      </c>
      <c r="S788">
        <v>1.8</v>
      </c>
      <c r="T788">
        <v>0.7</v>
      </c>
      <c r="U788">
        <v>1</v>
      </c>
      <c r="V788">
        <v>26</v>
      </c>
      <c r="W788">
        <f>IF(nba_draft[[#This Row],[years_played]]&gt;5,1,0)</f>
        <v>1</v>
      </c>
    </row>
    <row r="789" spans="1:23" x14ac:dyDescent="0.25">
      <c r="A789">
        <v>9</v>
      </c>
      <c r="B789" t="s">
        <v>65</v>
      </c>
      <c r="C789" t="s">
        <v>1660</v>
      </c>
      <c r="D789" t="s">
        <v>282</v>
      </c>
      <c r="E789">
        <v>4</v>
      </c>
      <c r="F789">
        <v>203</v>
      </c>
      <c r="G789">
        <v>3956</v>
      </c>
      <c r="H789">
        <v>1608</v>
      </c>
      <c r="I789">
        <v>615</v>
      </c>
      <c r="J789">
        <v>170</v>
      </c>
      <c r="K789">
        <v>0.36799999999999999</v>
      </c>
      <c r="L789">
        <v>0.34200000000000003</v>
      </c>
      <c r="M789">
        <v>0.70399999999999996</v>
      </c>
      <c r="N789">
        <v>-0.5</v>
      </c>
      <c r="O789">
        <v>-6.0000000000000001E-3</v>
      </c>
      <c r="P789">
        <v>2018</v>
      </c>
      <c r="Q789">
        <v>19.5</v>
      </c>
      <c r="R789">
        <v>7.9</v>
      </c>
      <c r="S789">
        <v>3</v>
      </c>
      <c r="T789">
        <v>0.8</v>
      </c>
      <c r="U789">
        <v>1</v>
      </c>
      <c r="V789">
        <v>9</v>
      </c>
      <c r="W789">
        <f>IF(nba_draft[[#This Row],[years_played]]&gt;5,1,0)</f>
        <v>0</v>
      </c>
    </row>
    <row r="790" spans="1:23" x14ac:dyDescent="0.25">
      <c r="A790">
        <v>25</v>
      </c>
      <c r="B790" t="s">
        <v>393</v>
      </c>
      <c r="C790" t="s">
        <v>1353</v>
      </c>
      <c r="D790" t="s">
        <v>325</v>
      </c>
      <c r="E790">
        <v>4</v>
      </c>
      <c r="F790">
        <v>145</v>
      </c>
      <c r="G790">
        <v>3076</v>
      </c>
      <c r="H790">
        <v>1604</v>
      </c>
      <c r="I790">
        <v>363</v>
      </c>
      <c r="J790">
        <v>437</v>
      </c>
      <c r="K790">
        <v>0.41299999999999998</v>
      </c>
      <c r="L790">
        <v>0.23100000000000001</v>
      </c>
      <c r="M790">
        <v>0.64700000000000002</v>
      </c>
      <c r="N790">
        <v>-1.3</v>
      </c>
      <c r="O790">
        <v>-2.1000000000000001E-2</v>
      </c>
      <c r="P790">
        <v>2012</v>
      </c>
      <c r="Q790">
        <v>21.2</v>
      </c>
      <c r="R790">
        <v>11.1</v>
      </c>
      <c r="S790">
        <v>2.5</v>
      </c>
      <c r="T790">
        <v>3</v>
      </c>
      <c r="U790">
        <v>1</v>
      </c>
      <c r="V790">
        <v>25</v>
      </c>
      <c r="W790">
        <f>IF(nba_draft[[#This Row],[years_played]]&gt;5,1,0)</f>
        <v>0</v>
      </c>
    </row>
    <row r="791" spans="1:23" x14ac:dyDescent="0.25">
      <c r="A791">
        <v>30</v>
      </c>
      <c r="B791" t="s">
        <v>52</v>
      </c>
      <c r="C791" t="s">
        <v>1525</v>
      </c>
      <c r="D791" t="s">
        <v>113</v>
      </c>
      <c r="E791">
        <v>7</v>
      </c>
      <c r="F791">
        <v>344</v>
      </c>
      <c r="G791">
        <v>5545</v>
      </c>
      <c r="H791">
        <v>1603</v>
      </c>
      <c r="I791">
        <v>1600</v>
      </c>
      <c r="J791">
        <v>436</v>
      </c>
      <c r="K791">
        <v>0.56200000000000006</v>
      </c>
      <c r="L791">
        <v>0.17199999999999999</v>
      </c>
      <c r="M791">
        <v>0.61499999999999999</v>
      </c>
      <c r="N791">
        <v>18.5</v>
      </c>
      <c r="O791">
        <v>0.16</v>
      </c>
      <c r="P791">
        <v>2015</v>
      </c>
      <c r="Q791">
        <v>16.100000000000001</v>
      </c>
      <c r="R791">
        <v>4.7</v>
      </c>
      <c r="S791">
        <v>4.7</v>
      </c>
      <c r="T791">
        <v>1.3</v>
      </c>
      <c r="U791">
        <v>1</v>
      </c>
      <c r="V791">
        <v>30</v>
      </c>
      <c r="W791">
        <f>IF(nba_draft[[#This Row],[years_played]]&gt;5,1,0)</f>
        <v>1</v>
      </c>
    </row>
    <row r="792" spans="1:23" x14ac:dyDescent="0.25">
      <c r="A792">
        <v>9</v>
      </c>
      <c r="B792" t="s">
        <v>109</v>
      </c>
      <c r="C792" t="s">
        <v>1720</v>
      </c>
      <c r="D792" t="s">
        <v>820</v>
      </c>
      <c r="E792">
        <v>3</v>
      </c>
      <c r="F792">
        <v>123</v>
      </c>
      <c r="G792">
        <v>3571</v>
      </c>
      <c r="H792">
        <v>1598</v>
      </c>
      <c r="I792">
        <v>665</v>
      </c>
      <c r="J792">
        <v>187</v>
      </c>
      <c r="K792">
        <v>0.47099999999999997</v>
      </c>
      <c r="L792">
        <v>0.33500000000000002</v>
      </c>
      <c r="M792">
        <v>0.79600000000000004</v>
      </c>
      <c r="N792">
        <v>4.4000000000000004</v>
      </c>
      <c r="O792">
        <v>5.8999999999999997E-2</v>
      </c>
      <c r="P792">
        <v>2019</v>
      </c>
      <c r="Q792">
        <v>29</v>
      </c>
      <c r="R792">
        <v>13</v>
      </c>
      <c r="S792">
        <v>5.4</v>
      </c>
      <c r="T792">
        <v>1.5</v>
      </c>
      <c r="U792">
        <v>1</v>
      </c>
      <c r="V792">
        <v>9</v>
      </c>
      <c r="W792">
        <f>IF(nba_draft[[#This Row],[years_played]]&gt;5,1,0)</f>
        <v>0</v>
      </c>
    </row>
    <row r="793" spans="1:23" x14ac:dyDescent="0.25">
      <c r="A793">
        <v>46</v>
      </c>
      <c r="B793" t="s">
        <v>863</v>
      </c>
      <c r="C793" t="s">
        <v>1375</v>
      </c>
      <c r="D793" t="s">
        <v>282</v>
      </c>
      <c r="E793">
        <v>6</v>
      </c>
      <c r="F793">
        <v>271</v>
      </c>
      <c r="G793">
        <v>5358</v>
      </c>
      <c r="H793">
        <v>1597</v>
      </c>
      <c r="I793">
        <v>447</v>
      </c>
      <c r="J793">
        <v>367</v>
      </c>
      <c r="K793">
        <v>0.41899999999999998</v>
      </c>
      <c r="L793">
        <v>0.38300000000000001</v>
      </c>
      <c r="M793">
        <v>0.84</v>
      </c>
      <c r="N793">
        <v>6.5</v>
      </c>
      <c r="O793">
        <v>5.8999999999999997E-2</v>
      </c>
      <c r="P793">
        <v>2012</v>
      </c>
      <c r="Q793">
        <v>19.8</v>
      </c>
      <c r="R793">
        <v>5.9</v>
      </c>
      <c r="S793">
        <v>1.6</v>
      </c>
      <c r="T793">
        <v>1.4</v>
      </c>
      <c r="U793">
        <v>2</v>
      </c>
      <c r="V793">
        <v>16</v>
      </c>
      <c r="W793">
        <f>IF(nba_draft[[#This Row],[years_played]]&gt;5,1,0)</f>
        <v>1</v>
      </c>
    </row>
    <row r="794" spans="1:23" x14ac:dyDescent="0.25">
      <c r="A794">
        <v>35</v>
      </c>
      <c r="B794" t="s">
        <v>22</v>
      </c>
      <c r="C794" t="s">
        <v>775</v>
      </c>
      <c r="D794" t="s">
        <v>230</v>
      </c>
      <c r="E794">
        <v>11</v>
      </c>
      <c r="F794">
        <v>520</v>
      </c>
      <c r="G794">
        <v>6772</v>
      </c>
      <c r="H794">
        <v>1594</v>
      </c>
      <c r="I794">
        <v>1034</v>
      </c>
      <c r="J794">
        <v>436</v>
      </c>
      <c r="K794">
        <v>0.39</v>
      </c>
      <c r="L794">
        <v>0.34399999999999997</v>
      </c>
      <c r="M794">
        <v>0.78300000000000003</v>
      </c>
      <c r="N794">
        <v>7.6</v>
      </c>
      <c r="O794">
        <v>5.3999999999999999E-2</v>
      </c>
      <c r="P794">
        <v>2001</v>
      </c>
      <c r="Q794">
        <v>13</v>
      </c>
      <c r="R794">
        <v>3.1</v>
      </c>
      <c r="S794">
        <v>2</v>
      </c>
      <c r="T794">
        <v>0.8</v>
      </c>
      <c r="U794">
        <v>2</v>
      </c>
      <c r="V794">
        <v>6</v>
      </c>
      <c r="W794">
        <f>IF(nba_draft[[#This Row],[years_played]]&gt;5,1,0)</f>
        <v>1</v>
      </c>
    </row>
    <row r="795" spans="1:23" x14ac:dyDescent="0.25">
      <c r="A795">
        <v>44</v>
      </c>
      <c r="B795" t="s">
        <v>65</v>
      </c>
      <c r="C795" t="s">
        <v>1639</v>
      </c>
      <c r="D795" t="s">
        <v>158</v>
      </c>
      <c r="E795">
        <v>5</v>
      </c>
      <c r="F795">
        <v>213</v>
      </c>
      <c r="G795">
        <v>4242</v>
      </c>
      <c r="H795">
        <v>1594</v>
      </c>
      <c r="I795">
        <v>532</v>
      </c>
      <c r="J795">
        <v>315</v>
      </c>
      <c r="K795">
        <v>0.41699999999999998</v>
      </c>
      <c r="L795">
        <v>0.34499999999999997</v>
      </c>
      <c r="M795">
        <v>0.71099999999999997</v>
      </c>
      <c r="N795">
        <v>3</v>
      </c>
      <c r="O795">
        <v>3.4000000000000002E-2</v>
      </c>
      <c r="P795">
        <v>2017</v>
      </c>
      <c r="Q795">
        <v>19.899999999999999</v>
      </c>
      <c r="R795">
        <v>7.5</v>
      </c>
      <c r="S795">
        <v>2.5</v>
      </c>
      <c r="T795">
        <v>1.5</v>
      </c>
      <c r="U795">
        <v>2</v>
      </c>
      <c r="V795">
        <v>14</v>
      </c>
      <c r="W795">
        <f>IF(nba_draft[[#This Row],[years_played]]&gt;5,1,0)</f>
        <v>0</v>
      </c>
    </row>
    <row r="796" spans="1:23" x14ac:dyDescent="0.25">
      <c r="A796">
        <v>25</v>
      </c>
      <c r="B796" t="s">
        <v>70</v>
      </c>
      <c r="C796" t="s">
        <v>1294</v>
      </c>
      <c r="D796" t="s">
        <v>175</v>
      </c>
      <c r="E796">
        <v>5</v>
      </c>
      <c r="F796">
        <v>200</v>
      </c>
      <c r="G796">
        <v>3456</v>
      </c>
      <c r="H796">
        <v>1592</v>
      </c>
      <c r="I796">
        <v>424</v>
      </c>
      <c r="J796">
        <v>282</v>
      </c>
      <c r="K796">
        <v>0.44700000000000001</v>
      </c>
      <c r="L796">
        <v>0.34499999999999997</v>
      </c>
      <c r="M796">
        <v>0.751</v>
      </c>
      <c r="N796">
        <v>3.3</v>
      </c>
      <c r="O796">
        <v>4.5999999999999999E-2</v>
      </c>
      <c r="P796">
        <v>2011</v>
      </c>
      <c r="Q796">
        <v>17.3</v>
      </c>
      <c r="R796">
        <v>8</v>
      </c>
      <c r="S796">
        <v>2.1</v>
      </c>
      <c r="T796">
        <v>1.4</v>
      </c>
      <c r="U796">
        <v>1</v>
      </c>
      <c r="V796">
        <v>25</v>
      </c>
      <c r="W796">
        <f>IF(nba_draft[[#This Row],[years_played]]&gt;5,1,0)</f>
        <v>0</v>
      </c>
    </row>
    <row r="797" spans="1:23" x14ac:dyDescent="0.25">
      <c r="A797">
        <v>54</v>
      </c>
      <c r="B797" t="s">
        <v>149</v>
      </c>
      <c r="C797" t="s">
        <v>1704</v>
      </c>
      <c r="D797" t="s">
        <v>763</v>
      </c>
      <c r="E797">
        <v>4</v>
      </c>
      <c r="F797">
        <v>154</v>
      </c>
      <c r="G797">
        <v>3289</v>
      </c>
      <c r="H797">
        <v>1589</v>
      </c>
      <c r="I797">
        <v>367</v>
      </c>
      <c r="J797">
        <v>403</v>
      </c>
      <c r="K797">
        <v>0.44600000000000001</v>
      </c>
      <c r="L797">
        <v>0.36099999999999999</v>
      </c>
      <c r="M797">
        <v>0.82499999999999996</v>
      </c>
      <c r="N797">
        <v>6</v>
      </c>
      <c r="O797">
        <v>8.7999999999999995E-2</v>
      </c>
      <c r="P797">
        <v>2018</v>
      </c>
      <c r="Q797">
        <v>21.4</v>
      </c>
      <c r="R797">
        <v>10.3</v>
      </c>
      <c r="S797">
        <v>2.4</v>
      </c>
      <c r="T797">
        <v>2.6</v>
      </c>
      <c r="U797">
        <v>2</v>
      </c>
      <c r="V797">
        <v>24</v>
      </c>
      <c r="W797">
        <f>IF(nba_draft[[#This Row],[years_played]]&gt;5,1,0)</f>
        <v>0</v>
      </c>
    </row>
    <row r="798" spans="1:23" x14ac:dyDescent="0.25">
      <c r="A798">
        <v>17</v>
      </c>
      <c r="B798" t="s">
        <v>63</v>
      </c>
      <c r="C798" t="s">
        <v>1668</v>
      </c>
      <c r="D798" t="s">
        <v>458</v>
      </c>
      <c r="E798">
        <v>4</v>
      </c>
      <c r="F798">
        <v>179</v>
      </c>
      <c r="G798">
        <v>4161</v>
      </c>
      <c r="H798">
        <v>1579</v>
      </c>
      <c r="I798">
        <v>836</v>
      </c>
      <c r="J798">
        <v>429</v>
      </c>
      <c r="K798">
        <v>0.42099999999999999</v>
      </c>
      <c r="L798">
        <v>0.34</v>
      </c>
      <c r="M798">
        <v>0.755</v>
      </c>
      <c r="N798">
        <v>8.6</v>
      </c>
      <c r="O798">
        <v>9.9000000000000005E-2</v>
      </c>
      <c r="P798">
        <v>2018</v>
      </c>
      <c r="Q798">
        <v>23.2</v>
      </c>
      <c r="R798">
        <v>8.8000000000000007</v>
      </c>
      <c r="S798">
        <v>4.7</v>
      </c>
      <c r="T798">
        <v>2.4</v>
      </c>
      <c r="U798">
        <v>1</v>
      </c>
      <c r="V798">
        <v>17</v>
      </c>
      <c r="W798">
        <f>IF(nba_draft[[#This Row],[years_played]]&gt;5,1,0)</f>
        <v>0</v>
      </c>
    </row>
    <row r="799" spans="1:23" x14ac:dyDescent="0.25">
      <c r="A799">
        <v>40</v>
      </c>
      <c r="B799" t="s">
        <v>22</v>
      </c>
      <c r="C799" t="s">
        <v>1150</v>
      </c>
      <c r="D799" t="s">
        <v>196</v>
      </c>
      <c r="E799">
        <v>6</v>
      </c>
      <c r="F799">
        <v>222</v>
      </c>
      <c r="G799">
        <v>4381</v>
      </c>
      <c r="H799">
        <v>1571</v>
      </c>
      <c r="I799">
        <v>472</v>
      </c>
      <c r="J799">
        <v>254</v>
      </c>
      <c r="K799">
        <v>0.439</v>
      </c>
      <c r="L799">
        <v>0.32900000000000001</v>
      </c>
      <c r="M799">
        <v>0.83099999999999996</v>
      </c>
      <c r="N799">
        <v>5.4</v>
      </c>
      <c r="O799">
        <v>5.8999999999999997E-2</v>
      </c>
      <c r="P799">
        <v>2008</v>
      </c>
      <c r="Q799">
        <v>19.7</v>
      </c>
      <c r="R799">
        <v>7.1</v>
      </c>
      <c r="S799">
        <v>2.1</v>
      </c>
      <c r="T799">
        <v>1.1000000000000001</v>
      </c>
      <c r="U799">
        <v>2</v>
      </c>
      <c r="V799">
        <v>10</v>
      </c>
      <c r="W799">
        <f>IF(nba_draft[[#This Row],[years_played]]&gt;5,1,0)</f>
        <v>1</v>
      </c>
    </row>
    <row r="800" spans="1:23" x14ac:dyDescent="0.25">
      <c r="A800">
        <v>12</v>
      </c>
      <c r="B800" t="s">
        <v>40</v>
      </c>
      <c r="C800" t="s">
        <v>1783</v>
      </c>
      <c r="D800" t="s">
        <v>168</v>
      </c>
      <c r="E800">
        <v>2</v>
      </c>
      <c r="F800">
        <v>113</v>
      </c>
      <c r="G800">
        <v>3658</v>
      </c>
      <c r="H800">
        <v>1563</v>
      </c>
      <c r="I800">
        <v>389</v>
      </c>
      <c r="J800">
        <v>732</v>
      </c>
      <c r="K800">
        <v>0.46600000000000003</v>
      </c>
      <c r="L800">
        <v>0.41299999999999998</v>
      </c>
      <c r="M800">
        <v>0.84099999999999997</v>
      </c>
      <c r="N800">
        <v>8.3000000000000007</v>
      </c>
      <c r="O800">
        <v>0.109</v>
      </c>
      <c r="P800">
        <v>2020</v>
      </c>
      <c r="Q800">
        <v>32.4</v>
      </c>
      <c r="R800">
        <v>13.8</v>
      </c>
      <c r="S800">
        <v>3.4</v>
      </c>
      <c r="T800">
        <v>6.5</v>
      </c>
      <c r="U800">
        <v>1</v>
      </c>
      <c r="V800">
        <v>12</v>
      </c>
      <c r="W800">
        <f>IF(nba_draft[[#This Row],[years_played]]&gt;5,1,0)</f>
        <v>0</v>
      </c>
    </row>
    <row r="801" spans="1:23" x14ac:dyDescent="0.25">
      <c r="A801">
        <v>20</v>
      </c>
      <c r="B801" t="s">
        <v>37</v>
      </c>
      <c r="C801" t="s">
        <v>73</v>
      </c>
      <c r="D801" t="s">
        <v>74</v>
      </c>
      <c r="E801">
        <v>4</v>
      </c>
      <c r="F801">
        <v>201</v>
      </c>
      <c r="G801">
        <v>3347</v>
      </c>
      <c r="H801">
        <v>1553</v>
      </c>
      <c r="I801">
        <v>512</v>
      </c>
      <c r="J801">
        <v>298</v>
      </c>
      <c r="K801">
        <v>0.433</v>
      </c>
      <c r="L801">
        <v>0.23599999999999999</v>
      </c>
      <c r="M801">
        <v>0.64300000000000002</v>
      </c>
      <c r="N801">
        <v>1.8</v>
      </c>
      <c r="O801">
        <v>2.5000000000000001E-2</v>
      </c>
      <c r="P801">
        <v>1990</v>
      </c>
      <c r="Q801">
        <v>16.7</v>
      </c>
      <c r="R801">
        <v>7.7</v>
      </c>
      <c r="S801">
        <v>2.5</v>
      </c>
      <c r="T801">
        <v>1.5</v>
      </c>
      <c r="U801">
        <v>1</v>
      </c>
      <c r="V801">
        <v>20</v>
      </c>
      <c r="W801">
        <f>IF(nba_draft[[#This Row],[years_played]]&gt;5,1,0)</f>
        <v>0</v>
      </c>
    </row>
    <row r="802" spans="1:23" x14ac:dyDescent="0.25">
      <c r="A802">
        <v>20</v>
      </c>
      <c r="B802" t="s">
        <v>34</v>
      </c>
      <c r="C802" t="s">
        <v>1128</v>
      </c>
      <c r="D802" t="s">
        <v>97</v>
      </c>
      <c r="E802">
        <v>7</v>
      </c>
      <c r="F802">
        <v>293</v>
      </c>
      <c r="G802">
        <v>3905</v>
      </c>
      <c r="H802">
        <v>1553</v>
      </c>
      <c r="I802">
        <v>1150</v>
      </c>
      <c r="J802">
        <v>143</v>
      </c>
      <c r="K802">
        <v>0.503</v>
      </c>
      <c r="L802">
        <v>0.28599999999999998</v>
      </c>
      <c r="M802">
        <v>0.79700000000000004</v>
      </c>
      <c r="N802">
        <v>7.5</v>
      </c>
      <c r="O802">
        <v>9.2999999999999999E-2</v>
      </c>
      <c r="P802">
        <v>2008</v>
      </c>
      <c r="Q802">
        <v>13.3</v>
      </c>
      <c r="R802">
        <v>5.3</v>
      </c>
      <c r="S802">
        <v>3.9</v>
      </c>
      <c r="T802">
        <v>0.5</v>
      </c>
      <c r="U802">
        <v>1</v>
      </c>
      <c r="V802">
        <v>20</v>
      </c>
      <c r="W802">
        <f>IF(nba_draft[[#This Row],[years_played]]&gt;5,1,0)</f>
        <v>1</v>
      </c>
    </row>
    <row r="803" spans="1:23" x14ac:dyDescent="0.25">
      <c r="A803">
        <v>16</v>
      </c>
      <c r="B803" t="s">
        <v>22</v>
      </c>
      <c r="C803" t="s">
        <v>299</v>
      </c>
      <c r="D803" t="s">
        <v>108</v>
      </c>
      <c r="E803">
        <v>7</v>
      </c>
      <c r="F803">
        <v>335</v>
      </c>
      <c r="G803">
        <v>4602</v>
      </c>
      <c r="H803">
        <v>1547</v>
      </c>
      <c r="I803">
        <v>403</v>
      </c>
      <c r="J803">
        <v>569</v>
      </c>
      <c r="K803">
        <v>0.441</v>
      </c>
      <c r="L803">
        <v>0.36099999999999999</v>
      </c>
      <c r="M803">
        <v>0.80900000000000005</v>
      </c>
      <c r="N803">
        <v>6.3</v>
      </c>
      <c r="O803">
        <v>6.6000000000000003E-2</v>
      </c>
      <c r="P803">
        <v>1993</v>
      </c>
      <c r="Q803">
        <v>13.7</v>
      </c>
      <c r="R803">
        <v>4.5999999999999996</v>
      </c>
      <c r="S803">
        <v>1.2</v>
      </c>
      <c r="T803">
        <v>1.7</v>
      </c>
      <c r="U803">
        <v>1</v>
      </c>
      <c r="V803">
        <v>16</v>
      </c>
      <c r="W803">
        <f>IF(nba_draft[[#This Row],[years_played]]&gt;5,1,0)</f>
        <v>1</v>
      </c>
    </row>
    <row r="804" spans="1:23" x14ac:dyDescent="0.25">
      <c r="A804">
        <v>28</v>
      </c>
      <c r="B804" t="s">
        <v>393</v>
      </c>
      <c r="C804" t="s">
        <v>1137</v>
      </c>
      <c r="D804" t="s">
        <v>24</v>
      </c>
      <c r="E804">
        <v>4</v>
      </c>
      <c r="F804">
        <v>253</v>
      </c>
      <c r="G804">
        <v>4259</v>
      </c>
      <c r="H804">
        <v>1541</v>
      </c>
      <c r="I804">
        <v>600</v>
      </c>
      <c r="J804">
        <v>183</v>
      </c>
      <c r="K804">
        <v>0.40600000000000003</v>
      </c>
      <c r="L804">
        <v>0.30399999999999999</v>
      </c>
      <c r="M804">
        <v>0.70099999999999996</v>
      </c>
      <c r="N804">
        <v>1.5</v>
      </c>
      <c r="O804">
        <v>1.7000000000000001E-2</v>
      </c>
      <c r="P804">
        <v>2008</v>
      </c>
      <c r="Q804">
        <v>16.8</v>
      </c>
      <c r="R804">
        <v>6.1</v>
      </c>
      <c r="S804">
        <v>2.4</v>
      </c>
      <c r="T804">
        <v>0.7</v>
      </c>
      <c r="U804">
        <v>1</v>
      </c>
      <c r="V804">
        <v>28</v>
      </c>
      <c r="W804">
        <f>IF(nba_draft[[#This Row],[years_played]]&gt;5,1,0)</f>
        <v>0</v>
      </c>
    </row>
    <row r="805" spans="1:23" x14ac:dyDescent="0.25">
      <c r="A805">
        <v>36</v>
      </c>
      <c r="B805" t="s">
        <v>40</v>
      </c>
      <c r="C805" t="s">
        <v>602</v>
      </c>
      <c r="D805" t="s">
        <v>603</v>
      </c>
      <c r="E805">
        <v>9</v>
      </c>
      <c r="F805">
        <v>358</v>
      </c>
      <c r="G805">
        <v>4771</v>
      </c>
      <c r="H805">
        <v>1540</v>
      </c>
      <c r="I805">
        <v>1099</v>
      </c>
      <c r="J805">
        <v>118</v>
      </c>
      <c r="K805">
        <v>0.48499999999999999</v>
      </c>
      <c r="L805">
        <v>0</v>
      </c>
      <c r="M805">
        <v>0.61699999999999999</v>
      </c>
      <c r="N805">
        <v>2.9</v>
      </c>
      <c r="O805">
        <v>2.9000000000000001E-2</v>
      </c>
      <c r="P805">
        <v>1998</v>
      </c>
      <c r="Q805">
        <v>13.3</v>
      </c>
      <c r="R805">
        <v>4.3</v>
      </c>
      <c r="S805">
        <v>3.1</v>
      </c>
      <c r="T805">
        <v>0.3</v>
      </c>
      <c r="U805">
        <v>2</v>
      </c>
      <c r="V805">
        <v>7</v>
      </c>
      <c r="W805">
        <f>IF(nba_draft[[#This Row],[years_played]]&gt;5,1,0)</f>
        <v>1</v>
      </c>
    </row>
    <row r="806" spans="1:23" x14ac:dyDescent="0.25">
      <c r="A806">
        <v>9</v>
      </c>
      <c r="B806" t="s">
        <v>88</v>
      </c>
      <c r="C806" t="s">
        <v>748</v>
      </c>
      <c r="D806" t="s">
        <v>607</v>
      </c>
      <c r="E806">
        <v>4</v>
      </c>
      <c r="F806">
        <v>218</v>
      </c>
      <c r="G806">
        <v>3354</v>
      </c>
      <c r="H806">
        <v>1540</v>
      </c>
      <c r="I806">
        <v>485</v>
      </c>
      <c r="J806">
        <v>237</v>
      </c>
      <c r="K806">
        <v>0.42399999999999999</v>
      </c>
      <c r="L806">
        <v>0.314</v>
      </c>
      <c r="M806">
        <v>0.749</v>
      </c>
      <c r="N806">
        <v>1.8</v>
      </c>
      <c r="O806">
        <v>2.5999999999999999E-2</v>
      </c>
      <c r="P806">
        <v>2001</v>
      </c>
      <c r="Q806">
        <v>15.4</v>
      </c>
      <c r="R806">
        <v>7.1</v>
      </c>
      <c r="S806">
        <v>2.2000000000000002</v>
      </c>
      <c r="T806">
        <v>1.1000000000000001</v>
      </c>
      <c r="U806">
        <v>1</v>
      </c>
      <c r="V806">
        <v>9</v>
      </c>
      <c r="W806">
        <f>IF(nba_draft[[#This Row],[years_played]]&gt;5,1,0)</f>
        <v>0</v>
      </c>
    </row>
    <row r="807" spans="1:23" x14ac:dyDescent="0.25">
      <c r="A807">
        <v>5</v>
      </c>
      <c r="B807" t="s">
        <v>40</v>
      </c>
      <c r="C807" t="s">
        <v>1331</v>
      </c>
      <c r="D807" t="s">
        <v>108</v>
      </c>
      <c r="E807">
        <v>5</v>
      </c>
      <c r="F807">
        <v>313</v>
      </c>
      <c r="G807">
        <v>4204</v>
      </c>
      <c r="H807">
        <v>1528</v>
      </c>
      <c r="I807">
        <v>1507</v>
      </c>
      <c r="J807">
        <v>190</v>
      </c>
      <c r="K807">
        <v>0.47</v>
      </c>
      <c r="L807">
        <v>0</v>
      </c>
      <c r="M807">
        <v>0.505</v>
      </c>
      <c r="N807">
        <v>4.5999999999999996</v>
      </c>
      <c r="O807">
        <v>5.2999999999999999E-2</v>
      </c>
      <c r="P807">
        <v>2012</v>
      </c>
      <c r="Q807">
        <v>13.4</v>
      </c>
      <c r="R807">
        <v>4.9000000000000004</v>
      </c>
      <c r="S807">
        <v>4.8</v>
      </c>
      <c r="T807">
        <v>0.6</v>
      </c>
      <c r="U807">
        <v>1</v>
      </c>
      <c r="V807">
        <v>5</v>
      </c>
      <c r="W807">
        <f>IF(nba_draft[[#This Row],[years_played]]&gt;5,1,0)</f>
        <v>0</v>
      </c>
    </row>
    <row r="808" spans="1:23" x14ac:dyDescent="0.25">
      <c r="A808">
        <v>52</v>
      </c>
      <c r="B808" t="s">
        <v>127</v>
      </c>
      <c r="C808" t="s">
        <v>1211</v>
      </c>
      <c r="D808" t="s">
        <v>79</v>
      </c>
      <c r="E808">
        <v>6</v>
      </c>
      <c r="F808">
        <v>261</v>
      </c>
      <c r="G808">
        <v>3929</v>
      </c>
      <c r="H808">
        <v>1523</v>
      </c>
      <c r="I808">
        <v>377</v>
      </c>
      <c r="J808">
        <v>567</v>
      </c>
      <c r="K808">
        <v>0.38</v>
      </c>
      <c r="L808">
        <v>0.316</v>
      </c>
      <c r="M808">
        <v>0.74199999999999999</v>
      </c>
      <c r="N808">
        <v>4.7</v>
      </c>
      <c r="O808">
        <v>5.8000000000000003E-2</v>
      </c>
      <c r="P808">
        <v>2009</v>
      </c>
      <c r="Q808">
        <v>15.1</v>
      </c>
      <c r="R808">
        <v>5.8</v>
      </c>
      <c r="S808">
        <v>1.4</v>
      </c>
      <c r="T808">
        <v>2.2000000000000002</v>
      </c>
      <c r="U808">
        <v>2</v>
      </c>
      <c r="V808">
        <v>22</v>
      </c>
      <c r="W808">
        <f>IF(nba_draft[[#This Row],[years_played]]&gt;5,1,0)</f>
        <v>1</v>
      </c>
    </row>
    <row r="809" spans="1:23" x14ac:dyDescent="0.25">
      <c r="A809">
        <v>15</v>
      </c>
      <c r="B809" t="s">
        <v>88</v>
      </c>
      <c r="C809" t="s">
        <v>1177</v>
      </c>
      <c r="D809" t="s">
        <v>820</v>
      </c>
      <c r="E809">
        <v>6</v>
      </c>
      <c r="F809">
        <v>293</v>
      </c>
      <c r="G809">
        <v>4132</v>
      </c>
      <c r="H809">
        <v>1522</v>
      </c>
      <c r="I809">
        <v>764</v>
      </c>
      <c r="J809">
        <v>212</v>
      </c>
      <c r="K809">
        <v>0.40200000000000002</v>
      </c>
      <c r="L809">
        <v>0.35099999999999998</v>
      </c>
      <c r="M809">
        <v>0.77800000000000002</v>
      </c>
      <c r="N809">
        <v>4.5</v>
      </c>
      <c r="O809">
        <v>5.2999999999999999E-2</v>
      </c>
      <c r="P809">
        <v>2009</v>
      </c>
      <c r="Q809">
        <v>14.1</v>
      </c>
      <c r="R809">
        <v>5.2</v>
      </c>
      <c r="S809">
        <v>2.6</v>
      </c>
      <c r="T809">
        <v>0.7</v>
      </c>
      <c r="U809">
        <v>1</v>
      </c>
      <c r="V809">
        <v>15</v>
      </c>
      <c r="W809">
        <f>IF(nba_draft[[#This Row],[years_played]]&gt;5,1,0)</f>
        <v>1</v>
      </c>
    </row>
    <row r="810" spans="1:23" x14ac:dyDescent="0.25">
      <c r="A810">
        <v>15</v>
      </c>
      <c r="B810" t="s">
        <v>63</v>
      </c>
      <c r="C810" t="s">
        <v>1232</v>
      </c>
      <c r="D810" t="s">
        <v>1183</v>
      </c>
      <c r="E810">
        <v>6</v>
      </c>
      <c r="F810">
        <v>238</v>
      </c>
      <c r="G810">
        <v>4635</v>
      </c>
      <c r="H810">
        <v>1520</v>
      </c>
      <c r="I810">
        <v>1345</v>
      </c>
      <c r="J810">
        <v>174</v>
      </c>
      <c r="K810">
        <v>0.48</v>
      </c>
      <c r="L810">
        <v>0</v>
      </c>
      <c r="M810">
        <v>0.55300000000000005</v>
      </c>
      <c r="N810">
        <v>10.3</v>
      </c>
      <c r="O810">
        <v>0.107</v>
      </c>
      <c r="P810">
        <v>2010</v>
      </c>
      <c r="Q810">
        <v>19.5</v>
      </c>
      <c r="R810">
        <v>6.4</v>
      </c>
      <c r="S810">
        <v>5.7</v>
      </c>
      <c r="T810">
        <v>0.7</v>
      </c>
      <c r="U810">
        <v>1</v>
      </c>
      <c r="V810">
        <v>15</v>
      </c>
      <c r="W810">
        <f>IF(nba_draft[[#This Row],[years_played]]&gt;5,1,0)</f>
        <v>1</v>
      </c>
    </row>
    <row r="811" spans="1:23" x14ac:dyDescent="0.25">
      <c r="A811">
        <v>16</v>
      </c>
      <c r="B811" t="s">
        <v>102</v>
      </c>
      <c r="C811" t="s">
        <v>806</v>
      </c>
      <c r="D811" t="s">
        <v>97</v>
      </c>
      <c r="E811">
        <v>4</v>
      </c>
      <c r="F811">
        <v>247</v>
      </c>
      <c r="G811">
        <v>4596</v>
      </c>
      <c r="H811">
        <v>1519</v>
      </c>
      <c r="I811">
        <v>602</v>
      </c>
      <c r="J811">
        <v>375</v>
      </c>
      <c r="K811">
        <v>0.40300000000000002</v>
      </c>
      <c r="L811">
        <v>0.34300000000000003</v>
      </c>
      <c r="M811">
        <v>0.752</v>
      </c>
      <c r="N811">
        <v>5.7</v>
      </c>
      <c r="O811">
        <v>5.8999999999999997E-2</v>
      </c>
      <c r="P811">
        <v>2002</v>
      </c>
      <c r="Q811">
        <v>18.600000000000001</v>
      </c>
      <c r="R811">
        <v>6.1</v>
      </c>
      <c r="S811">
        <v>2.4</v>
      </c>
      <c r="T811">
        <v>1.5</v>
      </c>
      <c r="U811">
        <v>1</v>
      </c>
      <c r="V811">
        <v>16</v>
      </c>
      <c r="W811">
        <f>IF(nba_draft[[#This Row],[years_played]]&gt;5,1,0)</f>
        <v>0</v>
      </c>
    </row>
    <row r="812" spans="1:23" x14ac:dyDescent="0.25">
      <c r="A812">
        <v>9</v>
      </c>
      <c r="B812" t="s">
        <v>65</v>
      </c>
      <c r="C812" t="s">
        <v>854</v>
      </c>
      <c r="D812" t="s">
        <v>146</v>
      </c>
      <c r="E812">
        <v>4</v>
      </c>
      <c r="F812">
        <v>233</v>
      </c>
      <c r="G812">
        <v>3610</v>
      </c>
      <c r="H812">
        <v>1516</v>
      </c>
      <c r="I812">
        <v>1045</v>
      </c>
      <c r="J812">
        <v>145</v>
      </c>
      <c r="K812">
        <v>0.48499999999999999</v>
      </c>
      <c r="L812">
        <v>0</v>
      </c>
      <c r="M812">
        <v>0.68899999999999995</v>
      </c>
      <c r="N812">
        <v>7.8</v>
      </c>
      <c r="O812">
        <v>0.10299999999999999</v>
      </c>
      <c r="P812">
        <v>2003</v>
      </c>
      <c r="Q812">
        <v>15.5</v>
      </c>
      <c r="R812">
        <v>6.5</v>
      </c>
      <c r="S812">
        <v>4.5</v>
      </c>
      <c r="T812">
        <v>0.6</v>
      </c>
      <c r="U812">
        <v>1</v>
      </c>
      <c r="V812">
        <v>9</v>
      </c>
      <c r="W812">
        <f>IF(nba_draft[[#This Row],[years_played]]&gt;5,1,0)</f>
        <v>0</v>
      </c>
    </row>
    <row r="813" spans="1:23" x14ac:dyDescent="0.25">
      <c r="A813">
        <v>4</v>
      </c>
      <c r="B813" t="s">
        <v>90</v>
      </c>
      <c r="C813" t="s">
        <v>1715</v>
      </c>
      <c r="D813" t="s">
        <v>232</v>
      </c>
      <c r="E813">
        <v>3</v>
      </c>
      <c r="F813">
        <v>116</v>
      </c>
      <c r="G813">
        <v>3569</v>
      </c>
      <c r="H813">
        <v>1513</v>
      </c>
      <c r="I813">
        <v>498</v>
      </c>
      <c r="J813">
        <v>192</v>
      </c>
      <c r="K813">
        <v>0.434</v>
      </c>
      <c r="L813">
        <v>0.35599999999999998</v>
      </c>
      <c r="M813">
        <v>0.77800000000000002</v>
      </c>
      <c r="N813">
        <v>2.2000000000000002</v>
      </c>
      <c r="O813">
        <v>0.03</v>
      </c>
      <c r="P813">
        <v>2019</v>
      </c>
      <c r="Q813">
        <v>30.8</v>
      </c>
      <c r="R813">
        <v>13</v>
      </c>
      <c r="S813">
        <v>4.3</v>
      </c>
      <c r="T813">
        <v>1.7</v>
      </c>
      <c r="U813">
        <v>1</v>
      </c>
      <c r="V813">
        <v>4</v>
      </c>
      <c r="W813">
        <f>IF(nba_draft[[#This Row],[years_played]]&gt;5,1,0)</f>
        <v>0</v>
      </c>
    </row>
    <row r="814" spans="1:23" x14ac:dyDescent="0.25">
      <c r="A814">
        <v>6</v>
      </c>
      <c r="B814" t="s">
        <v>37</v>
      </c>
      <c r="C814" t="s">
        <v>1167</v>
      </c>
      <c r="D814" t="s">
        <v>24</v>
      </c>
      <c r="E814">
        <v>3</v>
      </c>
      <c r="F814">
        <v>163</v>
      </c>
      <c r="G814">
        <v>3738</v>
      </c>
      <c r="H814">
        <v>1504</v>
      </c>
      <c r="I814">
        <v>307</v>
      </c>
      <c r="J814">
        <v>634</v>
      </c>
      <c r="K814">
        <v>0.4</v>
      </c>
      <c r="L814">
        <v>0.33800000000000002</v>
      </c>
      <c r="M814">
        <v>0.80900000000000005</v>
      </c>
      <c r="N814">
        <v>-1.1000000000000001</v>
      </c>
      <c r="O814">
        <v>-1.4999999999999999E-2</v>
      </c>
      <c r="P814">
        <v>2009</v>
      </c>
      <c r="Q814">
        <v>22.9</v>
      </c>
      <c r="R814">
        <v>9.1999999999999993</v>
      </c>
      <c r="S814">
        <v>1.9</v>
      </c>
      <c r="T814">
        <v>3.9</v>
      </c>
      <c r="U814">
        <v>1</v>
      </c>
      <c r="V814">
        <v>6</v>
      </c>
      <c r="W814">
        <f>IF(nba_draft[[#This Row],[years_played]]&gt;5,1,0)</f>
        <v>0</v>
      </c>
    </row>
    <row r="815" spans="1:23" x14ac:dyDescent="0.25">
      <c r="A815">
        <v>20</v>
      </c>
      <c r="B815" t="s">
        <v>37</v>
      </c>
      <c r="C815" t="s">
        <v>1671</v>
      </c>
      <c r="D815" t="s">
        <v>33</v>
      </c>
      <c r="E815">
        <v>4</v>
      </c>
      <c r="F815">
        <v>228</v>
      </c>
      <c r="G815">
        <v>4909</v>
      </c>
      <c r="H815">
        <v>1504</v>
      </c>
      <c r="I815">
        <v>702</v>
      </c>
      <c r="J815">
        <v>271</v>
      </c>
      <c r="K815">
        <v>0.4</v>
      </c>
      <c r="L815">
        <v>0.27300000000000002</v>
      </c>
      <c r="M815">
        <v>0.755</v>
      </c>
      <c r="N815">
        <v>5</v>
      </c>
      <c r="O815">
        <v>4.9000000000000002E-2</v>
      </c>
      <c r="P815">
        <v>2018</v>
      </c>
      <c r="Q815">
        <v>21.5</v>
      </c>
      <c r="R815">
        <v>6.6</v>
      </c>
      <c r="S815">
        <v>3.1</v>
      </c>
      <c r="T815">
        <v>1.2</v>
      </c>
      <c r="U815">
        <v>1</v>
      </c>
      <c r="V815">
        <v>20</v>
      </c>
      <c r="W815">
        <f>IF(nba_draft[[#This Row],[years_played]]&gt;5,1,0)</f>
        <v>0</v>
      </c>
    </row>
    <row r="816" spans="1:23" x14ac:dyDescent="0.25">
      <c r="A816">
        <v>40</v>
      </c>
      <c r="B816" t="s">
        <v>863</v>
      </c>
      <c r="C816" t="s">
        <v>1635</v>
      </c>
      <c r="D816" t="s">
        <v>298</v>
      </c>
      <c r="E816">
        <v>4</v>
      </c>
      <c r="F816">
        <v>207</v>
      </c>
      <c r="G816">
        <v>4012</v>
      </c>
      <c r="H816">
        <v>1503</v>
      </c>
      <c r="I816">
        <v>537</v>
      </c>
      <c r="J816">
        <v>230</v>
      </c>
      <c r="K816">
        <v>0.40200000000000002</v>
      </c>
      <c r="L816">
        <v>0.314</v>
      </c>
      <c r="M816">
        <v>0.78</v>
      </c>
      <c r="N816">
        <v>0.8</v>
      </c>
      <c r="O816">
        <v>0.01</v>
      </c>
      <c r="P816">
        <v>2017</v>
      </c>
      <c r="Q816">
        <v>19.399999999999999</v>
      </c>
      <c r="R816">
        <v>7.3</v>
      </c>
      <c r="S816">
        <v>2.6</v>
      </c>
      <c r="T816">
        <v>1.1000000000000001</v>
      </c>
      <c r="U816">
        <v>2</v>
      </c>
      <c r="V816">
        <v>10</v>
      </c>
      <c r="W816">
        <f>IF(nba_draft[[#This Row],[years_played]]&gt;5,1,0)</f>
        <v>0</v>
      </c>
    </row>
    <row r="817" spans="1:23" x14ac:dyDescent="0.25">
      <c r="A817">
        <v>37</v>
      </c>
      <c r="B817" t="s">
        <v>109</v>
      </c>
      <c r="C817" t="s">
        <v>114</v>
      </c>
      <c r="D817" t="s">
        <v>115</v>
      </c>
      <c r="E817">
        <v>2</v>
      </c>
      <c r="F817">
        <v>151</v>
      </c>
      <c r="G817">
        <v>3108</v>
      </c>
      <c r="H817">
        <v>1502</v>
      </c>
      <c r="I817">
        <v>315</v>
      </c>
      <c r="J817">
        <v>320</v>
      </c>
      <c r="K817">
        <v>0.435</v>
      </c>
      <c r="L817">
        <v>0.13800000000000001</v>
      </c>
      <c r="M817">
        <v>0.77800000000000002</v>
      </c>
      <c r="N817">
        <v>1.1000000000000001</v>
      </c>
      <c r="O817">
        <v>1.7000000000000001E-2</v>
      </c>
      <c r="P817">
        <v>1990</v>
      </c>
      <c r="Q817">
        <v>20.6</v>
      </c>
      <c r="R817">
        <v>9.9</v>
      </c>
      <c r="S817">
        <v>2.1</v>
      </c>
      <c r="T817">
        <v>2.1</v>
      </c>
      <c r="U817">
        <v>2</v>
      </c>
      <c r="V817">
        <v>10</v>
      </c>
      <c r="W817">
        <f>IF(nba_draft[[#This Row],[years_played]]&gt;5,1,0)</f>
        <v>0</v>
      </c>
    </row>
    <row r="818" spans="1:23" x14ac:dyDescent="0.25">
      <c r="A818">
        <v>25</v>
      </c>
      <c r="B818" t="s">
        <v>75</v>
      </c>
      <c r="C818" t="s">
        <v>709</v>
      </c>
      <c r="D818" t="s">
        <v>97</v>
      </c>
      <c r="E818">
        <v>7</v>
      </c>
      <c r="F818">
        <v>315</v>
      </c>
      <c r="G818">
        <v>5005</v>
      </c>
      <c r="H818">
        <v>1497</v>
      </c>
      <c r="I818">
        <v>1238</v>
      </c>
      <c r="J818">
        <v>101</v>
      </c>
      <c r="K818">
        <v>0.49</v>
      </c>
      <c r="L818">
        <v>0</v>
      </c>
      <c r="M818">
        <v>0.65700000000000003</v>
      </c>
      <c r="N818">
        <v>9.9</v>
      </c>
      <c r="O818">
        <v>9.5000000000000001E-2</v>
      </c>
      <c r="P818">
        <v>2000</v>
      </c>
      <c r="Q818">
        <v>15.9</v>
      </c>
      <c r="R818">
        <v>4.8</v>
      </c>
      <c r="S818">
        <v>3.9</v>
      </c>
      <c r="T818">
        <v>0.3</v>
      </c>
      <c r="U818">
        <v>1</v>
      </c>
      <c r="V818">
        <v>25</v>
      </c>
      <c r="W818">
        <f>IF(nba_draft[[#This Row],[years_played]]&gt;5,1,0)</f>
        <v>1</v>
      </c>
    </row>
    <row r="819" spans="1:23" x14ac:dyDescent="0.25">
      <c r="A819">
        <v>22</v>
      </c>
      <c r="B819" t="s">
        <v>75</v>
      </c>
      <c r="C819" t="s">
        <v>813</v>
      </c>
      <c r="D819" t="s">
        <v>226</v>
      </c>
      <c r="E819">
        <v>4</v>
      </c>
      <c r="F819">
        <v>287</v>
      </c>
      <c r="G819">
        <v>5320</v>
      </c>
      <c r="H819">
        <v>1488</v>
      </c>
      <c r="I819">
        <v>516</v>
      </c>
      <c r="J819">
        <v>304</v>
      </c>
      <c r="K819">
        <v>0.39300000000000002</v>
      </c>
      <c r="L819">
        <v>0.35199999999999998</v>
      </c>
      <c r="M819">
        <v>0.76900000000000002</v>
      </c>
      <c r="N819">
        <v>6.2</v>
      </c>
      <c r="O819">
        <v>5.6000000000000001E-2</v>
      </c>
      <c r="P819">
        <v>2002</v>
      </c>
      <c r="Q819">
        <v>18.5</v>
      </c>
      <c r="R819">
        <v>5.2</v>
      </c>
      <c r="S819">
        <v>1.8</v>
      </c>
      <c r="T819">
        <v>1.1000000000000001</v>
      </c>
      <c r="U819">
        <v>1</v>
      </c>
      <c r="V819">
        <v>22</v>
      </c>
      <c r="W819">
        <f>IF(nba_draft[[#This Row],[years_played]]&gt;5,1,0)</f>
        <v>0</v>
      </c>
    </row>
    <row r="820" spans="1:23" x14ac:dyDescent="0.25">
      <c r="A820">
        <v>15</v>
      </c>
      <c r="B820" t="s">
        <v>28</v>
      </c>
      <c r="C820" t="s">
        <v>1555</v>
      </c>
      <c r="D820" t="s">
        <v>97</v>
      </c>
      <c r="E820">
        <v>6</v>
      </c>
      <c r="F820">
        <v>282</v>
      </c>
      <c r="G820">
        <v>4362</v>
      </c>
      <c r="H820">
        <v>1487</v>
      </c>
      <c r="I820">
        <v>948</v>
      </c>
      <c r="J820">
        <v>177</v>
      </c>
      <c r="K820">
        <v>0.42399999999999999</v>
      </c>
      <c r="L820">
        <v>0.34499999999999997</v>
      </c>
      <c r="M820">
        <v>0.69299999999999995</v>
      </c>
      <c r="N820">
        <v>7.1</v>
      </c>
      <c r="O820">
        <v>7.9000000000000001E-2</v>
      </c>
      <c r="P820">
        <v>2016</v>
      </c>
      <c r="Q820">
        <v>15.5</v>
      </c>
      <c r="R820">
        <v>5.3</v>
      </c>
      <c r="S820">
        <v>3.4</v>
      </c>
      <c r="T820">
        <v>0.6</v>
      </c>
      <c r="U820">
        <v>1</v>
      </c>
      <c r="V820">
        <v>15</v>
      </c>
      <c r="W820">
        <f>IF(nba_draft[[#This Row],[years_played]]&gt;5,1,0)</f>
        <v>1</v>
      </c>
    </row>
    <row r="821" spans="1:23" x14ac:dyDescent="0.25">
      <c r="A821">
        <v>49</v>
      </c>
      <c r="B821" t="s">
        <v>28</v>
      </c>
      <c r="C821" t="s">
        <v>1049</v>
      </c>
      <c r="D821" t="s">
        <v>336</v>
      </c>
      <c r="E821">
        <v>5</v>
      </c>
      <c r="F821">
        <v>239</v>
      </c>
      <c r="G821">
        <v>3320</v>
      </c>
      <c r="H821">
        <v>1484</v>
      </c>
      <c r="I821">
        <v>911</v>
      </c>
      <c r="J821">
        <v>78</v>
      </c>
      <c r="K821">
        <v>0.51500000000000001</v>
      </c>
      <c r="L821">
        <v>0</v>
      </c>
      <c r="M821">
        <v>0.68200000000000005</v>
      </c>
      <c r="N821">
        <v>12</v>
      </c>
      <c r="O821">
        <v>0.17399999999999999</v>
      </c>
      <c r="P821">
        <v>2006</v>
      </c>
      <c r="Q821">
        <v>13.9</v>
      </c>
      <c r="R821">
        <v>6.2</v>
      </c>
      <c r="S821">
        <v>3.8</v>
      </c>
      <c r="T821">
        <v>0.3</v>
      </c>
      <c r="U821">
        <v>2</v>
      </c>
      <c r="V821">
        <v>19</v>
      </c>
      <c r="W821">
        <f>IF(nba_draft[[#This Row],[years_played]]&gt;5,1,0)</f>
        <v>0</v>
      </c>
    </row>
    <row r="822" spans="1:23" x14ac:dyDescent="0.25">
      <c r="A822">
        <v>6</v>
      </c>
      <c r="B822" t="s">
        <v>31</v>
      </c>
      <c r="C822" t="s">
        <v>1657</v>
      </c>
      <c r="D822" t="s">
        <v>60</v>
      </c>
      <c r="E822">
        <v>4</v>
      </c>
      <c r="F822">
        <v>204</v>
      </c>
      <c r="G822">
        <v>3641</v>
      </c>
      <c r="H822">
        <v>1479</v>
      </c>
      <c r="I822">
        <v>1187</v>
      </c>
      <c r="J822">
        <v>180</v>
      </c>
      <c r="K822">
        <v>0.47</v>
      </c>
      <c r="L822">
        <v>0.33300000000000002</v>
      </c>
      <c r="M822">
        <v>0.68</v>
      </c>
      <c r="N822">
        <v>8.5</v>
      </c>
      <c r="O822">
        <v>0.112</v>
      </c>
      <c r="P822">
        <v>2018</v>
      </c>
      <c r="Q822">
        <v>17.8</v>
      </c>
      <c r="R822">
        <v>7.3</v>
      </c>
      <c r="S822">
        <v>5.8</v>
      </c>
      <c r="T822">
        <v>0.9</v>
      </c>
      <c r="U822">
        <v>1</v>
      </c>
      <c r="V822">
        <v>6</v>
      </c>
      <c r="W822">
        <f>IF(nba_draft[[#This Row],[years_played]]&gt;5,1,0)</f>
        <v>0</v>
      </c>
    </row>
    <row r="823" spans="1:23" x14ac:dyDescent="0.25">
      <c r="A823">
        <v>41</v>
      </c>
      <c r="B823" t="s">
        <v>52</v>
      </c>
      <c r="C823" t="s">
        <v>1753</v>
      </c>
      <c r="D823" t="s">
        <v>458</v>
      </c>
      <c r="E823">
        <v>3</v>
      </c>
      <c r="F823">
        <v>144</v>
      </c>
      <c r="G823">
        <v>2932</v>
      </c>
      <c r="H823">
        <v>1476</v>
      </c>
      <c r="I823">
        <v>494</v>
      </c>
      <c r="J823">
        <v>205</v>
      </c>
      <c r="K823">
        <v>0.495</v>
      </c>
      <c r="L823">
        <v>0.32600000000000001</v>
      </c>
      <c r="M823">
        <v>0.755</v>
      </c>
      <c r="N823">
        <v>4.5999999999999996</v>
      </c>
      <c r="O823">
        <v>7.4999999999999997E-2</v>
      </c>
      <c r="P823">
        <v>2019</v>
      </c>
      <c r="Q823">
        <v>20.399999999999999</v>
      </c>
      <c r="R823">
        <v>10.3</v>
      </c>
      <c r="S823">
        <v>3.4</v>
      </c>
      <c r="T823">
        <v>1.4</v>
      </c>
      <c r="U823">
        <v>2</v>
      </c>
      <c r="V823">
        <v>11</v>
      </c>
      <c r="W823">
        <f>IF(nba_draft[[#This Row],[years_played]]&gt;5,1,0)</f>
        <v>0</v>
      </c>
    </row>
    <row r="824" spans="1:23" x14ac:dyDescent="0.25">
      <c r="A824">
        <v>53</v>
      </c>
      <c r="B824" t="s">
        <v>46</v>
      </c>
      <c r="C824" t="s">
        <v>680</v>
      </c>
      <c r="D824" t="s">
        <v>188</v>
      </c>
      <c r="E824">
        <v>5</v>
      </c>
      <c r="F824">
        <v>230</v>
      </c>
      <c r="G824">
        <v>4182</v>
      </c>
      <c r="H824">
        <v>1472</v>
      </c>
      <c r="I824">
        <v>598</v>
      </c>
      <c r="J824">
        <v>179</v>
      </c>
      <c r="K824">
        <v>0.41199999999999998</v>
      </c>
      <c r="L824">
        <v>0.3</v>
      </c>
      <c r="M824">
        <v>0.75800000000000001</v>
      </c>
      <c r="N824">
        <v>2.9</v>
      </c>
      <c r="O824">
        <v>3.3000000000000002E-2</v>
      </c>
      <c r="P824">
        <v>1999</v>
      </c>
      <c r="Q824">
        <v>18.2</v>
      </c>
      <c r="R824">
        <v>6.4</v>
      </c>
      <c r="S824">
        <v>2.6</v>
      </c>
      <c r="T824">
        <v>0.8</v>
      </c>
      <c r="U824">
        <v>2</v>
      </c>
      <c r="V824">
        <v>24</v>
      </c>
      <c r="W824">
        <f>IF(nba_draft[[#This Row],[years_played]]&gt;5,1,0)</f>
        <v>0</v>
      </c>
    </row>
    <row r="825" spans="1:23" x14ac:dyDescent="0.25">
      <c r="A825">
        <v>25</v>
      </c>
      <c r="B825" t="s">
        <v>85</v>
      </c>
      <c r="C825" t="s">
        <v>86</v>
      </c>
      <c r="D825" t="s">
        <v>87</v>
      </c>
      <c r="E825">
        <v>5</v>
      </c>
      <c r="F825">
        <v>256</v>
      </c>
      <c r="G825">
        <v>3200</v>
      </c>
      <c r="H825">
        <v>1465</v>
      </c>
      <c r="I825">
        <v>846</v>
      </c>
      <c r="J825">
        <v>85</v>
      </c>
      <c r="K825">
        <v>0.502</v>
      </c>
      <c r="L825">
        <v>0</v>
      </c>
      <c r="M825">
        <v>0.70099999999999996</v>
      </c>
      <c r="N825">
        <v>4.8</v>
      </c>
      <c r="O825">
        <v>7.1999999999999995E-2</v>
      </c>
      <c r="P825">
        <v>1990</v>
      </c>
      <c r="Q825">
        <v>12.5</v>
      </c>
      <c r="R825">
        <v>5.7</v>
      </c>
      <c r="S825">
        <v>3.3</v>
      </c>
      <c r="T825">
        <v>0.3</v>
      </c>
      <c r="U825">
        <v>1</v>
      </c>
      <c r="V825">
        <v>25</v>
      </c>
      <c r="W825">
        <f>IF(nba_draft[[#This Row],[years_played]]&gt;5,1,0)</f>
        <v>0</v>
      </c>
    </row>
    <row r="826" spans="1:23" x14ac:dyDescent="0.25">
      <c r="A826">
        <v>30</v>
      </c>
      <c r="B826" t="s">
        <v>63</v>
      </c>
      <c r="C826" t="s">
        <v>1742</v>
      </c>
      <c r="D826" t="s">
        <v>230</v>
      </c>
      <c r="E826">
        <v>3</v>
      </c>
      <c r="F826">
        <v>115</v>
      </c>
      <c r="G826">
        <v>3170</v>
      </c>
      <c r="H826">
        <v>1463</v>
      </c>
      <c r="I826">
        <v>415</v>
      </c>
      <c r="J826">
        <v>514</v>
      </c>
      <c r="K826">
        <v>0.42099999999999999</v>
      </c>
      <c r="L826">
        <v>0.34699999999999998</v>
      </c>
      <c r="M826">
        <v>0.68</v>
      </c>
      <c r="N826">
        <v>0.1</v>
      </c>
      <c r="O826">
        <v>1E-3</v>
      </c>
      <c r="P826">
        <v>2019</v>
      </c>
      <c r="Q826">
        <v>27.6</v>
      </c>
      <c r="R826">
        <v>12.7</v>
      </c>
      <c r="S826">
        <v>3.6</v>
      </c>
      <c r="T826">
        <v>4.5</v>
      </c>
      <c r="U826">
        <v>1</v>
      </c>
      <c r="V826">
        <v>30</v>
      </c>
      <c r="W826">
        <f>IF(nba_draft[[#This Row],[years_played]]&gt;5,1,0)</f>
        <v>0</v>
      </c>
    </row>
    <row r="827" spans="1:23" x14ac:dyDescent="0.25">
      <c r="A827">
        <v>58</v>
      </c>
      <c r="B827" t="s">
        <v>88</v>
      </c>
      <c r="C827" t="s">
        <v>449</v>
      </c>
      <c r="D827" t="s">
        <v>146</v>
      </c>
      <c r="E827">
        <v>8</v>
      </c>
      <c r="F827">
        <v>403</v>
      </c>
      <c r="G827">
        <v>5374</v>
      </c>
      <c r="H827">
        <v>1454</v>
      </c>
      <c r="I827">
        <v>1169</v>
      </c>
      <c r="J827">
        <v>143</v>
      </c>
      <c r="K827">
        <v>0.53</v>
      </c>
      <c r="L827">
        <v>0</v>
      </c>
      <c r="M827">
        <v>0.65800000000000003</v>
      </c>
      <c r="N827">
        <v>13.7</v>
      </c>
      <c r="O827">
        <v>0.123</v>
      </c>
      <c r="P827">
        <v>1995</v>
      </c>
      <c r="Q827">
        <v>13.3</v>
      </c>
      <c r="R827">
        <v>3.6</v>
      </c>
      <c r="S827">
        <v>2.9</v>
      </c>
      <c r="T827">
        <v>0.4</v>
      </c>
      <c r="U827">
        <v>2</v>
      </c>
      <c r="V827">
        <v>29</v>
      </c>
      <c r="W827">
        <f>IF(nba_draft[[#This Row],[years_played]]&gt;5,1,0)</f>
        <v>1</v>
      </c>
    </row>
    <row r="828" spans="1:23" x14ac:dyDescent="0.25">
      <c r="A828">
        <v>5</v>
      </c>
      <c r="B828" t="s">
        <v>395</v>
      </c>
      <c r="C828" t="s">
        <v>633</v>
      </c>
      <c r="D828" t="s">
        <v>97</v>
      </c>
      <c r="E828">
        <v>8</v>
      </c>
      <c r="F828">
        <v>262</v>
      </c>
      <c r="G828">
        <v>3847</v>
      </c>
      <c r="H828">
        <v>1453</v>
      </c>
      <c r="I828">
        <v>582</v>
      </c>
      <c r="J828">
        <v>170</v>
      </c>
      <c r="K828">
        <v>0.41699999999999998</v>
      </c>
      <c r="L828">
        <v>0.34</v>
      </c>
      <c r="M828">
        <v>0.76300000000000001</v>
      </c>
      <c r="N828">
        <v>3.8</v>
      </c>
      <c r="O828">
        <v>4.7E-2</v>
      </c>
      <c r="P828">
        <v>1999</v>
      </c>
      <c r="Q828">
        <v>14.7</v>
      </c>
      <c r="R828">
        <v>5.5</v>
      </c>
      <c r="S828">
        <v>2.2000000000000002</v>
      </c>
      <c r="T828">
        <v>0.6</v>
      </c>
      <c r="U828">
        <v>1</v>
      </c>
      <c r="V828">
        <v>5</v>
      </c>
      <c r="W828">
        <f>IF(nba_draft[[#This Row],[years_played]]&gt;5,1,0)</f>
        <v>1</v>
      </c>
    </row>
    <row r="829" spans="1:23" x14ac:dyDescent="0.25">
      <c r="A829">
        <v>24</v>
      </c>
      <c r="B829" t="s">
        <v>82</v>
      </c>
      <c r="C829" t="s">
        <v>590</v>
      </c>
      <c r="D829" t="s">
        <v>77</v>
      </c>
      <c r="E829">
        <v>4</v>
      </c>
      <c r="F829">
        <v>249</v>
      </c>
      <c r="G829">
        <v>4145</v>
      </c>
      <c r="H829">
        <v>1448</v>
      </c>
      <c r="I829">
        <v>604</v>
      </c>
      <c r="J829">
        <v>252</v>
      </c>
      <c r="K829">
        <v>0.432</v>
      </c>
      <c r="L829">
        <v>0.32700000000000001</v>
      </c>
      <c r="M829">
        <v>0.65900000000000003</v>
      </c>
      <c r="N829">
        <v>3.1</v>
      </c>
      <c r="O829">
        <v>3.5999999999999997E-2</v>
      </c>
      <c r="P829">
        <v>1998</v>
      </c>
      <c r="Q829">
        <v>16.600000000000001</v>
      </c>
      <c r="R829">
        <v>5.8</v>
      </c>
      <c r="S829">
        <v>2.4</v>
      </c>
      <c r="T829">
        <v>1</v>
      </c>
      <c r="U829">
        <v>1</v>
      </c>
      <c r="V829">
        <v>24</v>
      </c>
      <c r="W829">
        <f>IF(nba_draft[[#This Row],[years_played]]&gt;5,1,0)</f>
        <v>0</v>
      </c>
    </row>
    <row r="830" spans="1:23" x14ac:dyDescent="0.25">
      <c r="A830">
        <v>10</v>
      </c>
      <c r="B830" t="s">
        <v>63</v>
      </c>
      <c r="C830" t="s">
        <v>1278</v>
      </c>
      <c r="D830" t="s">
        <v>279</v>
      </c>
      <c r="E830">
        <v>6</v>
      </c>
      <c r="F830">
        <v>241</v>
      </c>
      <c r="G830">
        <v>3213</v>
      </c>
      <c r="H830">
        <v>1438</v>
      </c>
      <c r="I830">
        <v>243</v>
      </c>
      <c r="J830">
        <v>331</v>
      </c>
      <c r="K830">
        <v>0.40899999999999997</v>
      </c>
      <c r="L830">
        <v>0.372</v>
      </c>
      <c r="M830">
        <v>0.879</v>
      </c>
      <c r="N830">
        <v>2.2000000000000002</v>
      </c>
      <c r="O830">
        <v>3.3000000000000002E-2</v>
      </c>
      <c r="P830">
        <v>2011</v>
      </c>
      <c r="Q830">
        <v>13.3</v>
      </c>
      <c r="R830">
        <v>6</v>
      </c>
      <c r="S830">
        <v>1</v>
      </c>
      <c r="T830">
        <v>1.4</v>
      </c>
      <c r="U830">
        <v>1</v>
      </c>
      <c r="V830">
        <v>10</v>
      </c>
      <c r="W830">
        <f>IF(nba_draft[[#This Row],[years_played]]&gt;5,1,0)</f>
        <v>1</v>
      </c>
    </row>
    <row r="831" spans="1:23" x14ac:dyDescent="0.25">
      <c r="A831">
        <v>36</v>
      </c>
      <c r="B831" t="s">
        <v>393</v>
      </c>
      <c r="C831" t="s">
        <v>1199</v>
      </c>
      <c r="D831" t="s">
        <v>272</v>
      </c>
      <c r="E831">
        <v>4</v>
      </c>
      <c r="F831">
        <v>249</v>
      </c>
      <c r="G831">
        <v>3966</v>
      </c>
      <c r="H831">
        <v>1436</v>
      </c>
      <c r="I831">
        <v>573</v>
      </c>
      <c r="J831">
        <v>180</v>
      </c>
      <c r="K831">
        <v>0.442</v>
      </c>
      <c r="L831">
        <v>0.28000000000000003</v>
      </c>
      <c r="M831">
        <v>0.74199999999999999</v>
      </c>
      <c r="N831">
        <v>5.2</v>
      </c>
      <c r="O831">
        <v>6.3E-2</v>
      </c>
      <c r="P831">
        <v>2009</v>
      </c>
      <c r="Q831">
        <v>15.9</v>
      </c>
      <c r="R831">
        <v>5.8</v>
      </c>
      <c r="S831">
        <v>2.2999999999999998</v>
      </c>
      <c r="T831">
        <v>0.7</v>
      </c>
      <c r="U831">
        <v>2</v>
      </c>
      <c r="V831">
        <v>6</v>
      </c>
      <c r="W831">
        <f>IF(nba_draft[[#This Row],[years_played]]&gt;5,1,0)</f>
        <v>0</v>
      </c>
    </row>
    <row r="832" spans="1:23" x14ac:dyDescent="0.25">
      <c r="A832">
        <v>47</v>
      </c>
      <c r="B832" t="s">
        <v>90</v>
      </c>
      <c r="C832" t="s">
        <v>1697</v>
      </c>
      <c r="D832" t="s">
        <v>108</v>
      </c>
      <c r="E832">
        <v>4</v>
      </c>
      <c r="F832">
        <v>207</v>
      </c>
      <c r="G832">
        <v>3683</v>
      </c>
      <c r="H832">
        <v>1424</v>
      </c>
      <c r="I832">
        <v>392</v>
      </c>
      <c r="J832">
        <v>293</v>
      </c>
      <c r="K832">
        <v>0.4</v>
      </c>
      <c r="L832">
        <v>0.35399999999999998</v>
      </c>
      <c r="M832">
        <v>0.77900000000000003</v>
      </c>
      <c r="N832">
        <v>2.5</v>
      </c>
      <c r="O832">
        <v>3.3000000000000002E-2</v>
      </c>
      <c r="P832">
        <v>2018</v>
      </c>
      <c r="Q832">
        <v>17.8</v>
      </c>
      <c r="R832">
        <v>6.9</v>
      </c>
      <c r="S832">
        <v>1.9</v>
      </c>
      <c r="T832">
        <v>1.4</v>
      </c>
      <c r="U832">
        <v>2</v>
      </c>
      <c r="V832">
        <v>17</v>
      </c>
      <c r="W832">
        <f>IF(nba_draft[[#This Row],[years_played]]&gt;5,1,0)</f>
        <v>0</v>
      </c>
    </row>
    <row r="833" spans="1:23" x14ac:dyDescent="0.25">
      <c r="A833">
        <v>20</v>
      </c>
      <c r="B833" t="s">
        <v>82</v>
      </c>
      <c r="C833" t="s">
        <v>1237</v>
      </c>
      <c r="D833" t="s">
        <v>206</v>
      </c>
      <c r="E833">
        <v>5</v>
      </c>
      <c r="F833">
        <v>247</v>
      </c>
      <c r="G833">
        <v>4320</v>
      </c>
      <c r="H833">
        <v>1422</v>
      </c>
      <c r="I833">
        <v>560</v>
      </c>
      <c r="J833">
        <v>291</v>
      </c>
      <c r="K833">
        <v>0.41099999999999998</v>
      </c>
      <c r="L833">
        <v>0.32100000000000001</v>
      </c>
      <c r="M833">
        <v>0.755</v>
      </c>
      <c r="N833">
        <v>3.3</v>
      </c>
      <c r="O833">
        <v>3.6999999999999998E-2</v>
      </c>
      <c r="P833">
        <v>2010</v>
      </c>
      <c r="Q833">
        <v>17.5</v>
      </c>
      <c r="R833">
        <v>5.8</v>
      </c>
      <c r="S833">
        <v>2.2999999999999998</v>
      </c>
      <c r="T833">
        <v>1.2</v>
      </c>
      <c r="U833">
        <v>1</v>
      </c>
      <c r="V833">
        <v>20</v>
      </c>
      <c r="W833">
        <f>IF(nba_draft[[#This Row],[years_played]]&gt;5,1,0)</f>
        <v>0</v>
      </c>
    </row>
    <row r="834" spans="1:23" x14ac:dyDescent="0.25">
      <c r="A834">
        <v>15</v>
      </c>
      <c r="B834" t="s">
        <v>31</v>
      </c>
      <c r="C834" t="s">
        <v>1786</v>
      </c>
      <c r="D834" t="s">
        <v>179</v>
      </c>
      <c r="E834">
        <v>2</v>
      </c>
      <c r="F834">
        <v>93</v>
      </c>
      <c r="G834">
        <v>2789</v>
      </c>
      <c r="H834">
        <v>1420</v>
      </c>
      <c r="I834">
        <v>488</v>
      </c>
      <c r="J834">
        <v>463</v>
      </c>
      <c r="K834">
        <v>0.39700000000000002</v>
      </c>
      <c r="L834">
        <v>0.33700000000000002</v>
      </c>
      <c r="M834">
        <v>0.84499999999999997</v>
      </c>
      <c r="N834">
        <v>1.2</v>
      </c>
      <c r="O834">
        <v>0.02</v>
      </c>
      <c r="P834">
        <v>2020</v>
      </c>
      <c r="Q834">
        <v>30</v>
      </c>
      <c r="R834">
        <v>15.3</v>
      </c>
      <c r="S834">
        <v>5.2</v>
      </c>
      <c r="T834">
        <v>5</v>
      </c>
      <c r="U834">
        <v>1</v>
      </c>
      <c r="V834">
        <v>15</v>
      </c>
      <c r="W834">
        <f>IF(nba_draft[[#This Row],[years_played]]&gt;5,1,0)</f>
        <v>0</v>
      </c>
    </row>
    <row r="835" spans="1:23" x14ac:dyDescent="0.25">
      <c r="A835">
        <v>17</v>
      </c>
      <c r="B835" t="s">
        <v>22</v>
      </c>
      <c r="C835" t="s">
        <v>1728</v>
      </c>
      <c r="D835" t="s">
        <v>121</v>
      </c>
      <c r="E835">
        <v>3</v>
      </c>
      <c r="F835">
        <v>145</v>
      </c>
      <c r="G835">
        <v>2920</v>
      </c>
      <c r="H835">
        <v>1414</v>
      </c>
      <c r="I835">
        <v>393</v>
      </c>
      <c r="J835">
        <v>330</v>
      </c>
      <c r="K835">
        <v>0.38800000000000001</v>
      </c>
      <c r="L835">
        <v>0.33</v>
      </c>
      <c r="M835">
        <v>0.71499999999999997</v>
      </c>
      <c r="N835">
        <v>0.2</v>
      </c>
      <c r="O835">
        <v>4.0000000000000001E-3</v>
      </c>
      <c r="P835">
        <v>2019</v>
      </c>
      <c r="Q835">
        <v>20.100000000000001</v>
      </c>
      <c r="R835">
        <v>9.8000000000000007</v>
      </c>
      <c r="S835">
        <v>2.7</v>
      </c>
      <c r="T835">
        <v>2.2999999999999998</v>
      </c>
      <c r="U835">
        <v>1</v>
      </c>
      <c r="V835">
        <v>17</v>
      </c>
      <c r="W835">
        <f>IF(nba_draft[[#This Row],[years_played]]&gt;5,1,0)</f>
        <v>0</v>
      </c>
    </row>
    <row r="836" spans="1:23" x14ac:dyDescent="0.25">
      <c r="A836">
        <v>46</v>
      </c>
      <c r="B836" t="s">
        <v>102</v>
      </c>
      <c r="C836" t="s">
        <v>1641</v>
      </c>
      <c r="D836" t="s">
        <v>763</v>
      </c>
      <c r="E836">
        <v>5</v>
      </c>
      <c r="F836">
        <v>253</v>
      </c>
      <c r="G836">
        <v>4329</v>
      </c>
      <c r="H836">
        <v>1410</v>
      </c>
      <c r="I836">
        <v>862</v>
      </c>
      <c r="J836">
        <v>262</v>
      </c>
      <c r="K836">
        <v>0.42299999999999999</v>
      </c>
      <c r="L836">
        <v>0.37</v>
      </c>
      <c r="M836">
        <v>0.79100000000000004</v>
      </c>
      <c r="N836">
        <v>6.6</v>
      </c>
      <c r="O836">
        <v>7.2999999999999995E-2</v>
      </c>
      <c r="P836">
        <v>2017</v>
      </c>
      <c r="Q836">
        <v>17.100000000000001</v>
      </c>
      <c r="R836">
        <v>5.6</v>
      </c>
      <c r="S836">
        <v>3.4</v>
      </c>
      <c r="T836">
        <v>1</v>
      </c>
      <c r="U836">
        <v>2</v>
      </c>
      <c r="V836">
        <v>16</v>
      </c>
      <c r="W836">
        <f>IF(nba_draft[[#This Row],[years_played]]&gt;5,1,0)</f>
        <v>0</v>
      </c>
    </row>
    <row r="837" spans="1:23" x14ac:dyDescent="0.25">
      <c r="A837">
        <v>18</v>
      </c>
      <c r="B837" t="s">
        <v>49</v>
      </c>
      <c r="C837" t="s">
        <v>1405</v>
      </c>
      <c r="D837" t="s">
        <v>657</v>
      </c>
      <c r="E837">
        <v>4</v>
      </c>
      <c r="F837">
        <v>256</v>
      </c>
      <c r="G837">
        <v>4880</v>
      </c>
      <c r="H837">
        <v>1399</v>
      </c>
      <c r="I837">
        <v>490</v>
      </c>
      <c r="J837">
        <v>737</v>
      </c>
      <c r="K837">
        <v>0.42199999999999999</v>
      </c>
      <c r="L837">
        <v>0.33600000000000002</v>
      </c>
      <c r="M837">
        <v>0.77700000000000002</v>
      </c>
      <c r="N837">
        <v>4.4000000000000004</v>
      </c>
      <c r="O837">
        <v>4.3999999999999997E-2</v>
      </c>
      <c r="P837">
        <v>2013</v>
      </c>
      <c r="Q837">
        <v>19.100000000000001</v>
      </c>
      <c r="R837">
        <v>5.5</v>
      </c>
      <c r="S837">
        <v>1.9</v>
      </c>
      <c r="T837">
        <v>2.9</v>
      </c>
      <c r="U837">
        <v>1</v>
      </c>
      <c r="V837">
        <v>18</v>
      </c>
      <c r="W837">
        <f>IF(nba_draft[[#This Row],[years_played]]&gt;5,1,0)</f>
        <v>0</v>
      </c>
    </row>
    <row r="838" spans="1:23" x14ac:dyDescent="0.25">
      <c r="A838">
        <v>24</v>
      </c>
      <c r="B838" t="s">
        <v>149</v>
      </c>
      <c r="C838" t="s">
        <v>1187</v>
      </c>
      <c r="D838" t="s">
        <v>216</v>
      </c>
      <c r="E838">
        <v>5</v>
      </c>
      <c r="F838">
        <v>189</v>
      </c>
      <c r="G838">
        <v>3446</v>
      </c>
      <c r="H838">
        <v>1398</v>
      </c>
      <c r="I838">
        <v>790</v>
      </c>
      <c r="J838">
        <v>153</v>
      </c>
      <c r="K838">
        <v>0.40799999999999997</v>
      </c>
      <c r="L838">
        <v>0.31900000000000001</v>
      </c>
      <c r="M838">
        <v>0.70599999999999996</v>
      </c>
      <c r="N838">
        <v>0.6</v>
      </c>
      <c r="O838">
        <v>8.0000000000000002E-3</v>
      </c>
      <c r="P838">
        <v>2009</v>
      </c>
      <c r="Q838">
        <v>18.2</v>
      </c>
      <c r="R838">
        <v>7.4</v>
      </c>
      <c r="S838">
        <v>4.2</v>
      </c>
      <c r="T838">
        <v>0.8</v>
      </c>
      <c r="U838">
        <v>1</v>
      </c>
      <c r="V838">
        <v>24</v>
      </c>
      <c r="W838">
        <f>IF(nba_draft[[#This Row],[years_played]]&gt;5,1,0)</f>
        <v>0</v>
      </c>
    </row>
    <row r="839" spans="1:23" x14ac:dyDescent="0.25">
      <c r="A839">
        <v>5</v>
      </c>
      <c r="B839" t="s">
        <v>104</v>
      </c>
      <c r="C839" t="s">
        <v>1446</v>
      </c>
      <c r="D839" t="s">
        <v>97</v>
      </c>
      <c r="E839">
        <v>6</v>
      </c>
      <c r="F839">
        <v>245</v>
      </c>
      <c r="G839">
        <v>4545</v>
      </c>
      <c r="H839">
        <v>1389</v>
      </c>
      <c r="I839">
        <v>441</v>
      </c>
      <c r="J839">
        <v>515</v>
      </c>
      <c r="K839">
        <v>0.40699999999999997</v>
      </c>
      <c r="L839">
        <v>0.30499999999999999</v>
      </c>
      <c r="M839">
        <v>0.76400000000000001</v>
      </c>
      <c r="N839">
        <v>3.1</v>
      </c>
      <c r="O839">
        <v>3.2000000000000001E-2</v>
      </c>
      <c r="P839">
        <v>2014</v>
      </c>
      <c r="Q839">
        <v>18.600000000000001</v>
      </c>
      <c r="R839">
        <v>5.7</v>
      </c>
      <c r="S839">
        <v>1.8</v>
      </c>
      <c r="T839">
        <v>2.1</v>
      </c>
      <c r="U839">
        <v>1</v>
      </c>
      <c r="V839">
        <v>5</v>
      </c>
      <c r="W839">
        <f>IF(nba_draft[[#This Row],[years_played]]&gt;5,1,0)</f>
        <v>1</v>
      </c>
    </row>
    <row r="840" spans="1:23" x14ac:dyDescent="0.25">
      <c r="A840">
        <v>21</v>
      </c>
      <c r="B840" t="s">
        <v>95</v>
      </c>
      <c r="C840" t="s">
        <v>358</v>
      </c>
      <c r="D840" t="s">
        <v>175</v>
      </c>
      <c r="E840">
        <v>7</v>
      </c>
      <c r="F840">
        <v>327</v>
      </c>
      <c r="G840">
        <v>5201</v>
      </c>
      <c r="H840">
        <v>1388</v>
      </c>
      <c r="I840">
        <v>1187</v>
      </c>
      <c r="J840">
        <v>305</v>
      </c>
      <c r="K840">
        <v>0.44</v>
      </c>
      <c r="L840">
        <v>0.222</v>
      </c>
      <c r="M840">
        <v>0.61799999999999999</v>
      </c>
      <c r="N840">
        <v>4.7</v>
      </c>
      <c r="O840">
        <v>4.3999999999999997E-2</v>
      </c>
      <c r="P840">
        <v>1994</v>
      </c>
      <c r="Q840">
        <v>15.9</v>
      </c>
      <c r="R840">
        <v>4.2</v>
      </c>
      <c r="S840">
        <v>3.6</v>
      </c>
      <c r="T840">
        <v>0.9</v>
      </c>
      <c r="U840">
        <v>1</v>
      </c>
      <c r="V840">
        <v>21</v>
      </c>
      <c r="W840">
        <f>IF(nba_draft[[#This Row],[years_played]]&gt;5,1,0)</f>
        <v>1</v>
      </c>
    </row>
    <row r="841" spans="1:23" x14ac:dyDescent="0.25">
      <c r="A841">
        <v>26</v>
      </c>
      <c r="B841" t="s">
        <v>37</v>
      </c>
      <c r="C841" t="s">
        <v>1413</v>
      </c>
      <c r="D841" t="s">
        <v>435</v>
      </c>
      <c r="E841">
        <v>7</v>
      </c>
      <c r="F841">
        <v>307</v>
      </c>
      <c r="G841">
        <v>6801</v>
      </c>
      <c r="H841">
        <v>1382</v>
      </c>
      <c r="I841">
        <v>1230</v>
      </c>
      <c r="J841">
        <v>265</v>
      </c>
      <c r="K841">
        <v>0.47299999999999998</v>
      </c>
      <c r="L841">
        <v>0.253</v>
      </c>
      <c r="M841">
        <v>0.46800000000000003</v>
      </c>
      <c r="N841">
        <v>12.6</v>
      </c>
      <c r="O841">
        <v>8.8999999999999996E-2</v>
      </c>
      <c r="P841">
        <v>2013</v>
      </c>
      <c r="Q841">
        <v>22.2</v>
      </c>
      <c r="R841">
        <v>4.5</v>
      </c>
      <c r="S841">
        <v>4</v>
      </c>
      <c r="T841">
        <v>0.9</v>
      </c>
      <c r="U841">
        <v>1</v>
      </c>
      <c r="V841">
        <v>26</v>
      </c>
      <c r="W841">
        <f>IF(nba_draft[[#This Row],[years_played]]&gt;5,1,0)</f>
        <v>1</v>
      </c>
    </row>
    <row r="842" spans="1:23" x14ac:dyDescent="0.25">
      <c r="A842">
        <v>26</v>
      </c>
      <c r="B842" t="s">
        <v>127</v>
      </c>
      <c r="C842" t="s">
        <v>658</v>
      </c>
      <c r="D842" t="s">
        <v>272</v>
      </c>
      <c r="E842">
        <v>3</v>
      </c>
      <c r="F842">
        <v>199</v>
      </c>
      <c r="G842">
        <v>3789</v>
      </c>
      <c r="H842">
        <v>1381</v>
      </c>
      <c r="I842">
        <v>373</v>
      </c>
      <c r="J842">
        <v>534</v>
      </c>
      <c r="K842">
        <v>0.38300000000000001</v>
      </c>
      <c r="L842">
        <v>0.32100000000000001</v>
      </c>
      <c r="M842">
        <v>0.72599999999999998</v>
      </c>
      <c r="N842">
        <v>2.2000000000000002</v>
      </c>
      <c r="O842">
        <v>2.8000000000000001E-2</v>
      </c>
      <c r="P842">
        <v>1999</v>
      </c>
      <c r="Q842">
        <v>19</v>
      </c>
      <c r="R842">
        <v>6.9</v>
      </c>
      <c r="S842">
        <v>1.9</v>
      </c>
      <c r="T842">
        <v>2.7</v>
      </c>
      <c r="U842">
        <v>1</v>
      </c>
      <c r="V842">
        <v>26</v>
      </c>
      <c r="W842">
        <f>IF(nba_draft[[#This Row],[years_played]]&gt;5,1,0)</f>
        <v>0</v>
      </c>
    </row>
    <row r="843" spans="1:23" x14ac:dyDescent="0.25">
      <c r="A843">
        <v>54</v>
      </c>
      <c r="B843" t="s">
        <v>82</v>
      </c>
      <c r="C843" t="s">
        <v>140</v>
      </c>
      <c r="D843" t="s">
        <v>51</v>
      </c>
      <c r="E843">
        <v>6</v>
      </c>
      <c r="F843">
        <v>220</v>
      </c>
      <c r="G843">
        <v>3334</v>
      </c>
      <c r="H843">
        <v>1375</v>
      </c>
      <c r="I843">
        <v>402</v>
      </c>
      <c r="J843">
        <v>226</v>
      </c>
      <c r="K843">
        <v>0.42799999999999999</v>
      </c>
      <c r="L843">
        <v>0.32100000000000001</v>
      </c>
      <c r="M843">
        <v>0.85</v>
      </c>
      <c r="N843">
        <v>0.4</v>
      </c>
      <c r="O843">
        <v>6.0000000000000001E-3</v>
      </c>
      <c r="P843">
        <v>1990</v>
      </c>
      <c r="Q843">
        <v>15.2</v>
      </c>
      <c r="R843">
        <v>6.3</v>
      </c>
      <c r="S843">
        <v>1.8</v>
      </c>
      <c r="T843">
        <v>1</v>
      </c>
      <c r="U843">
        <v>2</v>
      </c>
      <c r="V843">
        <v>27</v>
      </c>
      <c r="W843">
        <f>IF(nba_draft[[#This Row],[years_played]]&gt;5,1,0)</f>
        <v>1</v>
      </c>
    </row>
    <row r="844" spans="1:23" x14ac:dyDescent="0.25">
      <c r="A844">
        <v>47</v>
      </c>
      <c r="B844" t="s">
        <v>102</v>
      </c>
      <c r="C844" t="s">
        <v>678</v>
      </c>
      <c r="D844" t="s">
        <v>325</v>
      </c>
      <c r="E844">
        <v>4</v>
      </c>
      <c r="F844">
        <v>223</v>
      </c>
      <c r="G844">
        <v>3439</v>
      </c>
      <c r="H844">
        <v>1369</v>
      </c>
      <c r="I844">
        <v>888</v>
      </c>
      <c r="J844">
        <v>121</v>
      </c>
      <c r="K844">
        <v>0.54100000000000004</v>
      </c>
      <c r="L844">
        <v>0</v>
      </c>
      <c r="M844">
        <v>0.64200000000000002</v>
      </c>
      <c r="N844">
        <v>11.9</v>
      </c>
      <c r="O844">
        <v>0.16600000000000001</v>
      </c>
      <c r="P844">
        <v>1999</v>
      </c>
      <c r="Q844">
        <v>15.4</v>
      </c>
      <c r="R844">
        <v>6.1</v>
      </c>
      <c r="S844">
        <v>4</v>
      </c>
      <c r="T844">
        <v>0.5</v>
      </c>
      <c r="U844">
        <v>2</v>
      </c>
      <c r="V844">
        <v>18</v>
      </c>
      <c r="W844">
        <f>IF(nba_draft[[#This Row],[years_played]]&gt;5,1,0)</f>
        <v>0</v>
      </c>
    </row>
    <row r="845" spans="1:23" x14ac:dyDescent="0.25">
      <c r="A845">
        <v>8</v>
      </c>
      <c r="B845" t="s">
        <v>65</v>
      </c>
      <c r="C845" t="s">
        <v>1603</v>
      </c>
      <c r="D845" t="s">
        <v>97</v>
      </c>
      <c r="E845">
        <v>5</v>
      </c>
      <c r="F845">
        <v>258</v>
      </c>
      <c r="G845">
        <v>4708</v>
      </c>
      <c r="H845">
        <v>1356</v>
      </c>
      <c r="I845">
        <v>479</v>
      </c>
      <c r="J845">
        <v>616</v>
      </c>
      <c r="K845">
        <v>0.36799999999999999</v>
      </c>
      <c r="L845">
        <v>0.33</v>
      </c>
      <c r="M845">
        <v>0.77400000000000002</v>
      </c>
      <c r="N845">
        <v>0.3</v>
      </c>
      <c r="O845">
        <v>3.0000000000000001E-3</v>
      </c>
      <c r="P845">
        <v>2017</v>
      </c>
      <c r="Q845">
        <v>18.2</v>
      </c>
      <c r="R845">
        <v>5.3</v>
      </c>
      <c r="S845">
        <v>1.9</v>
      </c>
      <c r="T845">
        <v>2.4</v>
      </c>
      <c r="U845">
        <v>1</v>
      </c>
      <c r="V845">
        <v>8</v>
      </c>
      <c r="W845">
        <f>IF(nba_draft[[#This Row],[years_played]]&gt;5,1,0)</f>
        <v>0</v>
      </c>
    </row>
    <row r="846" spans="1:23" x14ac:dyDescent="0.25">
      <c r="A846">
        <v>6</v>
      </c>
      <c r="B846" t="s">
        <v>52</v>
      </c>
      <c r="C846" t="s">
        <v>1222</v>
      </c>
      <c r="D846" t="s">
        <v>588</v>
      </c>
      <c r="E846">
        <v>7</v>
      </c>
      <c r="F846">
        <v>384</v>
      </c>
      <c r="G846">
        <v>5694</v>
      </c>
      <c r="H846">
        <v>1353</v>
      </c>
      <c r="I846">
        <v>1100</v>
      </c>
      <c r="J846">
        <v>260</v>
      </c>
      <c r="K846">
        <v>0.45300000000000001</v>
      </c>
      <c r="L846">
        <v>0</v>
      </c>
      <c r="M846">
        <v>0.71799999999999997</v>
      </c>
      <c r="N846">
        <v>10.4</v>
      </c>
      <c r="O846">
        <v>8.7999999999999995E-2</v>
      </c>
      <c r="P846">
        <v>2010</v>
      </c>
      <c r="Q846">
        <v>14.8</v>
      </c>
      <c r="R846">
        <v>3.5</v>
      </c>
      <c r="S846">
        <v>2.9</v>
      </c>
      <c r="T846">
        <v>0.7</v>
      </c>
      <c r="U846">
        <v>1</v>
      </c>
      <c r="V846">
        <v>6</v>
      </c>
      <c r="W846">
        <f>IF(nba_draft[[#This Row],[years_played]]&gt;5,1,0)</f>
        <v>1</v>
      </c>
    </row>
    <row r="847" spans="1:23" x14ac:dyDescent="0.25">
      <c r="A847">
        <v>10</v>
      </c>
      <c r="B847" t="s">
        <v>49</v>
      </c>
      <c r="C847" t="s">
        <v>1721</v>
      </c>
      <c r="D847" t="s">
        <v>87</v>
      </c>
      <c r="E847">
        <v>3</v>
      </c>
      <c r="F847">
        <v>127</v>
      </c>
      <c r="G847">
        <v>3202</v>
      </c>
      <c r="H847">
        <v>1353</v>
      </c>
      <c r="I847">
        <v>412</v>
      </c>
      <c r="J847">
        <v>164</v>
      </c>
      <c r="K847">
        <v>0.38400000000000001</v>
      </c>
      <c r="L847">
        <v>0.32500000000000001</v>
      </c>
      <c r="M847">
        <v>0.84099999999999997</v>
      </c>
      <c r="N847">
        <v>0.8</v>
      </c>
      <c r="O847">
        <v>1.0999999999999999E-2</v>
      </c>
      <c r="P847">
        <v>2019</v>
      </c>
      <c r="Q847">
        <v>25.2</v>
      </c>
      <c r="R847">
        <v>10.7</v>
      </c>
      <c r="S847">
        <v>3.2</v>
      </c>
      <c r="T847">
        <v>1.3</v>
      </c>
      <c r="U847">
        <v>1</v>
      </c>
      <c r="V847">
        <v>10</v>
      </c>
      <c r="W847">
        <f>IF(nba_draft[[#This Row],[years_played]]&gt;5,1,0)</f>
        <v>0</v>
      </c>
    </row>
    <row r="848" spans="1:23" x14ac:dyDescent="0.25">
      <c r="A848">
        <v>21</v>
      </c>
      <c r="B848" t="s">
        <v>102</v>
      </c>
      <c r="C848" t="s">
        <v>1792</v>
      </c>
      <c r="D848" t="s">
        <v>282</v>
      </c>
      <c r="E848">
        <v>2</v>
      </c>
      <c r="F848">
        <v>112</v>
      </c>
      <c r="G848">
        <v>2751</v>
      </c>
      <c r="H848">
        <v>1350</v>
      </c>
      <c r="I848">
        <v>284</v>
      </c>
      <c r="J848">
        <v>356</v>
      </c>
      <c r="K848">
        <v>0.46600000000000003</v>
      </c>
      <c r="L848">
        <v>0.35799999999999998</v>
      </c>
      <c r="M848">
        <v>0.871</v>
      </c>
      <c r="N848">
        <v>6.5</v>
      </c>
      <c r="O848">
        <v>0.114</v>
      </c>
      <c r="P848">
        <v>2020</v>
      </c>
      <c r="Q848">
        <v>24.6</v>
      </c>
      <c r="R848">
        <v>12.1</v>
      </c>
      <c r="S848">
        <v>2.5</v>
      </c>
      <c r="T848">
        <v>3.2</v>
      </c>
      <c r="U848">
        <v>1</v>
      </c>
      <c r="V848">
        <v>21</v>
      </c>
      <c r="W848">
        <f>IF(nba_draft[[#This Row],[years_played]]&gt;5,1,0)</f>
        <v>0</v>
      </c>
    </row>
    <row r="849" spans="1:23" x14ac:dyDescent="0.25">
      <c r="A849">
        <v>9</v>
      </c>
      <c r="B849" t="s">
        <v>52</v>
      </c>
      <c r="C849" t="s">
        <v>954</v>
      </c>
      <c r="D849" t="s">
        <v>208</v>
      </c>
      <c r="E849">
        <v>6</v>
      </c>
      <c r="F849">
        <v>225</v>
      </c>
      <c r="G849">
        <v>2795</v>
      </c>
      <c r="H849">
        <v>1348</v>
      </c>
      <c r="I849">
        <v>689</v>
      </c>
      <c r="J849">
        <v>69</v>
      </c>
      <c r="K849">
        <v>0.50900000000000001</v>
      </c>
      <c r="L849">
        <v>0.5</v>
      </c>
      <c r="M849">
        <v>0.78600000000000003</v>
      </c>
      <c r="N849">
        <v>6.5</v>
      </c>
      <c r="O849">
        <v>0.112</v>
      </c>
      <c r="P849">
        <v>2005</v>
      </c>
      <c r="Q849">
        <v>12.4</v>
      </c>
      <c r="R849">
        <v>6</v>
      </c>
      <c r="S849">
        <v>3.1</v>
      </c>
      <c r="T849">
        <v>0.3</v>
      </c>
      <c r="U849">
        <v>1</v>
      </c>
      <c r="V849">
        <v>9</v>
      </c>
      <c r="W849">
        <f>IF(nba_draft[[#This Row],[years_played]]&gt;5,1,0)</f>
        <v>1</v>
      </c>
    </row>
    <row r="850" spans="1:23" x14ac:dyDescent="0.25">
      <c r="A850">
        <v>15</v>
      </c>
      <c r="B850" t="s">
        <v>109</v>
      </c>
      <c r="C850" t="s">
        <v>1666</v>
      </c>
      <c r="D850" t="s">
        <v>158</v>
      </c>
      <c r="E850">
        <v>4</v>
      </c>
      <c r="F850">
        <v>203</v>
      </c>
      <c r="G850">
        <v>3904</v>
      </c>
      <c r="H850">
        <v>1346</v>
      </c>
      <c r="I850">
        <v>803</v>
      </c>
      <c r="J850">
        <v>342</v>
      </c>
      <c r="K850">
        <v>0.42599999999999999</v>
      </c>
      <c r="L850">
        <v>0.33</v>
      </c>
      <c r="M850">
        <v>0.754</v>
      </c>
      <c r="N850">
        <v>4.5999999999999996</v>
      </c>
      <c r="O850">
        <v>5.6000000000000001E-2</v>
      </c>
      <c r="P850">
        <v>2018</v>
      </c>
      <c r="Q850">
        <v>19.2</v>
      </c>
      <c r="R850">
        <v>6.6</v>
      </c>
      <c r="S850">
        <v>4</v>
      </c>
      <c r="T850">
        <v>1.7</v>
      </c>
      <c r="U850">
        <v>1</v>
      </c>
      <c r="V850">
        <v>15</v>
      </c>
      <c r="W850">
        <f>IF(nba_draft[[#This Row],[years_played]]&gt;5,1,0)</f>
        <v>0</v>
      </c>
    </row>
    <row r="851" spans="1:23" x14ac:dyDescent="0.25">
      <c r="A851">
        <v>23</v>
      </c>
      <c r="B851" t="s">
        <v>22</v>
      </c>
      <c r="C851" t="s">
        <v>1026</v>
      </c>
      <c r="D851" t="s">
        <v>79</v>
      </c>
      <c r="E851">
        <v>4</v>
      </c>
      <c r="F851">
        <v>256</v>
      </c>
      <c r="G851">
        <v>4482</v>
      </c>
      <c r="H851">
        <v>1340</v>
      </c>
      <c r="I851">
        <v>1258</v>
      </c>
      <c r="J851">
        <v>125</v>
      </c>
      <c r="K851">
        <v>0.54400000000000004</v>
      </c>
      <c r="L851">
        <v>0</v>
      </c>
      <c r="M851">
        <v>0.44500000000000001</v>
      </c>
      <c r="N851">
        <v>9.1</v>
      </c>
      <c r="O851">
        <v>9.7000000000000003E-2</v>
      </c>
      <c r="P851">
        <v>2006</v>
      </c>
      <c r="Q851">
        <v>17.5</v>
      </c>
      <c r="R851">
        <v>5.2</v>
      </c>
      <c r="S851">
        <v>4.9000000000000004</v>
      </c>
      <c r="T851">
        <v>0.5</v>
      </c>
      <c r="U851">
        <v>1</v>
      </c>
      <c r="V851">
        <v>23</v>
      </c>
      <c r="W851">
        <f>IF(nba_draft[[#This Row],[years_played]]&gt;5,1,0)</f>
        <v>0</v>
      </c>
    </row>
    <row r="852" spans="1:23" x14ac:dyDescent="0.25">
      <c r="A852">
        <v>16</v>
      </c>
      <c r="B852" t="s">
        <v>104</v>
      </c>
      <c r="C852" t="s">
        <v>911</v>
      </c>
      <c r="D852" t="s">
        <v>912</v>
      </c>
      <c r="E852">
        <v>4</v>
      </c>
      <c r="F852">
        <v>211</v>
      </c>
      <c r="G852">
        <v>3540</v>
      </c>
      <c r="H852">
        <v>1333</v>
      </c>
      <c r="I852">
        <v>491</v>
      </c>
      <c r="J852">
        <v>241</v>
      </c>
      <c r="K852">
        <v>0.438</v>
      </c>
      <c r="L852">
        <v>0.32700000000000001</v>
      </c>
      <c r="M852">
        <v>0.69899999999999995</v>
      </c>
      <c r="N852">
        <v>4.5</v>
      </c>
      <c r="O852">
        <v>6.0999999999999999E-2</v>
      </c>
      <c r="P852">
        <v>2004</v>
      </c>
      <c r="Q852">
        <v>16.8</v>
      </c>
      <c r="R852">
        <v>6.3</v>
      </c>
      <c r="S852">
        <v>2.2999999999999998</v>
      </c>
      <c r="T852">
        <v>1.1000000000000001</v>
      </c>
      <c r="U852">
        <v>1</v>
      </c>
      <c r="V852">
        <v>16</v>
      </c>
      <c r="W852">
        <f>IF(nba_draft[[#This Row],[years_played]]&gt;5,1,0)</f>
        <v>0</v>
      </c>
    </row>
    <row r="853" spans="1:23" x14ac:dyDescent="0.25">
      <c r="A853">
        <v>8</v>
      </c>
      <c r="B853" t="s">
        <v>49</v>
      </c>
      <c r="C853" t="s">
        <v>1719</v>
      </c>
      <c r="D853" t="s">
        <v>60</v>
      </c>
      <c r="E853">
        <v>3</v>
      </c>
      <c r="F853">
        <v>171</v>
      </c>
      <c r="G853">
        <v>2845</v>
      </c>
      <c r="H853">
        <v>1328</v>
      </c>
      <c r="I853">
        <v>701</v>
      </c>
      <c r="J853">
        <v>114</v>
      </c>
      <c r="K853">
        <v>0.64700000000000002</v>
      </c>
      <c r="L853">
        <v>0.318</v>
      </c>
      <c r="M853">
        <v>0.71599999999999997</v>
      </c>
      <c r="N853">
        <v>10.5</v>
      </c>
      <c r="O853">
        <v>0.17799999999999999</v>
      </c>
      <c r="P853">
        <v>2019</v>
      </c>
      <c r="Q853">
        <v>16.600000000000001</v>
      </c>
      <c r="R853">
        <v>7.8</v>
      </c>
      <c r="S853">
        <v>4.0999999999999996</v>
      </c>
      <c r="T853">
        <v>0.7</v>
      </c>
      <c r="U853">
        <v>1</v>
      </c>
      <c r="V853">
        <v>8</v>
      </c>
      <c r="W853">
        <f>IF(nba_draft[[#This Row],[years_played]]&gt;5,1,0)</f>
        <v>0</v>
      </c>
    </row>
    <row r="854" spans="1:23" x14ac:dyDescent="0.25">
      <c r="A854">
        <v>55</v>
      </c>
      <c r="B854" t="s">
        <v>28</v>
      </c>
      <c r="C854" t="s">
        <v>625</v>
      </c>
      <c r="D854" t="s">
        <v>94</v>
      </c>
      <c r="E854">
        <v>10</v>
      </c>
      <c r="F854">
        <v>507</v>
      </c>
      <c r="G854">
        <v>6502</v>
      </c>
      <c r="H854">
        <v>1319</v>
      </c>
      <c r="I854">
        <v>1060</v>
      </c>
      <c r="J854">
        <v>250</v>
      </c>
      <c r="K854">
        <v>0.45600000000000002</v>
      </c>
      <c r="L854">
        <v>0.20599999999999999</v>
      </c>
      <c r="M854">
        <v>0.69299999999999995</v>
      </c>
      <c r="N854">
        <v>12.4</v>
      </c>
      <c r="O854">
        <v>9.1999999999999998E-2</v>
      </c>
      <c r="P854">
        <v>1998</v>
      </c>
      <c r="Q854">
        <v>12.8</v>
      </c>
      <c r="R854">
        <v>2.6</v>
      </c>
      <c r="S854">
        <v>2.1</v>
      </c>
      <c r="T854">
        <v>0.5</v>
      </c>
      <c r="U854">
        <v>2</v>
      </c>
      <c r="V854">
        <v>26</v>
      </c>
      <c r="W854">
        <f>IF(nba_draft[[#This Row],[years_played]]&gt;5,1,0)</f>
        <v>1</v>
      </c>
    </row>
    <row r="855" spans="1:23" x14ac:dyDescent="0.25">
      <c r="A855">
        <v>25</v>
      </c>
      <c r="B855" t="s">
        <v>25</v>
      </c>
      <c r="C855" t="s">
        <v>1188</v>
      </c>
      <c r="D855" t="s">
        <v>97</v>
      </c>
      <c r="E855">
        <v>4</v>
      </c>
      <c r="F855">
        <v>182</v>
      </c>
      <c r="G855">
        <v>2896</v>
      </c>
      <c r="H855">
        <v>1286</v>
      </c>
      <c r="I855">
        <v>338</v>
      </c>
      <c r="J855">
        <v>374</v>
      </c>
      <c r="K855">
        <v>0.439</v>
      </c>
      <c r="L855">
        <v>0.32500000000000001</v>
      </c>
      <c r="M855">
        <v>0.81</v>
      </c>
      <c r="N855">
        <v>4.8</v>
      </c>
      <c r="O855">
        <v>7.9000000000000001E-2</v>
      </c>
      <c r="P855">
        <v>2009</v>
      </c>
      <c r="Q855">
        <v>15.9</v>
      </c>
      <c r="R855">
        <v>7.1</v>
      </c>
      <c r="S855">
        <v>1.9</v>
      </c>
      <c r="T855">
        <v>2.1</v>
      </c>
      <c r="U855">
        <v>1</v>
      </c>
      <c r="V855">
        <v>25</v>
      </c>
      <c r="W855">
        <f>IF(nba_draft[[#This Row],[years_played]]&gt;5,1,0)</f>
        <v>0</v>
      </c>
    </row>
    <row r="856" spans="1:23" x14ac:dyDescent="0.25">
      <c r="A856">
        <v>54</v>
      </c>
      <c r="B856" t="s">
        <v>25</v>
      </c>
      <c r="C856" t="s">
        <v>387</v>
      </c>
      <c r="D856" t="s">
        <v>97</v>
      </c>
      <c r="E856">
        <v>5</v>
      </c>
      <c r="F856">
        <v>215</v>
      </c>
      <c r="G856">
        <v>3280</v>
      </c>
      <c r="H856">
        <v>1276</v>
      </c>
      <c r="I856">
        <v>688</v>
      </c>
      <c r="J856">
        <v>88</v>
      </c>
      <c r="K856">
        <v>0.52700000000000002</v>
      </c>
      <c r="L856">
        <v>0</v>
      </c>
      <c r="M856">
        <v>0.79200000000000004</v>
      </c>
      <c r="N856">
        <v>8.3000000000000007</v>
      </c>
      <c r="O856">
        <v>0.121</v>
      </c>
      <c r="P856">
        <v>1994</v>
      </c>
      <c r="Q856">
        <v>15.3</v>
      </c>
      <c r="R856">
        <v>5.9</v>
      </c>
      <c r="S856">
        <v>3.2</v>
      </c>
      <c r="T856">
        <v>0.4</v>
      </c>
      <c r="U856">
        <v>2</v>
      </c>
      <c r="V856">
        <v>27</v>
      </c>
      <c r="W856">
        <f>IF(nba_draft[[#This Row],[years_played]]&gt;5,1,0)</f>
        <v>0</v>
      </c>
    </row>
    <row r="857" spans="1:23" x14ac:dyDescent="0.25">
      <c r="A857">
        <v>29</v>
      </c>
      <c r="B857" t="s">
        <v>95</v>
      </c>
      <c r="C857" t="s">
        <v>484</v>
      </c>
      <c r="D857" t="s">
        <v>79</v>
      </c>
      <c r="E857">
        <v>7</v>
      </c>
      <c r="F857">
        <v>371</v>
      </c>
      <c r="G857">
        <v>4566</v>
      </c>
      <c r="H857">
        <v>1276</v>
      </c>
      <c r="I857">
        <v>1160</v>
      </c>
      <c r="J857">
        <v>224</v>
      </c>
      <c r="K857">
        <v>0.438</v>
      </c>
      <c r="L857">
        <v>0.25900000000000001</v>
      </c>
      <c r="M857">
        <v>0.69599999999999995</v>
      </c>
      <c r="N857">
        <v>7.9</v>
      </c>
      <c r="O857">
        <v>8.3000000000000004E-2</v>
      </c>
      <c r="P857">
        <v>1996</v>
      </c>
      <c r="Q857">
        <v>12.3</v>
      </c>
      <c r="R857">
        <v>3.4</v>
      </c>
      <c r="S857">
        <v>3.1</v>
      </c>
      <c r="T857">
        <v>0.6</v>
      </c>
      <c r="U857">
        <v>1</v>
      </c>
      <c r="V857">
        <v>29</v>
      </c>
      <c r="W857">
        <f>IF(nba_draft[[#This Row],[years_played]]&gt;5,1,0)</f>
        <v>1</v>
      </c>
    </row>
    <row r="858" spans="1:23" x14ac:dyDescent="0.25">
      <c r="A858">
        <v>14</v>
      </c>
      <c r="B858" t="s">
        <v>40</v>
      </c>
      <c r="C858" t="s">
        <v>59</v>
      </c>
      <c r="D858" t="s">
        <v>60</v>
      </c>
      <c r="E858">
        <v>3</v>
      </c>
      <c r="F858">
        <v>115</v>
      </c>
      <c r="G858">
        <v>2964</v>
      </c>
      <c r="H858">
        <v>1273</v>
      </c>
      <c r="I858">
        <v>233</v>
      </c>
      <c r="J858">
        <v>326</v>
      </c>
      <c r="K858">
        <v>0.41</v>
      </c>
      <c r="L858">
        <v>0.36199999999999999</v>
      </c>
      <c r="M858">
        <v>0.749</v>
      </c>
      <c r="N858">
        <v>2.4</v>
      </c>
      <c r="O858">
        <v>3.9E-2</v>
      </c>
      <c r="P858">
        <v>1990</v>
      </c>
      <c r="Q858">
        <v>25.8</v>
      </c>
      <c r="R858">
        <v>11.1</v>
      </c>
      <c r="S858">
        <v>2</v>
      </c>
      <c r="T858">
        <v>2.8</v>
      </c>
      <c r="U858">
        <v>1</v>
      </c>
      <c r="V858">
        <v>14</v>
      </c>
      <c r="W858">
        <f>IF(nba_draft[[#This Row],[years_played]]&gt;5,1,0)</f>
        <v>0</v>
      </c>
    </row>
    <row r="859" spans="1:23" x14ac:dyDescent="0.25">
      <c r="A859">
        <v>6</v>
      </c>
      <c r="B859" t="s">
        <v>31</v>
      </c>
      <c r="C859" t="s">
        <v>1601</v>
      </c>
      <c r="D859" t="s">
        <v>298</v>
      </c>
      <c r="E859">
        <v>3</v>
      </c>
      <c r="F859">
        <v>136</v>
      </c>
      <c r="G859">
        <v>3512</v>
      </c>
      <c r="H859">
        <v>1269</v>
      </c>
      <c r="I859">
        <v>741</v>
      </c>
      <c r="J859">
        <v>146</v>
      </c>
      <c r="K859">
        <v>0.435</v>
      </c>
      <c r="L859">
        <v>0.33</v>
      </c>
      <c r="M859">
        <v>0.79700000000000004</v>
      </c>
      <c r="N859">
        <v>6.7</v>
      </c>
      <c r="O859">
        <v>9.0999999999999998E-2</v>
      </c>
      <c r="P859">
        <v>2017</v>
      </c>
      <c r="Q859">
        <v>25.8</v>
      </c>
      <c r="R859">
        <v>9.3000000000000007</v>
      </c>
      <c r="S859">
        <v>5.4</v>
      </c>
      <c r="T859">
        <v>1.1000000000000001</v>
      </c>
      <c r="U859">
        <v>1</v>
      </c>
      <c r="V859">
        <v>6</v>
      </c>
      <c r="W859">
        <f>IF(nba_draft[[#This Row],[years_played]]&gt;5,1,0)</f>
        <v>0</v>
      </c>
    </row>
    <row r="860" spans="1:23" x14ac:dyDescent="0.25">
      <c r="A860">
        <v>48</v>
      </c>
      <c r="B860" t="s">
        <v>37</v>
      </c>
      <c r="C860" t="s">
        <v>438</v>
      </c>
      <c r="D860" t="s">
        <v>439</v>
      </c>
      <c r="E860">
        <v>5</v>
      </c>
      <c r="F860">
        <v>230</v>
      </c>
      <c r="G860">
        <v>3681</v>
      </c>
      <c r="H860">
        <v>1261</v>
      </c>
      <c r="I860">
        <v>697</v>
      </c>
      <c r="J860">
        <v>294</v>
      </c>
      <c r="K860">
        <v>0.442</v>
      </c>
      <c r="L860">
        <v>0.246</v>
      </c>
      <c r="M860">
        <v>0.65500000000000003</v>
      </c>
      <c r="N860">
        <v>2.2999999999999998</v>
      </c>
      <c r="O860">
        <v>0.03</v>
      </c>
      <c r="P860">
        <v>1995</v>
      </c>
      <c r="Q860">
        <v>16</v>
      </c>
      <c r="R860">
        <v>5.5</v>
      </c>
      <c r="S860">
        <v>3</v>
      </c>
      <c r="T860">
        <v>1.3</v>
      </c>
      <c r="U860">
        <v>2</v>
      </c>
      <c r="V860">
        <v>19</v>
      </c>
      <c r="W860">
        <f>IF(nba_draft[[#This Row],[years_played]]&gt;5,1,0)</f>
        <v>0</v>
      </c>
    </row>
    <row r="861" spans="1:23" x14ac:dyDescent="0.25">
      <c r="A861">
        <v>31</v>
      </c>
      <c r="B861" t="s">
        <v>49</v>
      </c>
      <c r="C861" t="s">
        <v>976</v>
      </c>
      <c r="D861" t="s">
        <v>117</v>
      </c>
      <c r="E861">
        <v>3</v>
      </c>
      <c r="F861">
        <v>157</v>
      </c>
      <c r="G861">
        <v>2672</v>
      </c>
      <c r="H861">
        <v>1260</v>
      </c>
      <c r="I861">
        <v>214</v>
      </c>
      <c r="J861">
        <v>164</v>
      </c>
      <c r="K861">
        <v>0.40699999999999997</v>
      </c>
      <c r="L861">
        <v>0.36599999999999999</v>
      </c>
      <c r="M861">
        <v>0.88200000000000001</v>
      </c>
      <c r="N861">
        <v>2.2000000000000002</v>
      </c>
      <c r="O861">
        <v>0.04</v>
      </c>
      <c r="P861">
        <v>2005</v>
      </c>
      <c r="Q861">
        <v>17</v>
      </c>
      <c r="R861">
        <v>8</v>
      </c>
      <c r="S861">
        <v>1.4</v>
      </c>
      <c r="T861">
        <v>1</v>
      </c>
      <c r="U861">
        <v>2</v>
      </c>
      <c r="V861">
        <v>1</v>
      </c>
      <c r="W861">
        <f>IF(nba_draft[[#This Row],[years_played]]&gt;5,1,0)</f>
        <v>0</v>
      </c>
    </row>
    <row r="862" spans="1:23" x14ac:dyDescent="0.25">
      <c r="A862">
        <v>25</v>
      </c>
      <c r="B862" t="s">
        <v>90</v>
      </c>
      <c r="C862" t="s">
        <v>1677</v>
      </c>
      <c r="D862" t="s">
        <v>51</v>
      </c>
      <c r="E862">
        <v>4</v>
      </c>
      <c r="F862">
        <v>178</v>
      </c>
      <c r="G862">
        <v>2567</v>
      </c>
      <c r="H862">
        <v>1252</v>
      </c>
      <c r="I862">
        <v>560</v>
      </c>
      <c r="J862">
        <v>179</v>
      </c>
      <c r="K862">
        <v>0.48599999999999999</v>
      </c>
      <c r="L862">
        <v>0.32</v>
      </c>
      <c r="M862">
        <v>0.81200000000000006</v>
      </c>
      <c r="N862">
        <v>4.8</v>
      </c>
      <c r="O862">
        <v>8.8999999999999996E-2</v>
      </c>
      <c r="P862">
        <v>2018</v>
      </c>
      <c r="Q862">
        <v>14.4</v>
      </c>
      <c r="R862">
        <v>7</v>
      </c>
      <c r="S862">
        <v>3.1</v>
      </c>
      <c r="T862">
        <v>1</v>
      </c>
      <c r="U862">
        <v>1</v>
      </c>
      <c r="V862">
        <v>25</v>
      </c>
      <c r="W862">
        <f>IF(nba_draft[[#This Row],[years_played]]&gt;5,1,0)</f>
        <v>0</v>
      </c>
    </row>
    <row r="863" spans="1:23" x14ac:dyDescent="0.25">
      <c r="A863">
        <v>46</v>
      </c>
      <c r="B863" t="s">
        <v>127</v>
      </c>
      <c r="C863" t="s">
        <v>129</v>
      </c>
      <c r="D863" t="s">
        <v>130</v>
      </c>
      <c r="E863">
        <v>4</v>
      </c>
      <c r="F863">
        <v>260</v>
      </c>
      <c r="G863">
        <v>2918</v>
      </c>
      <c r="H863">
        <v>1247</v>
      </c>
      <c r="I863">
        <v>693</v>
      </c>
      <c r="J863">
        <v>161</v>
      </c>
      <c r="K863">
        <v>0.51100000000000001</v>
      </c>
      <c r="L863">
        <v>0</v>
      </c>
      <c r="M863">
        <v>0.68</v>
      </c>
      <c r="N863">
        <v>7.4</v>
      </c>
      <c r="O863">
        <v>0.122</v>
      </c>
      <c r="P863">
        <v>1990</v>
      </c>
      <c r="Q863">
        <v>11.2</v>
      </c>
      <c r="R863">
        <v>4.8</v>
      </c>
      <c r="S863">
        <v>2.7</v>
      </c>
      <c r="T863">
        <v>0.6</v>
      </c>
      <c r="U863">
        <v>2</v>
      </c>
      <c r="V863">
        <v>19</v>
      </c>
      <c r="W863">
        <f>IF(nba_draft[[#This Row],[years_played]]&gt;5,1,0)</f>
        <v>0</v>
      </c>
    </row>
    <row r="864" spans="1:23" x14ac:dyDescent="0.25">
      <c r="A864">
        <v>25</v>
      </c>
      <c r="B864" t="s">
        <v>25</v>
      </c>
      <c r="C864" t="s">
        <v>1796</v>
      </c>
      <c r="D864" t="s">
        <v>282</v>
      </c>
      <c r="E864">
        <v>2</v>
      </c>
      <c r="F864">
        <v>119</v>
      </c>
      <c r="G864">
        <v>2413</v>
      </c>
      <c r="H864">
        <v>1246</v>
      </c>
      <c r="I864">
        <v>264</v>
      </c>
      <c r="J864">
        <v>291</v>
      </c>
      <c r="K864">
        <v>0.38300000000000001</v>
      </c>
      <c r="L864">
        <v>0.36099999999999999</v>
      </c>
      <c r="M864">
        <v>0.89900000000000002</v>
      </c>
      <c r="N864">
        <v>4.7</v>
      </c>
      <c r="O864">
        <v>9.4E-2</v>
      </c>
      <c r="P864">
        <v>2020</v>
      </c>
      <c r="Q864">
        <v>20.3</v>
      </c>
      <c r="R864">
        <v>10.5</v>
      </c>
      <c r="S864">
        <v>2.2000000000000002</v>
      </c>
      <c r="T864">
        <v>2.4</v>
      </c>
      <c r="U864">
        <v>1</v>
      </c>
      <c r="V864">
        <v>25</v>
      </c>
      <c r="W864">
        <f>IF(nba_draft[[#This Row],[years_played]]&gt;5,1,0)</f>
        <v>0</v>
      </c>
    </row>
    <row r="865" spans="1:23" x14ac:dyDescent="0.25">
      <c r="A865">
        <v>51</v>
      </c>
      <c r="B865" t="s">
        <v>55</v>
      </c>
      <c r="C865" t="s">
        <v>211</v>
      </c>
      <c r="D865" t="s">
        <v>97</v>
      </c>
      <c r="E865">
        <v>6</v>
      </c>
      <c r="F865">
        <v>247</v>
      </c>
      <c r="G865">
        <v>3607</v>
      </c>
      <c r="H865">
        <v>1233</v>
      </c>
      <c r="I865">
        <v>883</v>
      </c>
      <c r="J865">
        <v>165</v>
      </c>
      <c r="K865">
        <v>0.50600000000000001</v>
      </c>
      <c r="L865">
        <v>0</v>
      </c>
      <c r="M865">
        <v>0.52500000000000002</v>
      </c>
      <c r="N865">
        <v>2.4</v>
      </c>
      <c r="O865">
        <v>3.2000000000000001E-2</v>
      </c>
      <c r="P865">
        <v>1991</v>
      </c>
      <c r="Q865">
        <v>14.6</v>
      </c>
      <c r="R865">
        <v>5</v>
      </c>
      <c r="S865">
        <v>3.6</v>
      </c>
      <c r="T865">
        <v>0.7</v>
      </c>
      <c r="U865">
        <v>2</v>
      </c>
      <c r="V865">
        <v>24</v>
      </c>
      <c r="W865">
        <f>IF(nba_draft[[#This Row],[years_played]]&gt;5,1,0)</f>
        <v>1</v>
      </c>
    </row>
    <row r="866" spans="1:23" x14ac:dyDescent="0.25">
      <c r="A866">
        <v>1</v>
      </c>
      <c r="B866" t="s">
        <v>102</v>
      </c>
      <c r="C866" t="s">
        <v>1596</v>
      </c>
      <c r="D866" t="s">
        <v>325</v>
      </c>
      <c r="E866">
        <v>4</v>
      </c>
      <c r="F866">
        <v>113</v>
      </c>
      <c r="G866">
        <v>2891</v>
      </c>
      <c r="H866">
        <v>1228</v>
      </c>
      <c r="I866">
        <v>376</v>
      </c>
      <c r="J866">
        <v>524</v>
      </c>
      <c r="K866">
        <v>0.44700000000000001</v>
      </c>
      <c r="L866">
        <v>0.26500000000000001</v>
      </c>
      <c r="M866">
        <v>0.69499999999999995</v>
      </c>
      <c r="N866">
        <v>3.1</v>
      </c>
      <c r="O866">
        <v>5.1999999999999998E-2</v>
      </c>
      <c r="P866">
        <v>2017</v>
      </c>
      <c r="Q866">
        <v>25.6</v>
      </c>
      <c r="R866">
        <v>10.9</v>
      </c>
      <c r="S866">
        <v>3.3</v>
      </c>
      <c r="T866">
        <v>4.5999999999999996</v>
      </c>
      <c r="U866">
        <v>1</v>
      </c>
      <c r="V866">
        <v>1</v>
      </c>
      <c r="W866">
        <f>IF(nba_draft[[#This Row],[years_played]]&gt;5,1,0)</f>
        <v>0</v>
      </c>
    </row>
    <row r="867" spans="1:23" x14ac:dyDescent="0.25">
      <c r="A867">
        <v>19</v>
      </c>
      <c r="B867" t="s">
        <v>109</v>
      </c>
      <c r="C867" t="s">
        <v>171</v>
      </c>
      <c r="D867" t="s">
        <v>39</v>
      </c>
      <c r="E867">
        <v>3</v>
      </c>
      <c r="F867">
        <v>183</v>
      </c>
      <c r="G867">
        <v>3131</v>
      </c>
      <c r="H867">
        <v>1218</v>
      </c>
      <c r="I867">
        <v>271</v>
      </c>
      <c r="J867">
        <v>394</v>
      </c>
      <c r="K867">
        <v>0.432</v>
      </c>
      <c r="L867">
        <v>0.29799999999999999</v>
      </c>
      <c r="M867">
        <v>0.81299999999999994</v>
      </c>
      <c r="N867">
        <v>1.5</v>
      </c>
      <c r="O867">
        <v>2.4E-2</v>
      </c>
      <c r="P867">
        <v>1991</v>
      </c>
      <c r="Q867">
        <v>17.100000000000001</v>
      </c>
      <c r="R867">
        <v>6.7</v>
      </c>
      <c r="S867">
        <v>1.5</v>
      </c>
      <c r="T867">
        <v>2.2000000000000002</v>
      </c>
      <c r="U867">
        <v>1</v>
      </c>
      <c r="V867">
        <v>19</v>
      </c>
      <c r="W867">
        <f>IF(nba_draft[[#This Row],[years_played]]&gt;5,1,0)</f>
        <v>0</v>
      </c>
    </row>
    <row r="868" spans="1:23" x14ac:dyDescent="0.25">
      <c r="A868">
        <v>10</v>
      </c>
      <c r="B868" t="s">
        <v>63</v>
      </c>
      <c r="C868" t="s">
        <v>1550</v>
      </c>
      <c r="D868" t="s">
        <v>97</v>
      </c>
      <c r="E868">
        <v>5</v>
      </c>
      <c r="F868">
        <v>263</v>
      </c>
      <c r="G868">
        <v>3624</v>
      </c>
      <c r="H868">
        <v>1216</v>
      </c>
      <c r="I868">
        <v>726</v>
      </c>
      <c r="J868">
        <v>161</v>
      </c>
      <c r="K868">
        <v>0.435</v>
      </c>
      <c r="L868">
        <v>0.32700000000000001</v>
      </c>
      <c r="M868">
        <v>0.68</v>
      </c>
      <c r="N868">
        <v>6.6</v>
      </c>
      <c r="O868">
        <v>8.6999999999999994E-2</v>
      </c>
      <c r="P868">
        <v>2016</v>
      </c>
      <c r="Q868">
        <v>13.8</v>
      </c>
      <c r="R868">
        <v>4.5999999999999996</v>
      </c>
      <c r="S868">
        <v>2.8</v>
      </c>
      <c r="T868">
        <v>0.6</v>
      </c>
      <c r="U868">
        <v>1</v>
      </c>
      <c r="V868">
        <v>10</v>
      </c>
      <c r="W868">
        <f>IF(nba_draft[[#This Row],[years_played]]&gt;5,1,0)</f>
        <v>0</v>
      </c>
    </row>
    <row r="869" spans="1:23" x14ac:dyDescent="0.25">
      <c r="A869">
        <v>21</v>
      </c>
      <c r="B869" t="s">
        <v>149</v>
      </c>
      <c r="C869" t="s">
        <v>1516</v>
      </c>
      <c r="D869" t="s">
        <v>232</v>
      </c>
      <c r="E869">
        <v>6</v>
      </c>
      <c r="F869">
        <v>232</v>
      </c>
      <c r="G869">
        <v>3041</v>
      </c>
      <c r="H869">
        <v>1203</v>
      </c>
      <c r="I869">
        <v>585</v>
      </c>
      <c r="J869">
        <v>160</v>
      </c>
      <c r="K869">
        <v>0.41199999999999998</v>
      </c>
      <c r="L869">
        <v>0.29299999999999998</v>
      </c>
      <c r="M869">
        <v>0.77600000000000002</v>
      </c>
      <c r="N869">
        <v>4.7</v>
      </c>
      <c r="O869">
        <v>7.3999999999999996E-2</v>
      </c>
      <c r="P869">
        <v>2015</v>
      </c>
      <c r="Q869">
        <v>13.1</v>
      </c>
      <c r="R869">
        <v>5.2</v>
      </c>
      <c r="S869">
        <v>2.5</v>
      </c>
      <c r="T869">
        <v>0.7</v>
      </c>
      <c r="U869">
        <v>1</v>
      </c>
      <c r="V869">
        <v>21</v>
      </c>
      <c r="W869">
        <f>IF(nba_draft[[#This Row],[years_played]]&gt;5,1,0)</f>
        <v>1</v>
      </c>
    </row>
    <row r="870" spans="1:23" x14ac:dyDescent="0.25">
      <c r="A870">
        <v>48</v>
      </c>
      <c r="B870" t="s">
        <v>43</v>
      </c>
      <c r="C870" t="s">
        <v>1760</v>
      </c>
      <c r="D870" t="s">
        <v>298</v>
      </c>
      <c r="E870">
        <v>3</v>
      </c>
      <c r="F870">
        <v>168</v>
      </c>
      <c r="G870">
        <v>3359</v>
      </c>
      <c r="H870">
        <v>1202</v>
      </c>
      <c r="I870">
        <v>609</v>
      </c>
      <c r="J870">
        <v>299</v>
      </c>
      <c r="K870">
        <v>0.49199999999999999</v>
      </c>
      <c r="L870">
        <v>0.379</v>
      </c>
      <c r="M870">
        <v>0.77</v>
      </c>
      <c r="N870">
        <v>8.3000000000000007</v>
      </c>
      <c r="O870">
        <v>0.11899999999999999</v>
      </c>
      <c r="P870">
        <v>2019</v>
      </c>
      <c r="Q870">
        <v>20</v>
      </c>
      <c r="R870">
        <v>7.2</v>
      </c>
      <c r="S870">
        <v>3.6</v>
      </c>
      <c r="T870">
        <v>1.8</v>
      </c>
      <c r="U870">
        <v>2</v>
      </c>
      <c r="V870">
        <v>18</v>
      </c>
      <c r="W870">
        <f>IF(nba_draft[[#This Row],[years_played]]&gt;5,1,0)</f>
        <v>0</v>
      </c>
    </row>
    <row r="871" spans="1:23" x14ac:dyDescent="0.25">
      <c r="A871">
        <v>33</v>
      </c>
      <c r="B871" t="s">
        <v>25</v>
      </c>
      <c r="C871" t="s">
        <v>599</v>
      </c>
      <c r="D871" t="s">
        <v>113</v>
      </c>
      <c r="E871">
        <v>8</v>
      </c>
      <c r="F871">
        <v>260</v>
      </c>
      <c r="G871">
        <v>3824</v>
      </c>
      <c r="H871">
        <v>1200</v>
      </c>
      <c r="I871">
        <v>921</v>
      </c>
      <c r="J871">
        <v>135</v>
      </c>
      <c r="K871">
        <v>0.53900000000000003</v>
      </c>
      <c r="L871">
        <v>0</v>
      </c>
      <c r="M871">
        <v>0.49</v>
      </c>
      <c r="N871">
        <v>5.0999999999999996</v>
      </c>
      <c r="O871">
        <v>6.4000000000000001E-2</v>
      </c>
      <c r="P871">
        <v>1998</v>
      </c>
      <c r="Q871">
        <v>14.7</v>
      </c>
      <c r="R871">
        <v>4.5999999999999996</v>
      </c>
      <c r="S871">
        <v>3.5</v>
      </c>
      <c r="T871">
        <v>0.5</v>
      </c>
      <c r="U871">
        <v>2</v>
      </c>
      <c r="V871">
        <v>4</v>
      </c>
      <c r="W871">
        <f>IF(nba_draft[[#This Row],[years_played]]&gt;5,1,0)</f>
        <v>1</v>
      </c>
    </row>
    <row r="872" spans="1:23" x14ac:dyDescent="0.25">
      <c r="A872">
        <v>3</v>
      </c>
      <c r="B872" t="s">
        <v>34</v>
      </c>
      <c r="C872" t="s">
        <v>1005</v>
      </c>
      <c r="D872" t="s">
        <v>820</v>
      </c>
      <c r="E872">
        <v>3</v>
      </c>
      <c r="F872">
        <v>161</v>
      </c>
      <c r="G872">
        <v>3278</v>
      </c>
      <c r="H872">
        <v>1200</v>
      </c>
      <c r="I872">
        <v>342</v>
      </c>
      <c r="J872">
        <v>222</v>
      </c>
      <c r="K872">
        <v>0.373</v>
      </c>
      <c r="L872">
        <v>0.33100000000000002</v>
      </c>
      <c r="M872">
        <v>0.71</v>
      </c>
      <c r="N872">
        <v>-1.4</v>
      </c>
      <c r="O872">
        <v>-2.1000000000000001E-2</v>
      </c>
      <c r="P872">
        <v>2006</v>
      </c>
      <c r="Q872">
        <v>20.399999999999999</v>
      </c>
      <c r="R872">
        <v>7.5</v>
      </c>
      <c r="S872">
        <v>2.1</v>
      </c>
      <c r="T872">
        <v>1.4</v>
      </c>
      <c r="U872">
        <v>1</v>
      </c>
      <c r="V872">
        <v>3</v>
      </c>
      <c r="W872">
        <f>IF(nba_draft[[#This Row],[years_played]]&gt;5,1,0)</f>
        <v>0</v>
      </c>
    </row>
    <row r="873" spans="1:23" x14ac:dyDescent="0.25">
      <c r="A873">
        <v>35</v>
      </c>
      <c r="B873" t="s">
        <v>109</v>
      </c>
      <c r="C873" t="s">
        <v>668</v>
      </c>
      <c r="D873" t="s">
        <v>669</v>
      </c>
      <c r="E873">
        <v>10</v>
      </c>
      <c r="F873">
        <v>366</v>
      </c>
      <c r="G873">
        <v>4477</v>
      </c>
      <c r="H873">
        <v>1190</v>
      </c>
      <c r="I873">
        <v>1010</v>
      </c>
      <c r="J873">
        <v>151</v>
      </c>
      <c r="K873">
        <v>0.45100000000000001</v>
      </c>
      <c r="L873">
        <v>0.222</v>
      </c>
      <c r="M873">
        <v>0.748</v>
      </c>
      <c r="N873">
        <v>8</v>
      </c>
      <c r="O873">
        <v>8.5999999999999993E-2</v>
      </c>
      <c r="P873">
        <v>1999</v>
      </c>
      <c r="Q873">
        <v>12.2</v>
      </c>
      <c r="R873">
        <v>3.3</v>
      </c>
      <c r="S873">
        <v>2.8</v>
      </c>
      <c r="T873">
        <v>0.4</v>
      </c>
      <c r="U873">
        <v>2</v>
      </c>
      <c r="V873">
        <v>6</v>
      </c>
      <c r="W873">
        <f>IF(nba_draft[[#This Row],[years_played]]&gt;5,1,0)</f>
        <v>1</v>
      </c>
    </row>
    <row r="874" spans="1:23" x14ac:dyDescent="0.25">
      <c r="A874">
        <v>39</v>
      </c>
      <c r="B874" t="s">
        <v>95</v>
      </c>
      <c r="C874" t="s">
        <v>1149</v>
      </c>
      <c r="D874" t="s">
        <v>222</v>
      </c>
      <c r="E874">
        <v>4</v>
      </c>
      <c r="F874">
        <v>183</v>
      </c>
      <c r="G874">
        <v>3335</v>
      </c>
      <c r="H874">
        <v>1189</v>
      </c>
      <c r="I874">
        <v>402</v>
      </c>
      <c r="J874">
        <v>257</v>
      </c>
      <c r="K874">
        <v>0.46500000000000002</v>
      </c>
      <c r="L874">
        <v>0.28299999999999997</v>
      </c>
      <c r="M874">
        <v>0.70199999999999996</v>
      </c>
      <c r="N874">
        <v>0</v>
      </c>
      <c r="O874">
        <v>1E-3</v>
      </c>
      <c r="P874">
        <v>2008</v>
      </c>
      <c r="Q874">
        <v>18.2</v>
      </c>
      <c r="R874">
        <v>6.5</v>
      </c>
      <c r="S874">
        <v>2.2000000000000002</v>
      </c>
      <c r="T874">
        <v>1.4</v>
      </c>
      <c r="U874">
        <v>2</v>
      </c>
      <c r="V874">
        <v>9</v>
      </c>
      <c r="W874">
        <f>IF(nba_draft[[#This Row],[years_played]]&gt;5,1,0)</f>
        <v>0</v>
      </c>
    </row>
    <row r="875" spans="1:23" x14ac:dyDescent="0.25">
      <c r="A875">
        <v>8</v>
      </c>
      <c r="B875" t="s">
        <v>138</v>
      </c>
      <c r="C875" t="s">
        <v>747</v>
      </c>
      <c r="D875" t="s">
        <v>97</v>
      </c>
      <c r="E875">
        <v>12</v>
      </c>
      <c r="F875">
        <v>601</v>
      </c>
      <c r="G875">
        <v>8403</v>
      </c>
      <c r="H875">
        <v>1185</v>
      </c>
      <c r="I875">
        <v>2219</v>
      </c>
      <c r="J875">
        <v>270</v>
      </c>
      <c r="K875">
        <v>0.42699999999999999</v>
      </c>
      <c r="L875">
        <v>0.16700000000000001</v>
      </c>
      <c r="M875">
        <v>0.46700000000000003</v>
      </c>
      <c r="N875">
        <v>12.8</v>
      </c>
      <c r="O875">
        <v>7.2999999999999995E-2</v>
      </c>
      <c r="P875">
        <v>2001</v>
      </c>
      <c r="Q875">
        <v>14</v>
      </c>
      <c r="R875">
        <v>2</v>
      </c>
      <c r="S875">
        <v>3.7</v>
      </c>
      <c r="T875">
        <v>0.4</v>
      </c>
      <c r="U875">
        <v>1</v>
      </c>
      <c r="V875">
        <v>8</v>
      </c>
      <c r="W875">
        <f>IF(nba_draft[[#This Row],[years_played]]&gt;5,1,0)</f>
        <v>1</v>
      </c>
    </row>
    <row r="876" spans="1:23" x14ac:dyDescent="0.25">
      <c r="A876">
        <v>33</v>
      </c>
      <c r="B876" t="s">
        <v>149</v>
      </c>
      <c r="C876" t="s">
        <v>189</v>
      </c>
      <c r="D876" t="s">
        <v>69</v>
      </c>
      <c r="E876">
        <v>5</v>
      </c>
      <c r="F876">
        <v>249</v>
      </c>
      <c r="G876">
        <v>3501</v>
      </c>
      <c r="H876">
        <v>1182</v>
      </c>
      <c r="I876">
        <v>809</v>
      </c>
      <c r="J876">
        <v>191</v>
      </c>
      <c r="K876">
        <v>0.437</v>
      </c>
      <c r="L876">
        <v>0.28599999999999998</v>
      </c>
      <c r="M876">
        <v>0.71099999999999997</v>
      </c>
      <c r="N876">
        <v>1.8</v>
      </c>
      <c r="O876">
        <v>2.5000000000000001E-2</v>
      </c>
      <c r="P876">
        <v>1991</v>
      </c>
      <c r="Q876">
        <v>14.1</v>
      </c>
      <c r="R876">
        <v>4.7</v>
      </c>
      <c r="S876">
        <v>3.2</v>
      </c>
      <c r="T876">
        <v>0.8</v>
      </c>
      <c r="U876">
        <v>2</v>
      </c>
      <c r="V876">
        <v>6</v>
      </c>
      <c r="W876">
        <f>IF(nba_draft[[#This Row],[years_played]]&gt;5,1,0)</f>
        <v>0</v>
      </c>
    </row>
    <row r="877" spans="1:23" x14ac:dyDescent="0.25">
      <c r="A877">
        <v>55</v>
      </c>
      <c r="B877" t="s">
        <v>393</v>
      </c>
      <c r="C877" t="s">
        <v>1440</v>
      </c>
      <c r="D877" t="s">
        <v>97</v>
      </c>
      <c r="E877">
        <v>4</v>
      </c>
      <c r="F877">
        <v>208</v>
      </c>
      <c r="G877">
        <v>2823</v>
      </c>
      <c r="H877">
        <v>1159</v>
      </c>
      <c r="I877">
        <v>789</v>
      </c>
      <c r="J877">
        <v>180</v>
      </c>
      <c r="K877">
        <v>0.47899999999999998</v>
      </c>
      <c r="L877">
        <v>0.28499999999999998</v>
      </c>
      <c r="M877">
        <v>0.71899999999999997</v>
      </c>
      <c r="N877">
        <v>5.2</v>
      </c>
      <c r="O877">
        <v>8.8999999999999996E-2</v>
      </c>
      <c r="P877">
        <v>2013</v>
      </c>
      <c r="Q877">
        <v>13.6</v>
      </c>
      <c r="R877">
        <v>5.6</v>
      </c>
      <c r="S877">
        <v>3.8</v>
      </c>
      <c r="T877">
        <v>0.9</v>
      </c>
      <c r="U877">
        <v>2</v>
      </c>
      <c r="V877">
        <v>25</v>
      </c>
      <c r="W877">
        <f>IF(nba_draft[[#This Row],[years_played]]&gt;5,1,0)</f>
        <v>0</v>
      </c>
    </row>
    <row r="878" spans="1:23" x14ac:dyDescent="0.25">
      <c r="A878">
        <v>22</v>
      </c>
      <c r="B878" t="s">
        <v>65</v>
      </c>
      <c r="C878" t="s">
        <v>706</v>
      </c>
      <c r="D878" t="s">
        <v>84</v>
      </c>
      <c r="E878">
        <v>5</v>
      </c>
      <c r="F878">
        <v>205</v>
      </c>
      <c r="G878">
        <v>3318</v>
      </c>
      <c r="H878">
        <v>1150</v>
      </c>
      <c r="I878">
        <v>827</v>
      </c>
      <c r="J878">
        <v>161</v>
      </c>
      <c r="K878">
        <v>0.46</v>
      </c>
      <c r="L878">
        <v>0.1</v>
      </c>
      <c r="M878">
        <v>0.65900000000000003</v>
      </c>
      <c r="N878">
        <v>4.7</v>
      </c>
      <c r="O878">
        <v>6.9000000000000006E-2</v>
      </c>
      <c r="P878">
        <v>2000</v>
      </c>
      <c r="Q878">
        <v>16.2</v>
      </c>
      <c r="R878">
        <v>5.6</v>
      </c>
      <c r="S878">
        <v>4</v>
      </c>
      <c r="T878">
        <v>0.8</v>
      </c>
      <c r="U878">
        <v>1</v>
      </c>
      <c r="V878">
        <v>22</v>
      </c>
      <c r="W878">
        <f>IF(nba_draft[[#This Row],[years_played]]&gt;5,1,0)</f>
        <v>0</v>
      </c>
    </row>
    <row r="879" spans="1:23" x14ac:dyDescent="0.25">
      <c r="A879">
        <v>20</v>
      </c>
      <c r="B879" t="s">
        <v>104</v>
      </c>
      <c r="C879" t="s">
        <v>1182</v>
      </c>
      <c r="D879" t="s">
        <v>1183</v>
      </c>
      <c r="E879">
        <v>5</v>
      </c>
      <c r="F879">
        <v>267</v>
      </c>
      <c r="G879">
        <v>3896</v>
      </c>
      <c r="H879">
        <v>1141</v>
      </c>
      <c r="I879">
        <v>348</v>
      </c>
      <c r="J879">
        <v>760</v>
      </c>
      <c r="K879">
        <v>0.39200000000000002</v>
      </c>
      <c r="L879">
        <v>0.35</v>
      </c>
      <c r="M879">
        <v>0.72099999999999997</v>
      </c>
      <c r="N879">
        <v>3.3</v>
      </c>
      <c r="O879">
        <v>4.1000000000000002E-2</v>
      </c>
      <c r="P879">
        <v>2009</v>
      </c>
      <c r="Q879">
        <v>14.6</v>
      </c>
      <c r="R879">
        <v>4.3</v>
      </c>
      <c r="S879">
        <v>1.3</v>
      </c>
      <c r="T879">
        <v>2.8</v>
      </c>
      <c r="U879">
        <v>1</v>
      </c>
      <c r="V879">
        <v>20</v>
      </c>
      <c r="W879">
        <f>IF(nba_draft[[#This Row],[years_played]]&gt;5,1,0)</f>
        <v>0</v>
      </c>
    </row>
    <row r="880" spans="1:23" x14ac:dyDescent="0.25">
      <c r="A880">
        <v>34</v>
      </c>
      <c r="B880" t="s">
        <v>37</v>
      </c>
      <c r="C880" t="s">
        <v>257</v>
      </c>
      <c r="D880" t="s">
        <v>79</v>
      </c>
      <c r="E880">
        <v>3</v>
      </c>
      <c r="F880">
        <v>224</v>
      </c>
      <c r="G880">
        <v>3956</v>
      </c>
      <c r="H880">
        <v>1140</v>
      </c>
      <c r="I880">
        <v>291</v>
      </c>
      <c r="J880">
        <v>627</v>
      </c>
      <c r="K880">
        <v>0.435</v>
      </c>
      <c r="L880">
        <v>0.36599999999999999</v>
      </c>
      <c r="M880">
        <v>0.71299999999999997</v>
      </c>
      <c r="N880">
        <v>3.2</v>
      </c>
      <c r="O880">
        <v>3.9E-2</v>
      </c>
      <c r="P880">
        <v>1992</v>
      </c>
      <c r="Q880">
        <v>17.7</v>
      </c>
      <c r="R880">
        <v>5.0999999999999996</v>
      </c>
      <c r="S880">
        <v>1.3</v>
      </c>
      <c r="T880">
        <v>2.8</v>
      </c>
      <c r="U880">
        <v>2</v>
      </c>
      <c r="V880">
        <v>7</v>
      </c>
      <c r="W880">
        <f>IF(nba_draft[[#This Row],[years_played]]&gt;5,1,0)</f>
        <v>0</v>
      </c>
    </row>
    <row r="881" spans="1:23" x14ac:dyDescent="0.25">
      <c r="A881">
        <v>19</v>
      </c>
      <c r="B881" t="s">
        <v>149</v>
      </c>
      <c r="C881" t="s">
        <v>355</v>
      </c>
      <c r="D881" t="s">
        <v>356</v>
      </c>
      <c r="E881">
        <v>4</v>
      </c>
      <c r="F881">
        <v>156</v>
      </c>
      <c r="G881">
        <v>2222</v>
      </c>
      <c r="H881">
        <v>1140</v>
      </c>
      <c r="I881">
        <v>198</v>
      </c>
      <c r="J881">
        <v>186</v>
      </c>
      <c r="K881">
        <v>0.40400000000000003</v>
      </c>
      <c r="L881">
        <v>0.32700000000000001</v>
      </c>
      <c r="M881">
        <v>0.60799999999999998</v>
      </c>
      <c r="N881">
        <v>1.3</v>
      </c>
      <c r="O881">
        <v>2.7E-2</v>
      </c>
      <c r="P881">
        <v>1994</v>
      </c>
      <c r="Q881">
        <v>14.2</v>
      </c>
      <c r="R881">
        <v>7.3</v>
      </c>
      <c r="S881">
        <v>1.3</v>
      </c>
      <c r="T881">
        <v>1.2</v>
      </c>
      <c r="U881">
        <v>1</v>
      </c>
      <c r="V881">
        <v>19</v>
      </c>
      <c r="W881">
        <f>IF(nba_draft[[#This Row],[years_played]]&gt;5,1,0)</f>
        <v>0</v>
      </c>
    </row>
    <row r="882" spans="1:23" x14ac:dyDescent="0.25">
      <c r="A882">
        <v>47</v>
      </c>
      <c r="B882" t="s">
        <v>31</v>
      </c>
      <c r="C882" t="s">
        <v>1584</v>
      </c>
      <c r="D882" t="s">
        <v>67</v>
      </c>
      <c r="E882">
        <v>6</v>
      </c>
      <c r="F882">
        <v>232</v>
      </c>
      <c r="G882">
        <v>3037</v>
      </c>
      <c r="H882">
        <v>1140</v>
      </c>
      <c r="I882">
        <v>405</v>
      </c>
      <c r="J882">
        <v>125</v>
      </c>
      <c r="K882">
        <v>0.45900000000000002</v>
      </c>
      <c r="L882">
        <v>0.29699999999999999</v>
      </c>
      <c r="M882">
        <v>0.72</v>
      </c>
      <c r="N882">
        <v>3.7</v>
      </c>
      <c r="O882">
        <v>5.8000000000000003E-2</v>
      </c>
      <c r="P882">
        <v>2016</v>
      </c>
      <c r="Q882">
        <v>13.1</v>
      </c>
      <c r="R882">
        <v>4.9000000000000004</v>
      </c>
      <c r="S882">
        <v>1.7</v>
      </c>
      <c r="T882">
        <v>0.5</v>
      </c>
      <c r="U882">
        <v>2</v>
      </c>
      <c r="V882">
        <v>17</v>
      </c>
      <c r="W882">
        <f>IF(nba_draft[[#This Row],[years_played]]&gt;5,1,0)</f>
        <v>1</v>
      </c>
    </row>
    <row r="883" spans="1:23" x14ac:dyDescent="0.25">
      <c r="A883">
        <v>14</v>
      </c>
      <c r="B883" t="s">
        <v>75</v>
      </c>
      <c r="C883" t="s">
        <v>1176</v>
      </c>
      <c r="D883" t="s">
        <v>39</v>
      </c>
      <c r="E883">
        <v>6</v>
      </c>
      <c r="F883">
        <v>261</v>
      </c>
      <c r="G883">
        <v>3630</v>
      </c>
      <c r="H883">
        <v>1138</v>
      </c>
      <c r="I883">
        <v>778</v>
      </c>
      <c r="J883">
        <v>134</v>
      </c>
      <c r="K883">
        <v>0.40300000000000002</v>
      </c>
      <c r="L883">
        <v>0.32800000000000001</v>
      </c>
      <c r="M883">
        <v>0.66400000000000003</v>
      </c>
      <c r="N883">
        <v>2.9</v>
      </c>
      <c r="O883">
        <v>3.7999999999999999E-2</v>
      </c>
      <c r="P883">
        <v>2009</v>
      </c>
      <c r="Q883">
        <v>13.9</v>
      </c>
      <c r="R883">
        <v>4.4000000000000004</v>
      </c>
      <c r="S883">
        <v>3</v>
      </c>
      <c r="T883">
        <v>0.5</v>
      </c>
      <c r="U883">
        <v>1</v>
      </c>
      <c r="V883">
        <v>14</v>
      </c>
      <c r="W883">
        <f>IF(nba_draft[[#This Row],[years_played]]&gt;5,1,0)</f>
        <v>1</v>
      </c>
    </row>
    <row r="884" spans="1:23" x14ac:dyDescent="0.25">
      <c r="A884">
        <v>22</v>
      </c>
      <c r="B884" t="s">
        <v>22</v>
      </c>
      <c r="C884" t="s">
        <v>1025</v>
      </c>
      <c r="D884" t="s">
        <v>79</v>
      </c>
      <c r="E884">
        <v>4</v>
      </c>
      <c r="F884">
        <v>203</v>
      </c>
      <c r="G884">
        <v>3095</v>
      </c>
      <c r="H884">
        <v>1128</v>
      </c>
      <c r="I884">
        <v>361</v>
      </c>
      <c r="J884">
        <v>574</v>
      </c>
      <c r="K884">
        <v>0.38600000000000001</v>
      </c>
      <c r="L884">
        <v>0.32100000000000001</v>
      </c>
      <c r="M884">
        <v>0.76700000000000002</v>
      </c>
      <c r="N884">
        <v>0</v>
      </c>
      <c r="O884">
        <v>-1E-3</v>
      </c>
      <c r="P884">
        <v>2006</v>
      </c>
      <c r="Q884">
        <v>15.2</v>
      </c>
      <c r="R884">
        <v>5.6</v>
      </c>
      <c r="S884">
        <v>1.8</v>
      </c>
      <c r="T884">
        <v>2.8</v>
      </c>
      <c r="U884">
        <v>1</v>
      </c>
      <c r="V884">
        <v>22</v>
      </c>
      <c r="W884">
        <f>IF(nba_draft[[#This Row],[years_played]]&gt;5,1,0)</f>
        <v>0</v>
      </c>
    </row>
    <row r="885" spans="1:23" x14ac:dyDescent="0.25">
      <c r="A885">
        <v>27</v>
      </c>
      <c r="B885" t="s">
        <v>25</v>
      </c>
      <c r="C885" t="s">
        <v>593</v>
      </c>
      <c r="D885" t="s">
        <v>97</v>
      </c>
      <c r="E885">
        <v>6</v>
      </c>
      <c r="F885">
        <v>270</v>
      </c>
      <c r="G885">
        <v>3726</v>
      </c>
      <c r="H885">
        <v>1118</v>
      </c>
      <c r="I885">
        <v>1180</v>
      </c>
      <c r="J885">
        <v>94</v>
      </c>
      <c r="K885">
        <v>0.42499999999999999</v>
      </c>
      <c r="L885">
        <v>0.13300000000000001</v>
      </c>
      <c r="M885">
        <v>0.53600000000000003</v>
      </c>
      <c r="N885">
        <v>5.2</v>
      </c>
      <c r="O885">
        <v>6.7000000000000004E-2</v>
      </c>
      <c r="P885">
        <v>1998</v>
      </c>
      <c r="Q885">
        <v>13.8</v>
      </c>
      <c r="R885">
        <v>4.0999999999999996</v>
      </c>
      <c r="S885">
        <v>4.4000000000000004</v>
      </c>
      <c r="T885">
        <v>0.3</v>
      </c>
      <c r="U885">
        <v>1</v>
      </c>
      <c r="V885">
        <v>27</v>
      </c>
      <c r="W885">
        <f>IF(nba_draft[[#This Row],[years_played]]&gt;5,1,0)</f>
        <v>1</v>
      </c>
    </row>
    <row r="886" spans="1:23" x14ac:dyDescent="0.25">
      <c r="A886">
        <v>27</v>
      </c>
      <c r="B886" t="s">
        <v>70</v>
      </c>
      <c r="C886" t="s">
        <v>1679</v>
      </c>
      <c r="D886" t="s">
        <v>960</v>
      </c>
      <c r="E886">
        <v>4</v>
      </c>
      <c r="F886">
        <v>160</v>
      </c>
      <c r="G886">
        <v>3064</v>
      </c>
      <c r="H886">
        <v>1116</v>
      </c>
      <c r="I886">
        <v>1024</v>
      </c>
      <c r="J886">
        <v>221</v>
      </c>
      <c r="K886">
        <v>0.72499999999999998</v>
      </c>
      <c r="L886">
        <v>0</v>
      </c>
      <c r="M886">
        <v>0.65</v>
      </c>
      <c r="N886">
        <v>16</v>
      </c>
      <c r="O886">
        <v>0.25</v>
      </c>
      <c r="P886">
        <v>2018</v>
      </c>
      <c r="Q886">
        <v>19.2</v>
      </c>
      <c r="R886">
        <v>7</v>
      </c>
      <c r="S886">
        <v>6.4</v>
      </c>
      <c r="T886">
        <v>1.4</v>
      </c>
      <c r="U886">
        <v>1</v>
      </c>
      <c r="V886">
        <v>27</v>
      </c>
      <c r="W886">
        <f>IF(nba_draft[[#This Row],[years_played]]&gt;5,1,0)</f>
        <v>0</v>
      </c>
    </row>
    <row r="887" spans="1:23" x14ac:dyDescent="0.25">
      <c r="A887">
        <v>35</v>
      </c>
      <c r="B887" t="s">
        <v>149</v>
      </c>
      <c r="C887" t="s">
        <v>192</v>
      </c>
      <c r="D887" t="s">
        <v>193</v>
      </c>
      <c r="E887">
        <v>2</v>
      </c>
      <c r="F887">
        <v>122</v>
      </c>
      <c r="G887">
        <v>3049</v>
      </c>
      <c r="H887">
        <v>1096</v>
      </c>
      <c r="I887">
        <v>238</v>
      </c>
      <c r="J887">
        <v>522</v>
      </c>
      <c r="K887">
        <v>0.45700000000000002</v>
      </c>
      <c r="L887">
        <v>0.40400000000000003</v>
      </c>
      <c r="M887">
        <v>0.79800000000000004</v>
      </c>
      <c r="N887">
        <v>3.7</v>
      </c>
      <c r="O887">
        <v>5.8000000000000003E-2</v>
      </c>
      <c r="P887">
        <v>1991</v>
      </c>
      <c r="Q887">
        <v>25</v>
      </c>
      <c r="R887">
        <v>9</v>
      </c>
      <c r="S887">
        <v>2</v>
      </c>
      <c r="T887">
        <v>4.3</v>
      </c>
      <c r="U887">
        <v>2</v>
      </c>
      <c r="V887">
        <v>8</v>
      </c>
      <c r="W887">
        <f>IF(nba_draft[[#This Row],[years_played]]&gt;5,1,0)</f>
        <v>0</v>
      </c>
    </row>
    <row r="888" spans="1:23" x14ac:dyDescent="0.25">
      <c r="A888">
        <v>18</v>
      </c>
      <c r="B888" t="s">
        <v>55</v>
      </c>
      <c r="C888" t="s">
        <v>1513</v>
      </c>
      <c r="D888" t="s">
        <v>412</v>
      </c>
      <c r="E888">
        <v>5</v>
      </c>
      <c r="F888">
        <v>201</v>
      </c>
      <c r="G888">
        <v>3097</v>
      </c>
      <c r="H888">
        <v>1094</v>
      </c>
      <c r="I888">
        <v>607</v>
      </c>
      <c r="J888">
        <v>160</v>
      </c>
      <c r="K888">
        <v>0.47799999999999998</v>
      </c>
      <c r="L888">
        <v>0.28799999999999998</v>
      </c>
      <c r="M888">
        <v>0.60599999999999998</v>
      </c>
      <c r="N888">
        <v>5.4</v>
      </c>
      <c r="O888">
        <v>8.3000000000000004E-2</v>
      </c>
      <c r="P888">
        <v>2015</v>
      </c>
      <c r="Q888">
        <v>15.4</v>
      </c>
      <c r="R888">
        <v>5.4</v>
      </c>
      <c r="S888">
        <v>3</v>
      </c>
      <c r="T888">
        <v>0.8</v>
      </c>
      <c r="U888">
        <v>1</v>
      </c>
      <c r="V888">
        <v>18</v>
      </c>
      <c r="W888">
        <f>IF(nba_draft[[#This Row],[years_played]]&gt;5,1,0)</f>
        <v>0</v>
      </c>
    </row>
    <row r="889" spans="1:23" x14ac:dyDescent="0.25">
      <c r="A889">
        <v>11</v>
      </c>
      <c r="B889" t="s">
        <v>22</v>
      </c>
      <c r="C889" t="s">
        <v>1173</v>
      </c>
      <c r="D889" t="s">
        <v>39</v>
      </c>
      <c r="E889">
        <v>4</v>
      </c>
      <c r="F889">
        <v>153</v>
      </c>
      <c r="G889">
        <v>2922</v>
      </c>
      <c r="H889">
        <v>1085</v>
      </c>
      <c r="I889">
        <v>545</v>
      </c>
      <c r="J889">
        <v>364</v>
      </c>
      <c r="K889">
        <v>0.41199999999999998</v>
      </c>
      <c r="L889">
        <v>0.317</v>
      </c>
      <c r="M889">
        <v>0.65900000000000003</v>
      </c>
      <c r="N889">
        <v>-0.2</v>
      </c>
      <c r="O889">
        <v>-4.0000000000000001E-3</v>
      </c>
      <c r="P889">
        <v>2009</v>
      </c>
      <c r="Q889">
        <v>19.100000000000001</v>
      </c>
      <c r="R889">
        <v>7.1</v>
      </c>
      <c r="S889">
        <v>3.6</v>
      </c>
      <c r="T889">
        <v>2.4</v>
      </c>
      <c r="U889">
        <v>1</v>
      </c>
      <c r="V889">
        <v>11</v>
      </c>
      <c r="W889">
        <f>IF(nba_draft[[#This Row],[years_played]]&gt;5,1,0)</f>
        <v>0</v>
      </c>
    </row>
    <row r="890" spans="1:23" x14ac:dyDescent="0.25">
      <c r="A890">
        <v>12</v>
      </c>
      <c r="B890" t="s">
        <v>55</v>
      </c>
      <c r="C890" t="s">
        <v>56</v>
      </c>
      <c r="D890" t="s">
        <v>57</v>
      </c>
      <c r="E890">
        <v>4</v>
      </c>
      <c r="F890">
        <v>210</v>
      </c>
      <c r="G890">
        <v>2937</v>
      </c>
      <c r="H890">
        <v>1084</v>
      </c>
      <c r="I890">
        <v>751</v>
      </c>
      <c r="J890">
        <v>81</v>
      </c>
      <c r="K890">
        <v>0.42599999999999999</v>
      </c>
      <c r="L890">
        <v>0.41699999999999998</v>
      </c>
      <c r="M890">
        <v>0.74399999999999999</v>
      </c>
      <c r="N890">
        <v>2</v>
      </c>
      <c r="O890">
        <v>3.3000000000000002E-2</v>
      </c>
      <c r="P890">
        <v>1990</v>
      </c>
      <c r="Q890">
        <v>14</v>
      </c>
      <c r="R890">
        <v>5.2</v>
      </c>
      <c r="S890">
        <v>3.6</v>
      </c>
      <c r="T890">
        <v>0.4</v>
      </c>
      <c r="U890">
        <v>1</v>
      </c>
      <c r="V890">
        <v>12</v>
      </c>
      <c r="W890">
        <f>IF(nba_draft[[#This Row],[years_played]]&gt;5,1,0)</f>
        <v>0</v>
      </c>
    </row>
    <row r="891" spans="1:23" x14ac:dyDescent="0.25">
      <c r="A891">
        <v>16</v>
      </c>
      <c r="B891" t="s">
        <v>55</v>
      </c>
      <c r="C891" t="s">
        <v>580</v>
      </c>
      <c r="D891" t="s">
        <v>581</v>
      </c>
      <c r="E891">
        <v>6</v>
      </c>
      <c r="F891">
        <v>243</v>
      </c>
      <c r="G891">
        <v>3970</v>
      </c>
      <c r="H891">
        <v>1081</v>
      </c>
      <c r="I891">
        <v>295</v>
      </c>
      <c r="J891">
        <v>524</v>
      </c>
      <c r="K891">
        <v>0.38200000000000001</v>
      </c>
      <c r="L891">
        <v>0.371</v>
      </c>
      <c r="M891">
        <v>0.83</v>
      </c>
      <c r="N891">
        <v>2.4</v>
      </c>
      <c r="O891">
        <v>0.03</v>
      </c>
      <c r="P891">
        <v>1998</v>
      </c>
      <c r="Q891">
        <v>16.3</v>
      </c>
      <c r="R891">
        <v>4.4000000000000004</v>
      </c>
      <c r="S891">
        <v>1.2</v>
      </c>
      <c r="T891">
        <v>2.2000000000000002</v>
      </c>
      <c r="U891">
        <v>1</v>
      </c>
      <c r="V891">
        <v>16</v>
      </c>
      <c r="W891">
        <f>IF(nba_draft[[#This Row],[years_played]]&gt;5,1,0)</f>
        <v>1</v>
      </c>
    </row>
    <row r="892" spans="1:23" x14ac:dyDescent="0.25">
      <c r="A892">
        <v>46</v>
      </c>
      <c r="B892" t="s">
        <v>75</v>
      </c>
      <c r="C892" t="s">
        <v>205</v>
      </c>
      <c r="D892" t="s">
        <v>206</v>
      </c>
      <c r="E892">
        <v>3</v>
      </c>
      <c r="F892">
        <v>102</v>
      </c>
      <c r="G892">
        <v>2226</v>
      </c>
      <c r="H892">
        <v>1080</v>
      </c>
      <c r="I892">
        <v>351</v>
      </c>
      <c r="J892">
        <v>111</v>
      </c>
      <c r="K892">
        <v>0.50900000000000001</v>
      </c>
      <c r="L892">
        <v>0.23100000000000001</v>
      </c>
      <c r="M892">
        <v>0.69399999999999995</v>
      </c>
      <c r="N892">
        <v>4.5</v>
      </c>
      <c r="O892">
        <v>9.7000000000000003E-2</v>
      </c>
      <c r="P892">
        <v>1991</v>
      </c>
      <c r="Q892">
        <v>21.8</v>
      </c>
      <c r="R892">
        <v>10.6</v>
      </c>
      <c r="S892">
        <v>3.4</v>
      </c>
      <c r="T892">
        <v>1.1000000000000001</v>
      </c>
      <c r="U892">
        <v>2</v>
      </c>
      <c r="V892">
        <v>19</v>
      </c>
      <c r="W892">
        <f>IF(nba_draft[[#This Row],[years_played]]&gt;5,1,0)</f>
        <v>0</v>
      </c>
    </row>
    <row r="893" spans="1:23" x14ac:dyDescent="0.25">
      <c r="A893">
        <v>47</v>
      </c>
      <c r="B893" t="s">
        <v>109</v>
      </c>
      <c r="C893" t="s">
        <v>1155</v>
      </c>
      <c r="D893" t="s">
        <v>126</v>
      </c>
      <c r="E893">
        <v>5</v>
      </c>
      <c r="F893">
        <v>181</v>
      </c>
      <c r="G893">
        <v>3016</v>
      </c>
      <c r="H893">
        <v>1079</v>
      </c>
      <c r="I893">
        <v>401</v>
      </c>
      <c r="J893">
        <v>153</v>
      </c>
      <c r="K893">
        <v>0.44600000000000001</v>
      </c>
      <c r="L893">
        <v>0.36899999999999999</v>
      </c>
      <c r="M893">
        <v>0.76</v>
      </c>
      <c r="N893">
        <v>5</v>
      </c>
      <c r="O893">
        <v>7.9000000000000001E-2</v>
      </c>
      <c r="P893">
        <v>2008</v>
      </c>
      <c r="Q893">
        <v>16.7</v>
      </c>
      <c r="R893">
        <v>6</v>
      </c>
      <c r="S893">
        <v>2.2000000000000002</v>
      </c>
      <c r="T893">
        <v>0.8</v>
      </c>
      <c r="U893">
        <v>2</v>
      </c>
      <c r="V893">
        <v>17</v>
      </c>
      <c r="W893">
        <f>IF(nba_draft[[#This Row],[years_played]]&gt;5,1,0)</f>
        <v>0</v>
      </c>
    </row>
    <row r="894" spans="1:23" x14ac:dyDescent="0.25">
      <c r="A894">
        <v>32</v>
      </c>
      <c r="B894" t="s">
        <v>109</v>
      </c>
      <c r="C894" t="s">
        <v>369</v>
      </c>
      <c r="D894" t="s">
        <v>137</v>
      </c>
      <c r="E894">
        <v>7</v>
      </c>
      <c r="F894">
        <v>401</v>
      </c>
      <c r="G894">
        <v>5927</v>
      </c>
      <c r="H894">
        <v>1072</v>
      </c>
      <c r="I894">
        <v>1243</v>
      </c>
      <c r="J894">
        <v>105</v>
      </c>
      <c r="K894">
        <v>0.44600000000000001</v>
      </c>
      <c r="L894">
        <v>0.1</v>
      </c>
      <c r="M894">
        <v>0.55100000000000005</v>
      </c>
      <c r="N894">
        <v>9.4</v>
      </c>
      <c r="O894">
        <v>7.5999999999999998E-2</v>
      </c>
      <c r="P894">
        <v>1994</v>
      </c>
      <c r="Q894">
        <v>14.8</v>
      </c>
      <c r="R894">
        <v>2.7</v>
      </c>
      <c r="S894">
        <v>3.1</v>
      </c>
      <c r="T894">
        <v>0.3</v>
      </c>
      <c r="U894">
        <v>2</v>
      </c>
      <c r="V894">
        <v>5</v>
      </c>
      <c r="W894">
        <f>IF(nba_draft[[#This Row],[years_played]]&gt;5,1,0)</f>
        <v>1</v>
      </c>
    </row>
    <row r="895" spans="1:23" x14ac:dyDescent="0.25">
      <c r="A895">
        <v>28</v>
      </c>
      <c r="B895" t="s">
        <v>75</v>
      </c>
      <c r="C895" t="s">
        <v>1568</v>
      </c>
      <c r="D895" t="s">
        <v>282</v>
      </c>
      <c r="E895">
        <v>4</v>
      </c>
      <c r="F895">
        <v>148</v>
      </c>
      <c r="G895">
        <v>2595</v>
      </c>
      <c r="H895">
        <v>1069</v>
      </c>
      <c r="I895">
        <v>662</v>
      </c>
      <c r="J895">
        <v>152</v>
      </c>
      <c r="K895">
        <v>0.49199999999999999</v>
      </c>
      <c r="L895">
        <v>0.35299999999999998</v>
      </c>
      <c r="M895">
        <v>0.748</v>
      </c>
      <c r="N895">
        <v>4.4000000000000004</v>
      </c>
      <c r="O895">
        <v>8.1000000000000003E-2</v>
      </c>
      <c r="P895">
        <v>2016</v>
      </c>
      <c r="Q895">
        <v>17.5</v>
      </c>
      <c r="R895">
        <v>7.2</v>
      </c>
      <c r="S895">
        <v>4.5</v>
      </c>
      <c r="T895">
        <v>1</v>
      </c>
      <c r="U895">
        <v>1</v>
      </c>
      <c r="V895">
        <v>28</v>
      </c>
      <c r="W895">
        <f>IF(nba_draft[[#This Row],[years_played]]&gt;5,1,0)</f>
        <v>0</v>
      </c>
    </row>
    <row r="896" spans="1:23" x14ac:dyDescent="0.25">
      <c r="A896">
        <v>49</v>
      </c>
      <c r="B896" t="s">
        <v>95</v>
      </c>
      <c r="C896" t="s">
        <v>1101</v>
      </c>
      <c r="D896" t="s">
        <v>272</v>
      </c>
      <c r="E896">
        <v>7</v>
      </c>
      <c r="F896">
        <v>318</v>
      </c>
      <c r="G896">
        <v>3851</v>
      </c>
      <c r="H896">
        <v>1066</v>
      </c>
      <c r="I896">
        <v>1190</v>
      </c>
      <c r="J896">
        <v>207</v>
      </c>
      <c r="K896">
        <v>0.50900000000000001</v>
      </c>
      <c r="L896">
        <v>0</v>
      </c>
      <c r="M896">
        <v>0.56200000000000006</v>
      </c>
      <c r="N896">
        <v>6.2</v>
      </c>
      <c r="O896">
        <v>7.6999999999999999E-2</v>
      </c>
      <c r="P896">
        <v>2007</v>
      </c>
      <c r="Q896">
        <v>12.1</v>
      </c>
      <c r="R896">
        <v>3.4</v>
      </c>
      <c r="S896">
        <v>3.7</v>
      </c>
      <c r="T896">
        <v>0.7</v>
      </c>
      <c r="U896">
        <v>2</v>
      </c>
      <c r="V896">
        <v>19</v>
      </c>
      <c r="W896">
        <f>IF(nba_draft[[#This Row],[years_played]]&gt;5,1,0)</f>
        <v>1</v>
      </c>
    </row>
    <row r="897" spans="1:23" x14ac:dyDescent="0.25">
      <c r="A897">
        <v>39</v>
      </c>
      <c r="B897" t="s">
        <v>90</v>
      </c>
      <c r="C897" t="s">
        <v>983</v>
      </c>
      <c r="D897" t="s">
        <v>298</v>
      </c>
      <c r="E897">
        <v>6</v>
      </c>
      <c r="F897">
        <v>200</v>
      </c>
      <c r="G897">
        <v>2475</v>
      </c>
      <c r="H897">
        <v>1054</v>
      </c>
      <c r="I897">
        <v>234</v>
      </c>
      <c r="J897">
        <v>146</v>
      </c>
      <c r="K897">
        <v>0.42</v>
      </c>
      <c r="L897">
        <v>0.32500000000000001</v>
      </c>
      <c r="M897">
        <v>0.751</v>
      </c>
      <c r="N897">
        <v>3.3</v>
      </c>
      <c r="O897">
        <v>6.4000000000000001E-2</v>
      </c>
      <c r="P897">
        <v>2005</v>
      </c>
      <c r="Q897">
        <v>12.4</v>
      </c>
      <c r="R897">
        <v>5.3</v>
      </c>
      <c r="S897">
        <v>1.2</v>
      </c>
      <c r="T897">
        <v>0.7</v>
      </c>
      <c r="U897">
        <v>2</v>
      </c>
      <c r="V897">
        <v>9</v>
      </c>
      <c r="W897">
        <f>IF(nba_draft[[#This Row],[years_played]]&gt;5,1,0)</f>
        <v>1</v>
      </c>
    </row>
    <row r="898" spans="1:23" x14ac:dyDescent="0.25">
      <c r="A898">
        <v>11</v>
      </c>
      <c r="B898" t="s">
        <v>863</v>
      </c>
      <c r="C898" t="s">
        <v>1228</v>
      </c>
      <c r="D898" t="s">
        <v>108</v>
      </c>
      <c r="E898">
        <v>8</v>
      </c>
      <c r="F898">
        <v>339</v>
      </c>
      <c r="G898">
        <v>3389</v>
      </c>
      <c r="H898">
        <v>1050</v>
      </c>
      <c r="I898">
        <v>1131</v>
      </c>
      <c r="J898">
        <v>183</v>
      </c>
      <c r="K898">
        <v>0.52700000000000002</v>
      </c>
      <c r="L898">
        <v>0</v>
      </c>
      <c r="M898">
        <v>0.73799999999999999</v>
      </c>
      <c r="N898">
        <v>9.6</v>
      </c>
      <c r="O898">
        <v>0.13500000000000001</v>
      </c>
      <c r="P898">
        <v>2010</v>
      </c>
      <c r="Q898">
        <v>10</v>
      </c>
      <c r="R898">
        <v>3.1</v>
      </c>
      <c r="S898">
        <v>3.3</v>
      </c>
      <c r="T898">
        <v>0.5</v>
      </c>
      <c r="U898">
        <v>1</v>
      </c>
      <c r="V898">
        <v>11</v>
      </c>
      <c r="W898">
        <f>IF(nba_draft[[#This Row],[years_played]]&gt;5,1,0)</f>
        <v>1</v>
      </c>
    </row>
    <row r="899" spans="1:23" x14ac:dyDescent="0.25">
      <c r="A899">
        <v>12</v>
      </c>
      <c r="B899" t="s">
        <v>393</v>
      </c>
      <c r="C899" t="s">
        <v>1229</v>
      </c>
      <c r="D899" t="s">
        <v>108</v>
      </c>
      <c r="E899">
        <v>5</v>
      </c>
      <c r="F899">
        <v>185</v>
      </c>
      <c r="G899">
        <v>2905</v>
      </c>
      <c r="H899">
        <v>1050</v>
      </c>
      <c r="I899">
        <v>351</v>
      </c>
      <c r="J899">
        <v>120</v>
      </c>
      <c r="K899">
        <v>0.40600000000000003</v>
      </c>
      <c r="L899">
        <v>0.32500000000000001</v>
      </c>
      <c r="M899">
        <v>0.63500000000000001</v>
      </c>
      <c r="N899">
        <v>0.8</v>
      </c>
      <c r="O899">
        <v>1.2999999999999999E-2</v>
      </c>
      <c r="P899">
        <v>2010</v>
      </c>
      <c r="Q899">
        <v>15.7</v>
      </c>
      <c r="R899">
        <v>5.7</v>
      </c>
      <c r="S899">
        <v>1.9</v>
      </c>
      <c r="T899">
        <v>0.6</v>
      </c>
      <c r="U899">
        <v>1</v>
      </c>
      <c r="V899">
        <v>12</v>
      </c>
      <c r="W899">
        <f>IF(nba_draft[[#This Row],[years_played]]&gt;5,1,0)</f>
        <v>0</v>
      </c>
    </row>
    <row r="900" spans="1:23" x14ac:dyDescent="0.25">
      <c r="A900">
        <v>29</v>
      </c>
      <c r="B900" t="s">
        <v>25</v>
      </c>
      <c r="C900" t="s">
        <v>1415</v>
      </c>
      <c r="D900" t="s">
        <v>282</v>
      </c>
      <c r="E900">
        <v>4</v>
      </c>
      <c r="F900">
        <v>165</v>
      </c>
      <c r="G900">
        <v>2396</v>
      </c>
      <c r="H900">
        <v>1040</v>
      </c>
      <c r="I900">
        <v>331</v>
      </c>
      <c r="J900">
        <v>206</v>
      </c>
      <c r="K900">
        <v>0.42899999999999999</v>
      </c>
      <c r="L900">
        <v>0.23599999999999999</v>
      </c>
      <c r="M900">
        <v>0.7</v>
      </c>
      <c r="N900">
        <v>1.1000000000000001</v>
      </c>
      <c r="O900">
        <v>2.1999999999999999E-2</v>
      </c>
      <c r="P900">
        <v>2013</v>
      </c>
      <c r="Q900">
        <v>14.5</v>
      </c>
      <c r="R900">
        <v>6.3</v>
      </c>
      <c r="S900">
        <v>2</v>
      </c>
      <c r="T900">
        <v>1.2</v>
      </c>
      <c r="U900">
        <v>1</v>
      </c>
      <c r="V900">
        <v>29</v>
      </c>
      <c r="W900">
        <f>IF(nba_draft[[#This Row],[years_played]]&gt;5,1,0)</f>
        <v>0</v>
      </c>
    </row>
    <row r="901" spans="1:23" x14ac:dyDescent="0.25">
      <c r="A901">
        <v>7</v>
      </c>
      <c r="B901" t="s">
        <v>40</v>
      </c>
      <c r="C901" t="s">
        <v>286</v>
      </c>
      <c r="D901" t="s">
        <v>87</v>
      </c>
      <c r="E901">
        <v>5</v>
      </c>
      <c r="F901">
        <v>269</v>
      </c>
      <c r="G901">
        <v>4170</v>
      </c>
      <c r="H901">
        <v>1032</v>
      </c>
      <c r="I901">
        <v>283</v>
      </c>
      <c r="J901">
        <v>880</v>
      </c>
      <c r="K901">
        <v>0.35299999999999998</v>
      </c>
      <c r="L901">
        <v>0.27200000000000002</v>
      </c>
      <c r="M901">
        <v>0.76900000000000002</v>
      </c>
      <c r="N901">
        <v>-1.2</v>
      </c>
      <c r="O901">
        <v>-1.4E-2</v>
      </c>
      <c r="P901">
        <v>1993</v>
      </c>
      <c r="Q901">
        <v>15.5</v>
      </c>
      <c r="R901">
        <v>3.8</v>
      </c>
      <c r="S901">
        <v>1.1000000000000001</v>
      </c>
      <c r="T901">
        <v>3.3</v>
      </c>
      <c r="U901">
        <v>1</v>
      </c>
      <c r="V901">
        <v>7</v>
      </c>
      <c r="W901">
        <f>IF(nba_draft[[#This Row],[years_played]]&gt;5,1,0)</f>
        <v>0</v>
      </c>
    </row>
    <row r="902" spans="1:23" x14ac:dyDescent="0.25">
      <c r="A902">
        <v>38</v>
      </c>
      <c r="B902" t="s">
        <v>95</v>
      </c>
      <c r="C902" t="s">
        <v>1750</v>
      </c>
      <c r="D902" t="s">
        <v>222</v>
      </c>
      <c r="E902">
        <v>3</v>
      </c>
      <c r="F902">
        <v>146</v>
      </c>
      <c r="G902">
        <v>2401</v>
      </c>
      <c r="H902">
        <v>1032</v>
      </c>
      <c r="I902">
        <v>630</v>
      </c>
      <c r="J902">
        <v>99</v>
      </c>
      <c r="K902">
        <v>0.68300000000000005</v>
      </c>
      <c r="L902">
        <v>0</v>
      </c>
      <c r="M902">
        <v>0.66400000000000003</v>
      </c>
      <c r="N902">
        <v>9.5</v>
      </c>
      <c r="O902">
        <v>0.189</v>
      </c>
      <c r="P902">
        <v>2019</v>
      </c>
      <c r="Q902">
        <v>16.399999999999999</v>
      </c>
      <c r="R902">
        <v>7.1</v>
      </c>
      <c r="S902">
        <v>4.3</v>
      </c>
      <c r="T902">
        <v>0.7</v>
      </c>
      <c r="U902">
        <v>2</v>
      </c>
      <c r="V902">
        <v>8</v>
      </c>
      <c r="W902">
        <f>IF(nba_draft[[#This Row],[years_played]]&gt;5,1,0)</f>
        <v>0</v>
      </c>
    </row>
    <row r="903" spans="1:23" x14ac:dyDescent="0.25">
      <c r="A903">
        <v>5</v>
      </c>
      <c r="B903" t="s">
        <v>138</v>
      </c>
      <c r="C903" t="s">
        <v>1776</v>
      </c>
      <c r="D903" t="s">
        <v>362</v>
      </c>
      <c r="E903">
        <v>2</v>
      </c>
      <c r="F903">
        <v>110</v>
      </c>
      <c r="G903">
        <v>3413</v>
      </c>
      <c r="H903">
        <v>1031</v>
      </c>
      <c r="I903">
        <v>340</v>
      </c>
      <c r="J903">
        <v>208</v>
      </c>
      <c r="K903">
        <v>0.435</v>
      </c>
      <c r="L903">
        <v>0.29899999999999999</v>
      </c>
      <c r="M903">
        <v>0.746</v>
      </c>
      <c r="N903">
        <v>3.6</v>
      </c>
      <c r="O903">
        <v>5.0999999999999997E-2</v>
      </c>
      <c r="P903">
        <v>2020</v>
      </c>
      <c r="Q903">
        <v>31</v>
      </c>
      <c r="R903">
        <v>9.4</v>
      </c>
      <c r="S903">
        <v>3.1</v>
      </c>
      <c r="T903">
        <v>1.9</v>
      </c>
      <c r="U903">
        <v>1</v>
      </c>
      <c r="V903">
        <v>5</v>
      </c>
      <c r="W903">
        <f>IF(nba_draft[[#This Row],[years_played]]&gt;5,1,0)</f>
        <v>0</v>
      </c>
    </row>
    <row r="904" spans="1:23" x14ac:dyDescent="0.25">
      <c r="A904">
        <v>46</v>
      </c>
      <c r="B904" t="s">
        <v>31</v>
      </c>
      <c r="C904" t="s">
        <v>1758</v>
      </c>
      <c r="D904" t="s">
        <v>168</v>
      </c>
      <c r="E904">
        <v>3</v>
      </c>
      <c r="F904">
        <v>113</v>
      </c>
      <c r="G904">
        <v>2473</v>
      </c>
      <c r="H904">
        <v>1018</v>
      </c>
      <c r="I904">
        <v>317</v>
      </c>
      <c r="J904">
        <v>299</v>
      </c>
      <c r="K904">
        <v>0.438</v>
      </c>
      <c r="L904">
        <v>0.27900000000000003</v>
      </c>
      <c r="M904">
        <v>0.77900000000000003</v>
      </c>
      <c r="N904">
        <v>3</v>
      </c>
      <c r="O904">
        <v>5.8000000000000003E-2</v>
      </c>
      <c r="P904">
        <v>2019</v>
      </c>
      <c r="Q904">
        <v>21.9</v>
      </c>
      <c r="R904">
        <v>9</v>
      </c>
      <c r="S904">
        <v>2.8</v>
      </c>
      <c r="T904">
        <v>2.6</v>
      </c>
      <c r="U904">
        <v>2</v>
      </c>
      <c r="V904">
        <v>16</v>
      </c>
      <c r="W904">
        <f>IF(nba_draft[[#This Row],[years_played]]&gt;5,1,0)</f>
        <v>0</v>
      </c>
    </row>
    <row r="905" spans="1:23" x14ac:dyDescent="0.25">
      <c r="A905">
        <v>4</v>
      </c>
      <c r="B905" t="s">
        <v>75</v>
      </c>
      <c r="C905" t="s">
        <v>1544</v>
      </c>
      <c r="D905" t="s">
        <v>97</v>
      </c>
      <c r="E905">
        <v>4</v>
      </c>
      <c r="F905">
        <v>187</v>
      </c>
      <c r="G905">
        <v>3755</v>
      </c>
      <c r="H905">
        <v>1014</v>
      </c>
      <c r="I905">
        <v>720</v>
      </c>
      <c r="J905">
        <v>237</v>
      </c>
      <c r="K905">
        <v>0.39900000000000002</v>
      </c>
      <c r="L905">
        <v>0.32300000000000001</v>
      </c>
      <c r="M905">
        <v>0.65400000000000003</v>
      </c>
      <c r="N905">
        <v>0.5</v>
      </c>
      <c r="O905">
        <v>6.0000000000000001E-3</v>
      </c>
      <c r="P905">
        <v>2016</v>
      </c>
      <c r="Q905">
        <v>20.100000000000001</v>
      </c>
      <c r="R905">
        <v>5.4</v>
      </c>
      <c r="S905">
        <v>3.9</v>
      </c>
      <c r="T905">
        <v>1.3</v>
      </c>
      <c r="U905">
        <v>1</v>
      </c>
      <c r="V905">
        <v>4</v>
      </c>
      <c r="W905">
        <f>IF(nba_draft[[#This Row],[years_played]]&gt;5,1,0)</f>
        <v>0</v>
      </c>
    </row>
    <row r="906" spans="1:23" x14ac:dyDescent="0.25">
      <c r="A906">
        <v>44</v>
      </c>
      <c r="B906" t="s">
        <v>75</v>
      </c>
      <c r="C906" t="s">
        <v>1537</v>
      </c>
      <c r="D906" t="s">
        <v>282</v>
      </c>
      <c r="E906">
        <v>3</v>
      </c>
      <c r="F906">
        <v>145</v>
      </c>
      <c r="G906">
        <v>2987</v>
      </c>
      <c r="H906">
        <v>1012</v>
      </c>
      <c r="I906">
        <v>287</v>
      </c>
      <c r="J906">
        <v>399</v>
      </c>
      <c r="K906">
        <v>0.373</v>
      </c>
      <c r="L906">
        <v>0.29399999999999998</v>
      </c>
      <c r="M906">
        <v>0.77900000000000003</v>
      </c>
      <c r="N906">
        <v>3.2</v>
      </c>
      <c r="O906">
        <v>5.0999999999999997E-2</v>
      </c>
      <c r="P906">
        <v>2015</v>
      </c>
      <c r="Q906">
        <v>20.6</v>
      </c>
      <c r="R906">
        <v>7</v>
      </c>
      <c r="S906">
        <v>2</v>
      </c>
      <c r="T906">
        <v>2.8</v>
      </c>
      <c r="U906">
        <v>2</v>
      </c>
      <c r="V906">
        <v>14</v>
      </c>
      <c r="W906">
        <f>IF(nba_draft[[#This Row],[years_played]]&gt;5,1,0)</f>
        <v>0</v>
      </c>
    </row>
    <row r="907" spans="1:23" x14ac:dyDescent="0.25">
      <c r="A907">
        <v>25</v>
      </c>
      <c r="B907" t="s">
        <v>393</v>
      </c>
      <c r="C907" t="s">
        <v>1520</v>
      </c>
      <c r="D907" t="s">
        <v>30</v>
      </c>
      <c r="E907">
        <v>4</v>
      </c>
      <c r="F907">
        <v>184</v>
      </c>
      <c r="G907">
        <v>2927</v>
      </c>
      <c r="H907">
        <v>998</v>
      </c>
      <c r="I907">
        <v>639</v>
      </c>
      <c r="J907">
        <v>114</v>
      </c>
      <c r="K907">
        <v>0.434</v>
      </c>
      <c r="L907">
        <v>0.34599999999999997</v>
      </c>
      <c r="M907">
        <v>0.76600000000000001</v>
      </c>
      <c r="N907">
        <v>3.2</v>
      </c>
      <c r="O907">
        <v>5.2999999999999999E-2</v>
      </c>
      <c r="P907">
        <v>2015</v>
      </c>
      <c r="Q907">
        <v>15.9</v>
      </c>
      <c r="R907">
        <v>5.4</v>
      </c>
      <c r="S907">
        <v>3.5</v>
      </c>
      <c r="T907">
        <v>0.6</v>
      </c>
      <c r="U907">
        <v>1</v>
      </c>
      <c r="V907">
        <v>25</v>
      </c>
      <c r="W907">
        <f>IF(nba_draft[[#This Row],[years_played]]&gt;5,1,0)</f>
        <v>0</v>
      </c>
    </row>
    <row r="908" spans="1:23" x14ac:dyDescent="0.25">
      <c r="A908">
        <v>34</v>
      </c>
      <c r="B908" t="s">
        <v>75</v>
      </c>
      <c r="C908" t="s">
        <v>1574</v>
      </c>
      <c r="D908" t="s">
        <v>282</v>
      </c>
      <c r="E908">
        <v>3</v>
      </c>
      <c r="F908">
        <v>133</v>
      </c>
      <c r="G908">
        <v>2782</v>
      </c>
      <c r="H908">
        <v>998</v>
      </c>
      <c r="I908">
        <v>223</v>
      </c>
      <c r="J908">
        <v>537</v>
      </c>
      <c r="K908">
        <v>0.40300000000000002</v>
      </c>
      <c r="L908">
        <v>0.28000000000000003</v>
      </c>
      <c r="M908">
        <v>0.80800000000000005</v>
      </c>
      <c r="N908">
        <v>0.5</v>
      </c>
      <c r="O908">
        <v>8.0000000000000002E-3</v>
      </c>
      <c r="P908">
        <v>2016</v>
      </c>
      <c r="Q908">
        <v>20.9</v>
      </c>
      <c r="R908">
        <v>7.5</v>
      </c>
      <c r="S908">
        <v>1.7</v>
      </c>
      <c r="T908">
        <v>4</v>
      </c>
      <c r="U908">
        <v>2</v>
      </c>
      <c r="V908">
        <v>4</v>
      </c>
      <c r="W908">
        <f>IF(nba_draft[[#This Row],[years_played]]&gt;5,1,0)</f>
        <v>0</v>
      </c>
    </row>
    <row r="909" spans="1:23" x14ac:dyDescent="0.25">
      <c r="A909">
        <v>33</v>
      </c>
      <c r="B909" t="s">
        <v>31</v>
      </c>
      <c r="C909" t="s">
        <v>1628</v>
      </c>
      <c r="D909" t="s">
        <v>126</v>
      </c>
      <c r="E909">
        <v>5</v>
      </c>
      <c r="F909">
        <v>226</v>
      </c>
      <c r="G909">
        <v>3827</v>
      </c>
      <c r="H909">
        <v>989</v>
      </c>
      <c r="I909">
        <v>555</v>
      </c>
      <c r="J909">
        <v>208</v>
      </c>
      <c r="K909">
        <v>0.40799999999999997</v>
      </c>
      <c r="L909">
        <v>0.29199999999999998</v>
      </c>
      <c r="M909">
        <v>0.79800000000000004</v>
      </c>
      <c r="N909">
        <v>4.2</v>
      </c>
      <c r="O909">
        <v>5.2999999999999999E-2</v>
      </c>
      <c r="P909">
        <v>2017</v>
      </c>
      <c r="Q909">
        <v>16.899999999999999</v>
      </c>
      <c r="R909">
        <v>4.4000000000000004</v>
      </c>
      <c r="S909">
        <v>2.5</v>
      </c>
      <c r="T909">
        <v>0.9</v>
      </c>
      <c r="U909">
        <v>2</v>
      </c>
      <c r="V909">
        <v>3</v>
      </c>
      <c r="W909">
        <f>IF(nba_draft[[#This Row],[years_played]]&gt;5,1,0)</f>
        <v>0</v>
      </c>
    </row>
    <row r="910" spans="1:23" x14ac:dyDescent="0.25">
      <c r="A910">
        <v>48</v>
      </c>
      <c r="B910" t="s">
        <v>90</v>
      </c>
      <c r="C910" t="s">
        <v>1436</v>
      </c>
      <c r="D910" t="s">
        <v>87</v>
      </c>
      <c r="E910">
        <v>4</v>
      </c>
      <c r="F910">
        <v>163</v>
      </c>
      <c r="G910">
        <v>3125</v>
      </c>
      <c r="H910">
        <v>981</v>
      </c>
      <c r="I910">
        <v>504</v>
      </c>
      <c r="J910">
        <v>215</v>
      </c>
      <c r="K910">
        <v>0.378</v>
      </c>
      <c r="L910">
        <v>0.316</v>
      </c>
      <c r="M910">
        <v>0.79700000000000004</v>
      </c>
      <c r="N910">
        <v>3</v>
      </c>
      <c r="O910">
        <v>4.5999999999999999E-2</v>
      </c>
      <c r="P910">
        <v>2013</v>
      </c>
      <c r="Q910">
        <v>19.2</v>
      </c>
      <c r="R910">
        <v>6</v>
      </c>
      <c r="S910">
        <v>3.1</v>
      </c>
      <c r="T910">
        <v>1.3</v>
      </c>
      <c r="U910">
        <v>2</v>
      </c>
      <c r="V910">
        <v>18</v>
      </c>
      <c r="W910">
        <f>IF(nba_draft[[#This Row],[years_played]]&gt;5,1,0)</f>
        <v>0</v>
      </c>
    </row>
    <row r="911" spans="1:23" x14ac:dyDescent="0.25">
      <c r="A911">
        <v>19</v>
      </c>
      <c r="B911" t="s">
        <v>70</v>
      </c>
      <c r="C911" t="s">
        <v>302</v>
      </c>
      <c r="D911" t="s">
        <v>94</v>
      </c>
      <c r="E911">
        <v>4</v>
      </c>
      <c r="F911">
        <v>193</v>
      </c>
      <c r="G911">
        <v>2512</v>
      </c>
      <c r="H911">
        <v>980</v>
      </c>
      <c r="I911">
        <v>517</v>
      </c>
      <c r="J911">
        <v>61</v>
      </c>
      <c r="K911">
        <v>0.40300000000000002</v>
      </c>
      <c r="L911">
        <v>0</v>
      </c>
      <c r="M911">
        <v>0.66700000000000004</v>
      </c>
      <c r="N911">
        <v>0.3</v>
      </c>
      <c r="O911">
        <v>5.0000000000000001E-3</v>
      </c>
      <c r="P911">
        <v>1993</v>
      </c>
      <c r="Q911">
        <v>13</v>
      </c>
      <c r="R911">
        <v>5.0999999999999996</v>
      </c>
      <c r="S911">
        <v>2.7</v>
      </c>
      <c r="T911">
        <v>0.3</v>
      </c>
      <c r="U911">
        <v>1</v>
      </c>
      <c r="V911">
        <v>19</v>
      </c>
      <c r="W911">
        <f>IF(nba_draft[[#This Row],[years_played]]&gt;5,1,0)</f>
        <v>0</v>
      </c>
    </row>
    <row r="912" spans="1:23" x14ac:dyDescent="0.25">
      <c r="A912">
        <v>29</v>
      </c>
      <c r="B912" t="s">
        <v>90</v>
      </c>
      <c r="C912" t="s">
        <v>713</v>
      </c>
      <c r="D912" t="s">
        <v>226</v>
      </c>
      <c r="E912">
        <v>9</v>
      </c>
      <c r="F912">
        <v>453</v>
      </c>
      <c r="G912">
        <v>5335</v>
      </c>
      <c r="H912">
        <v>975</v>
      </c>
      <c r="I912">
        <v>1157</v>
      </c>
      <c r="J912">
        <v>181</v>
      </c>
      <c r="K912">
        <v>0.45700000000000002</v>
      </c>
      <c r="L912">
        <v>6.3E-2</v>
      </c>
      <c r="M912">
        <v>0.52700000000000002</v>
      </c>
      <c r="N912">
        <v>8.1999999999999993</v>
      </c>
      <c r="O912">
        <v>7.3999999999999996E-2</v>
      </c>
      <c r="P912">
        <v>2000</v>
      </c>
      <c r="Q912">
        <v>11.8</v>
      </c>
      <c r="R912">
        <v>2.2000000000000002</v>
      </c>
      <c r="S912">
        <v>2.6</v>
      </c>
      <c r="T912">
        <v>0.4</v>
      </c>
      <c r="U912">
        <v>1</v>
      </c>
      <c r="V912">
        <v>29</v>
      </c>
      <c r="W912">
        <f>IF(nba_draft[[#This Row],[years_played]]&gt;5,1,0)</f>
        <v>1</v>
      </c>
    </row>
    <row r="913" spans="1:23" x14ac:dyDescent="0.25">
      <c r="A913">
        <v>6</v>
      </c>
      <c r="B913" t="s">
        <v>138</v>
      </c>
      <c r="C913" t="s">
        <v>796</v>
      </c>
      <c r="D913" t="s">
        <v>196</v>
      </c>
      <c r="E913">
        <v>4</v>
      </c>
      <c r="F913">
        <v>103</v>
      </c>
      <c r="G913">
        <v>2202</v>
      </c>
      <c r="H913">
        <v>964</v>
      </c>
      <c r="I913">
        <v>142</v>
      </c>
      <c r="J913">
        <v>195</v>
      </c>
      <c r="K913">
        <v>0.36599999999999999</v>
      </c>
      <c r="L913">
        <v>0.32100000000000001</v>
      </c>
      <c r="M913">
        <v>0.77</v>
      </c>
      <c r="N913">
        <v>0</v>
      </c>
      <c r="O913">
        <v>0</v>
      </c>
      <c r="P913">
        <v>2002</v>
      </c>
      <c r="Q913">
        <v>21.4</v>
      </c>
      <c r="R913">
        <v>9.4</v>
      </c>
      <c r="S913">
        <v>1.4</v>
      </c>
      <c r="T913">
        <v>1.9</v>
      </c>
      <c r="U913">
        <v>1</v>
      </c>
      <c r="V913">
        <v>6</v>
      </c>
      <c r="W913">
        <f>IF(nba_draft[[#This Row],[years_played]]&gt;5,1,0)</f>
        <v>0</v>
      </c>
    </row>
    <row r="914" spans="1:23" x14ac:dyDescent="0.25">
      <c r="A914">
        <v>33</v>
      </c>
      <c r="B914" t="s">
        <v>43</v>
      </c>
      <c r="C914" t="s">
        <v>1573</v>
      </c>
      <c r="D914" t="s">
        <v>108</v>
      </c>
      <c r="E914">
        <v>5</v>
      </c>
      <c r="F914">
        <v>183</v>
      </c>
      <c r="G914">
        <v>2186</v>
      </c>
      <c r="H914">
        <v>958</v>
      </c>
      <c r="I914">
        <v>759</v>
      </c>
      <c r="J914">
        <v>78</v>
      </c>
      <c r="K914">
        <v>0.59599999999999997</v>
      </c>
      <c r="L914">
        <v>0.28599999999999998</v>
      </c>
      <c r="M914">
        <v>0.77400000000000002</v>
      </c>
      <c r="N914">
        <v>6.3</v>
      </c>
      <c r="O914">
        <v>0.13900000000000001</v>
      </c>
      <c r="P914">
        <v>2016</v>
      </c>
      <c r="Q914">
        <v>11.9</v>
      </c>
      <c r="R914">
        <v>5.2</v>
      </c>
      <c r="S914">
        <v>4.0999999999999996</v>
      </c>
      <c r="T914">
        <v>0.4</v>
      </c>
      <c r="U914">
        <v>2</v>
      </c>
      <c r="V914">
        <v>3</v>
      </c>
      <c r="W914">
        <f>IF(nba_draft[[#This Row],[years_played]]&gt;5,1,0)</f>
        <v>0</v>
      </c>
    </row>
    <row r="915" spans="1:23" x14ac:dyDescent="0.25">
      <c r="A915">
        <v>43</v>
      </c>
      <c r="B915" t="s">
        <v>52</v>
      </c>
      <c r="C915" t="s">
        <v>267</v>
      </c>
      <c r="D915" t="s">
        <v>97</v>
      </c>
      <c r="E915">
        <v>2</v>
      </c>
      <c r="F915">
        <v>75</v>
      </c>
      <c r="G915">
        <v>2331</v>
      </c>
      <c r="H915">
        <v>957</v>
      </c>
      <c r="I915">
        <v>182</v>
      </c>
      <c r="J915">
        <v>149</v>
      </c>
      <c r="K915">
        <v>0.439</v>
      </c>
      <c r="L915">
        <v>0.379</v>
      </c>
      <c r="M915">
        <v>0.78900000000000003</v>
      </c>
      <c r="N915">
        <v>4.2</v>
      </c>
      <c r="O915">
        <v>8.6999999999999994E-2</v>
      </c>
      <c r="P915">
        <v>1992</v>
      </c>
      <c r="Q915">
        <v>31.1</v>
      </c>
      <c r="R915">
        <v>12.8</v>
      </c>
      <c r="S915">
        <v>2.4</v>
      </c>
      <c r="T915">
        <v>2</v>
      </c>
      <c r="U915">
        <v>2</v>
      </c>
      <c r="V915">
        <v>16</v>
      </c>
      <c r="W915">
        <f>IF(nba_draft[[#This Row],[years_played]]&gt;5,1,0)</f>
        <v>0</v>
      </c>
    </row>
    <row r="916" spans="1:23" x14ac:dyDescent="0.25">
      <c r="A916">
        <v>16</v>
      </c>
      <c r="B916" t="s">
        <v>85</v>
      </c>
      <c r="C916" t="s">
        <v>1787</v>
      </c>
      <c r="D916" t="s">
        <v>325</v>
      </c>
      <c r="E916">
        <v>2</v>
      </c>
      <c r="F916">
        <v>118</v>
      </c>
      <c r="G916">
        <v>2754</v>
      </c>
      <c r="H916">
        <v>952</v>
      </c>
      <c r="I916">
        <v>874</v>
      </c>
      <c r="J916">
        <v>114</v>
      </c>
      <c r="K916">
        <v>0.53900000000000003</v>
      </c>
      <c r="L916">
        <v>0.27600000000000002</v>
      </c>
      <c r="M916">
        <v>0.68300000000000005</v>
      </c>
      <c r="N916">
        <v>6.1</v>
      </c>
      <c r="O916">
        <v>0.106</v>
      </c>
      <c r="P916">
        <v>2020</v>
      </c>
      <c r="Q916">
        <v>23.3</v>
      </c>
      <c r="R916">
        <v>8.1</v>
      </c>
      <c r="S916">
        <v>7.4</v>
      </c>
      <c r="T916">
        <v>1</v>
      </c>
      <c r="U916">
        <v>1</v>
      </c>
      <c r="V916">
        <v>16</v>
      </c>
      <c r="W916">
        <f>IF(nba_draft[[#This Row],[years_played]]&gt;5,1,0)</f>
        <v>0</v>
      </c>
    </row>
    <row r="917" spans="1:23" x14ac:dyDescent="0.25">
      <c r="A917">
        <v>29</v>
      </c>
      <c r="B917" t="s">
        <v>127</v>
      </c>
      <c r="C917" t="s">
        <v>926</v>
      </c>
      <c r="D917" t="s">
        <v>435</v>
      </c>
      <c r="E917">
        <v>4</v>
      </c>
      <c r="F917">
        <v>189</v>
      </c>
      <c r="G917">
        <v>2686</v>
      </c>
      <c r="H917">
        <v>949</v>
      </c>
      <c r="I917">
        <v>549</v>
      </c>
      <c r="J917">
        <v>47</v>
      </c>
      <c r="K917">
        <v>0.53</v>
      </c>
      <c r="L917">
        <v>0</v>
      </c>
      <c r="M917">
        <v>0.52500000000000002</v>
      </c>
      <c r="N917">
        <v>3.2</v>
      </c>
      <c r="O917">
        <v>5.7000000000000002E-2</v>
      </c>
      <c r="P917">
        <v>2004</v>
      </c>
      <c r="Q917">
        <v>14.2</v>
      </c>
      <c r="R917">
        <v>5</v>
      </c>
      <c r="S917">
        <v>2.9</v>
      </c>
      <c r="T917">
        <v>0.2</v>
      </c>
      <c r="U917">
        <v>1</v>
      </c>
      <c r="V917">
        <v>29</v>
      </c>
      <c r="W917">
        <f>IF(nba_draft[[#This Row],[years_played]]&gt;5,1,0)</f>
        <v>0</v>
      </c>
    </row>
    <row r="918" spans="1:23" x14ac:dyDescent="0.25">
      <c r="A918">
        <v>37</v>
      </c>
      <c r="B918" t="s">
        <v>70</v>
      </c>
      <c r="C918" t="s">
        <v>1632</v>
      </c>
      <c r="D918" t="s">
        <v>763</v>
      </c>
      <c r="E918">
        <v>5</v>
      </c>
      <c r="F918">
        <v>276</v>
      </c>
      <c r="G918">
        <v>4026</v>
      </c>
      <c r="H918">
        <v>941</v>
      </c>
      <c r="I918">
        <v>599</v>
      </c>
      <c r="J918">
        <v>122</v>
      </c>
      <c r="K918">
        <v>0.38200000000000001</v>
      </c>
      <c r="L918">
        <v>0.34300000000000003</v>
      </c>
      <c r="M918">
        <v>0.70599999999999996</v>
      </c>
      <c r="N918">
        <v>5</v>
      </c>
      <c r="O918">
        <v>5.8999999999999997E-2</v>
      </c>
      <c r="P918">
        <v>2017</v>
      </c>
      <c r="Q918">
        <v>14.6</v>
      </c>
      <c r="R918">
        <v>3.4</v>
      </c>
      <c r="S918">
        <v>2.2000000000000002</v>
      </c>
      <c r="T918">
        <v>0.4</v>
      </c>
      <c r="U918">
        <v>2</v>
      </c>
      <c r="V918">
        <v>7</v>
      </c>
      <c r="W918">
        <f>IF(nba_draft[[#This Row],[years_played]]&gt;5,1,0)</f>
        <v>0</v>
      </c>
    </row>
    <row r="919" spans="1:23" x14ac:dyDescent="0.25">
      <c r="A919">
        <v>22</v>
      </c>
      <c r="B919" t="s">
        <v>70</v>
      </c>
      <c r="C919" t="s">
        <v>1733</v>
      </c>
      <c r="D919" t="s">
        <v>293</v>
      </c>
      <c r="E919">
        <v>3</v>
      </c>
      <c r="F919">
        <v>187</v>
      </c>
      <c r="G919">
        <v>3459</v>
      </c>
      <c r="H919">
        <v>941</v>
      </c>
      <c r="I919">
        <v>533</v>
      </c>
      <c r="J919">
        <v>193</v>
      </c>
      <c r="K919">
        <v>0.45</v>
      </c>
      <c r="L919">
        <v>0.378</v>
      </c>
      <c r="M919">
        <v>0.73399999999999999</v>
      </c>
      <c r="N919">
        <v>6.5</v>
      </c>
      <c r="O919">
        <v>0.09</v>
      </c>
      <c r="P919">
        <v>2019</v>
      </c>
      <c r="Q919">
        <v>18.5</v>
      </c>
      <c r="R919">
        <v>5</v>
      </c>
      <c r="S919">
        <v>2.9</v>
      </c>
      <c r="T919">
        <v>1</v>
      </c>
      <c r="U919">
        <v>1</v>
      </c>
      <c r="V919">
        <v>22</v>
      </c>
      <c r="W919">
        <f>IF(nba_draft[[#This Row],[years_played]]&gt;5,1,0)</f>
        <v>0</v>
      </c>
    </row>
    <row r="920" spans="1:23" x14ac:dyDescent="0.25">
      <c r="A920">
        <v>47</v>
      </c>
      <c r="B920" t="s">
        <v>109</v>
      </c>
      <c r="C920" t="s">
        <v>1099</v>
      </c>
      <c r="D920" t="s">
        <v>609</v>
      </c>
      <c r="E920">
        <v>6</v>
      </c>
      <c r="F920">
        <v>342</v>
      </c>
      <c r="G920">
        <v>5348</v>
      </c>
      <c r="H920">
        <v>939</v>
      </c>
      <c r="I920">
        <v>1169</v>
      </c>
      <c r="J920">
        <v>422</v>
      </c>
      <c r="K920">
        <v>0.41899999999999998</v>
      </c>
      <c r="L920">
        <v>0.188</v>
      </c>
      <c r="M920">
        <v>0.65800000000000003</v>
      </c>
      <c r="N920">
        <v>4.0999999999999996</v>
      </c>
      <c r="O920">
        <v>3.6999999999999998E-2</v>
      </c>
      <c r="P920">
        <v>2007</v>
      </c>
      <c r="Q920">
        <v>15.6</v>
      </c>
      <c r="R920">
        <v>2.7</v>
      </c>
      <c r="S920">
        <v>3.4</v>
      </c>
      <c r="T920">
        <v>1.2</v>
      </c>
      <c r="U920">
        <v>2</v>
      </c>
      <c r="V920">
        <v>17</v>
      </c>
      <c r="W920">
        <f>IF(nba_draft[[#This Row],[years_played]]&gt;5,1,0)</f>
        <v>1</v>
      </c>
    </row>
    <row r="921" spans="1:23" x14ac:dyDescent="0.25">
      <c r="A921">
        <v>17</v>
      </c>
      <c r="B921" t="s">
        <v>34</v>
      </c>
      <c r="C921" t="s">
        <v>300</v>
      </c>
      <c r="D921" t="s">
        <v>285</v>
      </c>
      <c r="E921">
        <v>5</v>
      </c>
      <c r="F921">
        <v>207</v>
      </c>
      <c r="G921">
        <v>2530</v>
      </c>
      <c r="H921">
        <v>938</v>
      </c>
      <c r="I921">
        <v>219</v>
      </c>
      <c r="J921">
        <v>201</v>
      </c>
      <c r="K921">
        <v>0.40699999999999997</v>
      </c>
      <c r="L921">
        <v>0.28999999999999998</v>
      </c>
      <c r="M921">
        <v>0.77500000000000002</v>
      </c>
      <c r="N921">
        <v>1.3</v>
      </c>
      <c r="O921">
        <v>2.5000000000000001E-2</v>
      </c>
      <c r="P921">
        <v>1993</v>
      </c>
      <c r="Q921">
        <v>12.2</v>
      </c>
      <c r="R921">
        <v>4.5</v>
      </c>
      <c r="S921">
        <v>1.1000000000000001</v>
      </c>
      <c r="T921">
        <v>1</v>
      </c>
      <c r="U921">
        <v>1</v>
      </c>
      <c r="V921">
        <v>17</v>
      </c>
      <c r="W921">
        <f>IF(nba_draft[[#This Row],[years_played]]&gt;5,1,0)</f>
        <v>0</v>
      </c>
    </row>
    <row r="922" spans="1:23" x14ac:dyDescent="0.25">
      <c r="A922">
        <v>8</v>
      </c>
      <c r="B922" t="s">
        <v>31</v>
      </c>
      <c r="C922" t="s">
        <v>1839</v>
      </c>
      <c r="D922" t="s">
        <v>51</v>
      </c>
      <c r="E922">
        <v>1</v>
      </c>
      <c r="F922">
        <v>60</v>
      </c>
      <c r="G922">
        <v>1918</v>
      </c>
      <c r="H922">
        <v>935</v>
      </c>
      <c r="I922">
        <v>275</v>
      </c>
      <c r="J922">
        <v>178</v>
      </c>
      <c r="K922">
        <v>0.46600000000000003</v>
      </c>
      <c r="L922">
        <v>0.36199999999999999</v>
      </c>
      <c r="M922">
        <v>0.85399999999999998</v>
      </c>
      <c r="N922">
        <v>2.9</v>
      </c>
      <c r="O922">
        <v>7.1999999999999995E-2</v>
      </c>
      <c r="P922">
        <v>2021</v>
      </c>
      <c r="Q922">
        <v>32</v>
      </c>
      <c r="R922">
        <v>15.6</v>
      </c>
      <c r="S922">
        <v>4.5999999999999996</v>
      </c>
      <c r="T922">
        <v>3</v>
      </c>
      <c r="U922">
        <v>1</v>
      </c>
      <c r="V922">
        <v>8</v>
      </c>
      <c r="W922">
        <f>IF(nba_draft[[#This Row],[years_played]]&gt;5,1,0)</f>
        <v>0</v>
      </c>
    </row>
    <row r="923" spans="1:23" x14ac:dyDescent="0.25">
      <c r="A923">
        <v>11</v>
      </c>
      <c r="B923" t="s">
        <v>82</v>
      </c>
      <c r="C923" t="s">
        <v>1782</v>
      </c>
      <c r="D923" t="s">
        <v>298</v>
      </c>
      <c r="E923">
        <v>2</v>
      </c>
      <c r="F923">
        <v>113</v>
      </c>
      <c r="G923">
        <v>2367</v>
      </c>
      <c r="H923">
        <v>929</v>
      </c>
      <c r="I923">
        <v>389</v>
      </c>
      <c r="J923">
        <v>142</v>
      </c>
      <c r="K923">
        <v>0.42399999999999999</v>
      </c>
      <c r="L923">
        <v>0.34599999999999997</v>
      </c>
      <c r="M923">
        <v>0.82199999999999995</v>
      </c>
      <c r="N923">
        <v>3.7</v>
      </c>
      <c r="O923">
        <v>7.4999999999999997E-2</v>
      </c>
      <c r="P923">
        <v>2020</v>
      </c>
      <c r="Q923">
        <v>20.9</v>
      </c>
      <c r="R923">
        <v>8.1999999999999993</v>
      </c>
      <c r="S923">
        <v>3.4</v>
      </c>
      <c r="T923">
        <v>1.3</v>
      </c>
      <c r="U923">
        <v>1</v>
      </c>
      <c r="V923">
        <v>11</v>
      </c>
      <c r="W923">
        <f>IF(nba_draft[[#This Row],[years_played]]&gt;5,1,0)</f>
        <v>0</v>
      </c>
    </row>
    <row r="924" spans="1:23" x14ac:dyDescent="0.25">
      <c r="A924">
        <v>58</v>
      </c>
      <c r="B924" t="s">
        <v>70</v>
      </c>
      <c r="C924" t="s">
        <v>1594</v>
      </c>
      <c r="D924" t="s">
        <v>168</v>
      </c>
      <c r="E924">
        <v>5</v>
      </c>
      <c r="F924">
        <v>202</v>
      </c>
      <c r="G924">
        <v>2583</v>
      </c>
      <c r="H924">
        <v>926</v>
      </c>
      <c r="I924">
        <v>376</v>
      </c>
      <c r="J924">
        <v>110</v>
      </c>
      <c r="K924">
        <v>0.42799999999999999</v>
      </c>
      <c r="L924">
        <v>0.35699999999999998</v>
      </c>
      <c r="M924">
        <v>0.71799999999999997</v>
      </c>
      <c r="N924">
        <v>2.8</v>
      </c>
      <c r="O924">
        <v>5.1999999999999998E-2</v>
      </c>
      <c r="P924">
        <v>2016</v>
      </c>
      <c r="Q924">
        <v>12.8</v>
      </c>
      <c r="R924">
        <v>4.5999999999999996</v>
      </c>
      <c r="S924">
        <v>1.9</v>
      </c>
      <c r="T924">
        <v>0.5</v>
      </c>
      <c r="U924">
        <v>2</v>
      </c>
      <c r="V924">
        <v>28</v>
      </c>
      <c r="W924">
        <f>IF(nba_draft[[#This Row],[years_played]]&gt;5,1,0)</f>
        <v>0</v>
      </c>
    </row>
    <row r="925" spans="1:23" x14ac:dyDescent="0.25">
      <c r="A925">
        <v>28</v>
      </c>
      <c r="B925" t="s">
        <v>90</v>
      </c>
      <c r="C925" t="s">
        <v>1799</v>
      </c>
      <c r="D925" t="s">
        <v>325</v>
      </c>
      <c r="E925">
        <v>2</v>
      </c>
      <c r="F925">
        <v>119</v>
      </c>
      <c r="G925">
        <v>2981</v>
      </c>
      <c r="H925">
        <v>925</v>
      </c>
      <c r="I925">
        <v>471</v>
      </c>
      <c r="J925">
        <v>137</v>
      </c>
      <c r="K925">
        <v>0.44600000000000001</v>
      </c>
      <c r="L925">
        <v>0.33</v>
      </c>
      <c r="M925">
        <v>0.70599999999999996</v>
      </c>
      <c r="N925">
        <v>3.2</v>
      </c>
      <c r="O925">
        <v>5.1999999999999998E-2</v>
      </c>
      <c r="P925">
        <v>2020</v>
      </c>
      <c r="Q925">
        <v>25.1</v>
      </c>
      <c r="R925">
        <v>7.8</v>
      </c>
      <c r="S925">
        <v>4</v>
      </c>
      <c r="T925">
        <v>1.2</v>
      </c>
      <c r="U925">
        <v>1</v>
      </c>
      <c r="V925">
        <v>28</v>
      </c>
      <c r="W925">
        <f>IF(nba_draft[[#This Row],[years_played]]&gt;5,1,0)</f>
        <v>0</v>
      </c>
    </row>
    <row r="926" spans="1:23" x14ac:dyDescent="0.25">
      <c r="A926">
        <v>32</v>
      </c>
      <c r="B926" t="s">
        <v>25</v>
      </c>
      <c r="C926" t="s">
        <v>1418</v>
      </c>
      <c r="D926" t="s">
        <v>97</v>
      </c>
      <c r="E926">
        <v>3</v>
      </c>
      <c r="F926">
        <v>174</v>
      </c>
      <c r="G926">
        <v>2777</v>
      </c>
      <c r="H926">
        <v>924</v>
      </c>
      <c r="I926">
        <v>248</v>
      </c>
      <c r="J926">
        <v>88</v>
      </c>
      <c r="K926">
        <v>0.38700000000000001</v>
      </c>
      <c r="L926">
        <v>0.36799999999999999</v>
      </c>
      <c r="M926">
        <v>0.88</v>
      </c>
      <c r="N926">
        <v>5</v>
      </c>
      <c r="O926">
        <v>8.5999999999999993E-2</v>
      </c>
      <c r="P926">
        <v>2013</v>
      </c>
      <c r="Q926">
        <v>16</v>
      </c>
      <c r="R926">
        <v>5.3</v>
      </c>
      <c r="S926">
        <v>1.4</v>
      </c>
      <c r="T926">
        <v>0.5</v>
      </c>
      <c r="U926">
        <v>2</v>
      </c>
      <c r="V926">
        <v>2</v>
      </c>
      <c r="W926">
        <f>IF(nba_draft[[#This Row],[years_played]]&gt;5,1,0)</f>
        <v>0</v>
      </c>
    </row>
    <row r="927" spans="1:23" x14ac:dyDescent="0.25">
      <c r="A927">
        <v>21</v>
      </c>
      <c r="B927" t="s">
        <v>25</v>
      </c>
      <c r="C927" t="s">
        <v>1616</v>
      </c>
      <c r="D927" t="s">
        <v>97</v>
      </c>
      <c r="E927">
        <v>4</v>
      </c>
      <c r="F927">
        <v>204</v>
      </c>
      <c r="G927">
        <v>4000</v>
      </c>
      <c r="H927">
        <v>924</v>
      </c>
      <c r="I927">
        <v>263</v>
      </c>
      <c r="J927">
        <v>144</v>
      </c>
      <c r="K927">
        <v>0.40400000000000003</v>
      </c>
      <c r="L927">
        <v>0.33400000000000002</v>
      </c>
      <c r="M927">
        <v>0.753</v>
      </c>
      <c r="N927">
        <v>4.4000000000000004</v>
      </c>
      <c r="O927">
        <v>5.2999999999999999E-2</v>
      </c>
      <c r="P927">
        <v>2017</v>
      </c>
      <c r="Q927">
        <v>19.600000000000001</v>
      </c>
      <c r="R927">
        <v>4.5</v>
      </c>
      <c r="S927">
        <v>1.3</v>
      </c>
      <c r="T927">
        <v>0.7</v>
      </c>
      <c r="U927">
        <v>1</v>
      </c>
      <c r="V927">
        <v>21</v>
      </c>
      <c r="W927">
        <f>IF(nba_draft[[#This Row],[years_played]]&gt;5,1,0)</f>
        <v>0</v>
      </c>
    </row>
    <row r="928" spans="1:23" x14ac:dyDescent="0.25">
      <c r="A928">
        <v>25</v>
      </c>
      <c r="B928" t="s">
        <v>43</v>
      </c>
      <c r="C928" t="s">
        <v>245</v>
      </c>
      <c r="D928" t="s">
        <v>142</v>
      </c>
      <c r="E928">
        <v>5</v>
      </c>
      <c r="F928">
        <v>157</v>
      </c>
      <c r="G928">
        <v>2641</v>
      </c>
      <c r="H928">
        <v>923</v>
      </c>
      <c r="I928">
        <v>555</v>
      </c>
      <c r="J928">
        <v>109</v>
      </c>
      <c r="K928">
        <v>0.51600000000000001</v>
      </c>
      <c r="L928">
        <v>0</v>
      </c>
      <c r="M928">
        <v>0.57999999999999996</v>
      </c>
      <c r="N928">
        <v>0</v>
      </c>
      <c r="O928">
        <v>1E-3</v>
      </c>
      <c r="P928">
        <v>1992</v>
      </c>
      <c r="Q928">
        <v>16.8</v>
      </c>
      <c r="R928">
        <v>5.9</v>
      </c>
      <c r="S928">
        <v>3.5</v>
      </c>
      <c r="T928">
        <v>0.7</v>
      </c>
      <c r="U928">
        <v>1</v>
      </c>
      <c r="V928">
        <v>25</v>
      </c>
      <c r="W928">
        <f>IF(nba_draft[[#This Row],[years_played]]&gt;5,1,0)</f>
        <v>0</v>
      </c>
    </row>
    <row r="929" spans="1:23" x14ac:dyDescent="0.25">
      <c r="A929">
        <v>36</v>
      </c>
      <c r="B929" t="s">
        <v>40</v>
      </c>
      <c r="C929" t="s">
        <v>1422</v>
      </c>
      <c r="D929" t="s">
        <v>886</v>
      </c>
      <c r="E929">
        <v>3</v>
      </c>
      <c r="F929">
        <v>154</v>
      </c>
      <c r="G929">
        <v>2808</v>
      </c>
      <c r="H929">
        <v>920</v>
      </c>
      <c r="I929">
        <v>306</v>
      </c>
      <c r="J929">
        <v>368</v>
      </c>
      <c r="K929">
        <v>0.40799999999999997</v>
      </c>
      <c r="L929">
        <v>0.33500000000000002</v>
      </c>
      <c r="M929">
        <v>0.71099999999999997</v>
      </c>
      <c r="N929">
        <v>2.1</v>
      </c>
      <c r="O929">
        <v>3.5000000000000003E-2</v>
      </c>
      <c r="P929">
        <v>2013</v>
      </c>
      <c r="Q929">
        <v>18.2</v>
      </c>
      <c r="R929">
        <v>6</v>
      </c>
      <c r="S929">
        <v>2</v>
      </c>
      <c r="T929">
        <v>2.4</v>
      </c>
      <c r="U929">
        <v>2</v>
      </c>
      <c r="V929">
        <v>6</v>
      </c>
      <c r="W929">
        <f>IF(nba_draft[[#This Row],[years_played]]&gt;5,1,0)</f>
        <v>0</v>
      </c>
    </row>
    <row r="930" spans="1:23" x14ac:dyDescent="0.25">
      <c r="A930">
        <v>48</v>
      </c>
      <c r="B930" t="s">
        <v>102</v>
      </c>
      <c r="C930" t="s">
        <v>498</v>
      </c>
      <c r="D930" t="s">
        <v>148</v>
      </c>
      <c r="E930">
        <v>5</v>
      </c>
      <c r="F930">
        <v>201</v>
      </c>
      <c r="G930">
        <v>4316</v>
      </c>
      <c r="H930">
        <v>911</v>
      </c>
      <c r="I930">
        <v>1437</v>
      </c>
      <c r="J930">
        <v>139</v>
      </c>
      <c r="K930">
        <v>0.42399999999999999</v>
      </c>
      <c r="L930">
        <v>0.4</v>
      </c>
      <c r="M930">
        <v>0.629</v>
      </c>
      <c r="N930">
        <v>8.1999999999999993</v>
      </c>
      <c r="O930">
        <v>9.0999999999999998E-2</v>
      </c>
      <c r="P930">
        <v>1996</v>
      </c>
      <c r="Q930">
        <v>21.5</v>
      </c>
      <c r="R930">
        <v>4.5</v>
      </c>
      <c r="S930">
        <v>7.1</v>
      </c>
      <c r="T930">
        <v>0.7</v>
      </c>
      <c r="U930">
        <v>2</v>
      </c>
      <c r="V930">
        <v>19</v>
      </c>
      <c r="W930">
        <f>IF(nba_draft[[#This Row],[years_played]]&gt;5,1,0)</f>
        <v>0</v>
      </c>
    </row>
    <row r="931" spans="1:23" x14ac:dyDescent="0.25">
      <c r="A931">
        <v>10</v>
      </c>
      <c r="B931" t="s">
        <v>40</v>
      </c>
      <c r="C931" t="s">
        <v>1605</v>
      </c>
      <c r="D931" t="s">
        <v>820</v>
      </c>
      <c r="E931">
        <v>4</v>
      </c>
      <c r="F931">
        <v>159</v>
      </c>
      <c r="G931">
        <v>2773</v>
      </c>
      <c r="H931">
        <v>910</v>
      </c>
      <c r="I931">
        <v>640</v>
      </c>
      <c r="J931">
        <v>150</v>
      </c>
      <c r="K931">
        <v>0.44400000000000001</v>
      </c>
      <c r="L931">
        <v>0.32700000000000001</v>
      </c>
      <c r="M931">
        <v>0.71699999999999997</v>
      </c>
      <c r="N931">
        <v>4</v>
      </c>
      <c r="O931">
        <v>6.9000000000000006E-2</v>
      </c>
      <c r="P931">
        <v>2017</v>
      </c>
      <c r="Q931">
        <v>17.399999999999999</v>
      </c>
      <c r="R931">
        <v>5.7</v>
      </c>
      <c r="S931">
        <v>4</v>
      </c>
      <c r="T931">
        <v>0.9</v>
      </c>
      <c r="U931">
        <v>1</v>
      </c>
      <c r="V931">
        <v>10</v>
      </c>
      <c r="W931">
        <f>IF(nba_draft[[#This Row],[years_played]]&gt;5,1,0)</f>
        <v>0</v>
      </c>
    </row>
    <row r="932" spans="1:23" x14ac:dyDescent="0.25">
      <c r="A932">
        <v>13</v>
      </c>
      <c r="B932" t="s">
        <v>34</v>
      </c>
      <c r="C932" t="s">
        <v>1068</v>
      </c>
      <c r="D932" t="s">
        <v>108</v>
      </c>
      <c r="E932">
        <v>4</v>
      </c>
      <c r="F932">
        <v>231</v>
      </c>
      <c r="G932">
        <v>3049</v>
      </c>
      <c r="H932">
        <v>907</v>
      </c>
      <c r="I932">
        <v>531</v>
      </c>
      <c r="J932">
        <v>182</v>
      </c>
      <c r="K932">
        <v>0.499</v>
      </c>
      <c r="L932">
        <v>0.26200000000000001</v>
      </c>
      <c r="M932">
        <v>0.58399999999999996</v>
      </c>
      <c r="N932">
        <v>3.9</v>
      </c>
      <c r="O932">
        <v>6.0999999999999999E-2</v>
      </c>
      <c r="P932">
        <v>2007</v>
      </c>
      <c r="Q932">
        <v>13.2</v>
      </c>
      <c r="R932">
        <v>3.9</v>
      </c>
      <c r="S932">
        <v>2.2999999999999998</v>
      </c>
      <c r="T932">
        <v>0.8</v>
      </c>
      <c r="U932">
        <v>1</v>
      </c>
      <c r="V932">
        <v>13</v>
      </c>
      <c r="W932">
        <f>IF(nba_draft[[#This Row],[years_played]]&gt;5,1,0)</f>
        <v>0</v>
      </c>
    </row>
    <row r="933" spans="1:23" x14ac:dyDescent="0.25">
      <c r="A933">
        <v>40</v>
      </c>
      <c r="B933" t="s">
        <v>109</v>
      </c>
      <c r="C933" t="s">
        <v>828</v>
      </c>
      <c r="D933" t="s">
        <v>97</v>
      </c>
      <c r="E933">
        <v>1</v>
      </c>
      <c r="F933">
        <v>82</v>
      </c>
      <c r="G933">
        <v>2117</v>
      </c>
      <c r="H933">
        <v>896</v>
      </c>
      <c r="I933">
        <v>210</v>
      </c>
      <c r="J933">
        <v>177</v>
      </c>
      <c r="K933">
        <v>0.40200000000000002</v>
      </c>
      <c r="L933">
        <v>0.36099999999999999</v>
      </c>
      <c r="M933">
        <v>0.84899999999999998</v>
      </c>
      <c r="N933">
        <v>1.4</v>
      </c>
      <c r="O933">
        <v>3.1E-2</v>
      </c>
      <c r="P933">
        <v>2002</v>
      </c>
      <c r="Q933">
        <v>25.8</v>
      </c>
      <c r="R933">
        <v>10.9</v>
      </c>
      <c r="S933">
        <v>2.6</v>
      </c>
      <c r="T933">
        <v>2.2000000000000002</v>
      </c>
      <c r="U933">
        <v>2</v>
      </c>
      <c r="V933">
        <v>11</v>
      </c>
      <c r="W933">
        <f>IF(nba_draft[[#This Row],[years_played]]&gt;5,1,0)</f>
        <v>0</v>
      </c>
    </row>
    <row r="934" spans="1:23" x14ac:dyDescent="0.25">
      <c r="A934">
        <v>30</v>
      </c>
      <c r="B934" t="s">
        <v>52</v>
      </c>
      <c r="C934" t="s">
        <v>1570</v>
      </c>
      <c r="D934" t="s">
        <v>716</v>
      </c>
      <c r="E934">
        <v>6</v>
      </c>
      <c r="F934">
        <v>180</v>
      </c>
      <c r="G934">
        <v>2582</v>
      </c>
      <c r="H934">
        <v>896</v>
      </c>
      <c r="I934">
        <v>585</v>
      </c>
      <c r="J934">
        <v>136</v>
      </c>
      <c r="K934">
        <v>0.66100000000000003</v>
      </c>
      <c r="L934">
        <v>0.28599999999999998</v>
      </c>
      <c r="M934">
        <v>0.7</v>
      </c>
      <c r="N934">
        <v>7.6</v>
      </c>
      <c r="O934">
        <v>0.14099999999999999</v>
      </c>
      <c r="P934">
        <v>2016</v>
      </c>
      <c r="Q934">
        <v>14.3</v>
      </c>
      <c r="R934">
        <v>5</v>
      </c>
      <c r="S934">
        <v>3.3</v>
      </c>
      <c r="T934">
        <v>0.8</v>
      </c>
      <c r="U934">
        <v>1</v>
      </c>
      <c r="V934">
        <v>30</v>
      </c>
      <c r="W934">
        <f>IF(nba_draft[[#This Row],[years_played]]&gt;5,1,0)</f>
        <v>1</v>
      </c>
    </row>
    <row r="935" spans="1:23" x14ac:dyDescent="0.25">
      <c r="A935">
        <v>40</v>
      </c>
      <c r="B935" t="s">
        <v>34</v>
      </c>
      <c r="C935" t="s">
        <v>1203</v>
      </c>
      <c r="D935" t="s">
        <v>54</v>
      </c>
      <c r="E935">
        <v>3</v>
      </c>
      <c r="F935">
        <v>171</v>
      </c>
      <c r="G935">
        <v>2554</v>
      </c>
      <c r="H935">
        <v>895</v>
      </c>
      <c r="I935">
        <v>413</v>
      </c>
      <c r="J935">
        <v>119</v>
      </c>
      <c r="K935">
        <v>0.51500000000000001</v>
      </c>
      <c r="L935">
        <v>0.317</v>
      </c>
      <c r="M935">
        <v>0.63700000000000001</v>
      </c>
      <c r="N935">
        <v>4.5</v>
      </c>
      <c r="O935">
        <v>8.5000000000000006E-2</v>
      </c>
      <c r="P935">
        <v>2009</v>
      </c>
      <c r="Q935">
        <v>14.9</v>
      </c>
      <c r="R935">
        <v>5.2</v>
      </c>
      <c r="S935">
        <v>2.4</v>
      </c>
      <c r="T935">
        <v>0.7</v>
      </c>
      <c r="U935">
        <v>2</v>
      </c>
      <c r="V935">
        <v>10</v>
      </c>
      <c r="W935">
        <f>IF(nba_draft[[#This Row],[years_played]]&gt;5,1,0)</f>
        <v>0</v>
      </c>
    </row>
    <row r="936" spans="1:23" x14ac:dyDescent="0.25">
      <c r="A936">
        <v>20</v>
      </c>
      <c r="B936" t="s">
        <v>65</v>
      </c>
      <c r="C936" t="s">
        <v>1023</v>
      </c>
      <c r="D936" t="s">
        <v>383</v>
      </c>
      <c r="E936">
        <v>6</v>
      </c>
      <c r="F936">
        <v>221</v>
      </c>
      <c r="G936">
        <v>3064</v>
      </c>
      <c r="H936">
        <v>894</v>
      </c>
      <c r="I936">
        <v>769</v>
      </c>
      <c r="J936">
        <v>132</v>
      </c>
      <c r="K936">
        <v>0.51</v>
      </c>
      <c r="L936">
        <v>0.17199999999999999</v>
      </c>
      <c r="M936">
        <v>0.54200000000000004</v>
      </c>
      <c r="N936">
        <v>7.2</v>
      </c>
      <c r="O936">
        <v>0.113</v>
      </c>
      <c r="P936">
        <v>2006</v>
      </c>
      <c r="Q936">
        <v>13.9</v>
      </c>
      <c r="R936">
        <v>4</v>
      </c>
      <c r="S936">
        <v>3.5</v>
      </c>
      <c r="T936">
        <v>0.6</v>
      </c>
      <c r="U936">
        <v>1</v>
      </c>
      <c r="V936">
        <v>20</v>
      </c>
      <c r="W936">
        <f>IF(nba_draft[[#This Row],[years_played]]&gt;5,1,0)</f>
        <v>1</v>
      </c>
    </row>
    <row r="937" spans="1:23" x14ac:dyDescent="0.25">
      <c r="A937">
        <v>52</v>
      </c>
      <c r="B937" t="s">
        <v>40</v>
      </c>
      <c r="C937" t="s">
        <v>1821</v>
      </c>
      <c r="D937" t="s">
        <v>97</v>
      </c>
      <c r="E937">
        <v>2</v>
      </c>
      <c r="F937">
        <v>100</v>
      </c>
      <c r="G937">
        <v>2165</v>
      </c>
      <c r="H937">
        <v>892</v>
      </c>
      <c r="I937">
        <v>456</v>
      </c>
      <c r="J937">
        <v>120</v>
      </c>
      <c r="K937">
        <v>0.51800000000000002</v>
      </c>
      <c r="L937">
        <v>0.33800000000000002</v>
      </c>
      <c r="M937">
        <v>0.68</v>
      </c>
      <c r="N937">
        <v>4.0999999999999996</v>
      </c>
      <c r="O937">
        <v>0.09</v>
      </c>
      <c r="P937">
        <v>2020</v>
      </c>
      <c r="Q937">
        <v>21.7</v>
      </c>
      <c r="R937">
        <v>8.9</v>
      </c>
      <c r="S937">
        <v>4.5999999999999996</v>
      </c>
      <c r="T937">
        <v>1.2</v>
      </c>
      <c r="U937">
        <v>2</v>
      </c>
      <c r="V937">
        <v>22</v>
      </c>
      <c r="W937">
        <f>IF(nba_draft[[#This Row],[years_played]]&gt;5,1,0)</f>
        <v>0</v>
      </c>
    </row>
    <row r="938" spans="1:23" x14ac:dyDescent="0.25">
      <c r="A938">
        <v>26</v>
      </c>
      <c r="B938" t="s">
        <v>149</v>
      </c>
      <c r="C938" t="s">
        <v>1295</v>
      </c>
      <c r="D938" t="s">
        <v>60</v>
      </c>
      <c r="E938">
        <v>5</v>
      </c>
      <c r="F938">
        <v>151</v>
      </c>
      <c r="G938">
        <v>2100</v>
      </c>
      <c r="H938">
        <v>890</v>
      </c>
      <c r="I938">
        <v>429</v>
      </c>
      <c r="J938">
        <v>127</v>
      </c>
      <c r="K938">
        <v>0.40799999999999997</v>
      </c>
      <c r="L938">
        <v>0.35699999999999998</v>
      </c>
      <c r="M938">
        <v>0.67</v>
      </c>
      <c r="N938">
        <v>3</v>
      </c>
      <c r="O938">
        <v>6.9000000000000006E-2</v>
      </c>
      <c r="P938">
        <v>2011</v>
      </c>
      <c r="Q938">
        <v>13.9</v>
      </c>
      <c r="R938">
        <v>5.9</v>
      </c>
      <c r="S938">
        <v>2.8</v>
      </c>
      <c r="T938">
        <v>0.8</v>
      </c>
      <c r="U938">
        <v>1</v>
      </c>
      <c r="V938">
        <v>26</v>
      </c>
      <c r="W938">
        <f>IF(nba_draft[[#This Row],[years_played]]&gt;5,1,0)</f>
        <v>0</v>
      </c>
    </row>
    <row r="939" spans="1:23" x14ac:dyDescent="0.25">
      <c r="A939">
        <v>12</v>
      </c>
      <c r="B939" t="s">
        <v>34</v>
      </c>
      <c r="C939" t="s">
        <v>1014</v>
      </c>
      <c r="D939" t="s">
        <v>79</v>
      </c>
      <c r="E939">
        <v>6</v>
      </c>
      <c r="F939">
        <v>292</v>
      </c>
      <c r="G939">
        <v>3378</v>
      </c>
      <c r="H939">
        <v>880</v>
      </c>
      <c r="I939">
        <v>766</v>
      </c>
      <c r="J939">
        <v>102</v>
      </c>
      <c r="K939">
        <v>0.501</v>
      </c>
      <c r="L939">
        <v>0.28599999999999998</v>
      </c>
      <c r="M939">
        <v>0.58199999999999996</v>
      </c>
      <c r="N939">
        <v>3.9</v>
      </c>
      <c r="O939">
        <v>5.5E-2</v>
      </c>
      <c r="P939">
        <v>2006</v>
      </c>
      <c r="Q939">
        <v>11.6</v>
      </c>
      <c r="R939">
        <v>3</v>
      </c>
      <c r="S939">
        <v>2.6</v>
      </c>
      <c r="T939">
        <v>0.3</v>
      </c>
      <c r="U939">
        <v>1</v>
      </c>
      <c r="V939">
        <v>12</v>
      </c>
      <c r="W939">
        <f>IF(nba_draft[[#This Row],[years_played]]&gt;5,1,0)</f>
        <v>1</v>
      </c>
    </row>
    <row r="940" spans="1:23" x14ac:dyDescent="0.25">
      <c r="A940">
        <v>55</v>
      </c>
      <c r="B940" t="s">
        <v>104</v>
      </c>
      <c r="C940" t="s">
        <v>1265</v>
      </c>
      <c r="D940" t="s">
        <v>321</v>
      </c>
      <c r="E940">
        <v>7</v>
      </c>
      <c r="F940">
        <v>250</v>
      </c>
      <c r="G940">
        <v>2626</v>
      </c>
      <c r="H940">
        <v>879</v>
      </c>
      <c r="I940">
        <v>641</v>
      </c>
      <c r="J940">
        <v>107</v>
      </c>
      <c r="K940">
        <v>0.56899999999999995</v>
      </c>
      <c r="L940">
        <v>0.23100000000000001</v>
      </c>
      <c r="M940">
        <v>0.68700000000000006</v>
      </c>
      <c r="N940">
        <v>8.1999999999999993</v>
      </c>
      <c r="O940">
        <v>0.15</v>
      </c>
      <c r="P940">
        <v>2010</v>
      </c>
      <c r="Q940">
        <v>10.5</v>
      </c>
      <c r="R940">
        <v>3.5</v>
      </c>
      <c r="S940">
        <v>2.6</v>
      </c>
      <c r="T940">
        <v>0.4</v>
      </c>
      <c r="U940">
        <v>2</v>
      </c>
      <c r="V940">
        <v>25</v>
      </c>
      <c r="W940">
        <f>IF(nba_draft[[#This Row],[years_played]]&gt;5,1,0)</f>
        <v>1</v>
      </c>
    </row>
    <row r="941" spans="1:23" x14ac:dyDescent="0.25">
      <c r="A941">
        <v>32</v>
      </c>
      <c r="B941" t="s">
        <v>393</v>
      </c>
      <c r="C941" t="s">
        <v>1684</v>
      </c>
      <c r="D941" t="s">
        <v>1115</v>
      </c>
      <c r="E941">
        <v>4</v>
      </c>
      <c r="F941">
        <v>203</v>
      </c>
      <c r="G941">
        <v>2791</v>
      </c>
      <c r="H941">
        <v>872</v>
      </c>
      <c r="I941">
        <v>343</v>
      </c>
      <c r="J941">
        <v>270</v>
      </c>
      <c r="K941">
        <v>0.375</v>
      </c>
      <c r="L941">
        <v>0.36899999999999999</v>
      </c>
      <c r="M941">
        <v>0.78900000000000003</v>
      </c>
      <c r="N941">
        <v>3.3</v>
      </c>
      <c r="O941">
        <v>5.7000000000000002E-2</v>
      </c>
      <c r="P941">
        <v>2018</v>
      </c>
      <c r="Q941">
        <v>13.7</v>
      </c>
      <c r="R941">
        <v>4.3</v>
      </c>
      <c r="S941">
        <v>1.7</v>
      </c>
      <c r="T941">
        <v>1.3</v>
      </c>
      <c r="U941">
        <v>2</v>
      </c>
      <c r="V941">
        <v>2</v>
      </c>
      <c r="W941">
        <f>IF(nba_draft[[#This Row],[years_played]]&gt;5,1,0)</f>
        <v>0</v>
      </c>
    </row>
    <row r="942" spans="1:23" x14ac:dyDescent="0.25">
      <c r="A942">
        <v>6</v>
      </c>
      <c r="B942" t="s">
        <v>75</v>
      </c>
      <c r="C942" t="s">
        <v>1717</v>
      </c>
      <c r="D942" t="s">
        <v>439</v>
      </c>
      <c r="E942">
        <v>3</v>
      </c>
      <c r="F942">
        <v>124</v>
      </c>
      <c r="G942">
        <v>2253</v>
      </c>
      <c r="H942">
        <v>862</v>
      </c>
      <c r="I942">
        <v>355</v>
      </c>
      <c r="J942">
        <v>160</v>
      </c>
      <c r="K942">
        <v>0.40699999999999997</v>
      </c>
      <c r="L942">
        <v>0.28999999999999998</v>
      </c>
      <c r="M942">
        <v>0.505</v>
      </c>
      <c r="N942">
        <v>0.2</v>
      </c>
      <c r="O942">
        <v>3.0000000000000001E-3</v>
      </c>
      <c r="P942">
        <v>2019</v>
      </c>
      <c r="Q942">
        <v>18.2</v>
      </c>
      <c r="R942">
        <v>7</v>
      </c>
      <c r="S942">
        <v>2.9</v>
      </c>
      <c r="T942">
        <v>1.3</v>
      </c>
      <c r="U942">
        <v>1</v>
      </c>
      <c r="V942">
        <v>6</v>
      </c>
      <c r="W942">
        <f>IF(nba_draft[[#This Row],[years_played]]&gt;5,1,0)</f>
        <v>0</v>
      </c>
    </row>
    <row r="943" spans="1:23" x14ac:dyDescent="0.25">
      <c r="A943">
        <v>23</v>
      </c>
      <c r="B943" t="s">
        <v>49</v>
      </c>
      <c r="C943" t="s">
        <v>1351</v>
      </c>
      <c r="D943" t="s">
        <v>716</v>
      </c>
      <c r="E943">
        <v>6</v>
      </c>
      <c r="F943">
        <v>171</v>
      </c>
      <c r="G943">
        <v>2183</v>
      </c>
      <c r="H943">
        <v>855</v>
      </c>
      <c r="I943">
        <v>250</v>
      </c>
      <c r="J943">
        <v>138</v>
      </c>
      <c r="K943">
        <v>0.441</v>
      </c>
      <c r="L943">
        <v>0.36699999999999999</v>
      </c>
      <c r="M943">
        <v>0.84699999999999998</v>
      </c>
      <c r="N943">
        <v>3</v>
      </c>
      <c r="O943">
        <v>6.5000000000000002E-2</v>
      </c>
      <c r="P943">
        <v>2012</v>
      </c>
      <c r="Q943">
        <v>12.8</v>
      </c>
      <c r="R943">
        <v>5</v>
      </c>
      <c r="S943">
        <v>1.5</v>
      </c>
      <c r="T943">
        <v>0.8</v>
      </c>
      <c r="U943">
        <v>1</v>
      </c>
      <c r="V943">
        <v>23</v>
      </c>
      <c r="W943">
        <f>IF(nba_draft[[#This Row],[years_played]]&gt;5,1,0)</f>
        <v>1</v>
      </c>
    </row>
    <row r="944" spans="1:23" x14ac:dyDescent="0.25">
      <c r="A944">
        <v>38</v>
      </c>
      <c r="B944" t="s">
        <v>31</v>
      </c>
      <c r="C944" t="s">
        <v>982</v>
      </c>
      <c r="D944" t="s">
        <v>137</v>
      </c>
      <c r="E944">
        <v>5</v>
      </c>
      <c r="F944">
        <v>179</v>
      </c>
      <c r="G944">
        <v>2660</v>
      </c>
      <c r="H944">
        <v>854</v>
      </c>
      <c r="I944">
        <v>243</v>
      </c>
      <c r="J944">
        <v>432</v>
      </c>
      <c r="K944">
        <v>0.38800000000000001</v>
      </c>
      <c r="L944">
        <v>0.35299999999999998</v>
      </c>
      <c r="M944">
        <v>0.84699999999999998</v>
      </c>
      <c r="N944">
        <v>5.6</v>
      </c>
      <c r="O944">
        <v>0.10199999999999999</v>
      </c>
      <c r="P944">
        <v>2005</v>
      </c>
      <c r="Q944">
        <v>14.9</v>
      </c>
      <c r="R944">
        <v>4.8</v>
      </c>
      <c r="S944">
        <v>1.4</v>
      </c>
      <c r="T944">
        <v>2.4</v>
      </c>
      <c r="U944">
        <v>2</v>
      </c>
      <c r="V944">
        <v>8</v>
      </c>
      <c r="W944">
        <f>IF(nba_draft[[#This Row],[years_played]]&gt;5,1,0)</f>
        <v>0</v>
      </c>
    </row>
    <row r="945" spans="1:23" x14ac:dyDescent="0.25">
      <c r="A945">
        <v>8</v>
      </c>
      <c r="B945" t="s">
        <v>85</v>
      </c>
      <c r="C945" t="s">
        <v>397</v>
      </c>
      <c r="D945" t="s">
        <v>148</v>
      </c>
      <c r="E945">
        <v>4</v>
      </c>
      <c r="F945">
        <v>172</v>
      </c>
      <c r="G945">
        <v>2350</v>
      </c>
      <c r="H945">
        <v>851</v>
      </c>
      <c r="I945">
        <v>226</v>
      </c>
      <c r="J945">
        <v>177</v>
      </c>
      <c r="K945">
        <v>0.41399999999999998</v>
      </c>
      <c r="L945">
        <v>0.34</v>
      </c>
      <c r="M945">
        <v>0.81599999999999995</v>
      </c>
      <c r="N945">
        <v>2.1</v>
      </c>
      <c r="O945">
        <v>4.2999999999999997E-2</v>
      </c>
      <c r="P945">
        <v>1995</v>
      </c>
      <c r="Q945">
        <v>13.7</v>
      </c>
      <c r="R945">
        <v>4.9000000000000004</v>
      </c>
      <c r="S945">
        <v>1.3</v>
      </c>
      <c r="T945">
        <v>1</v>
      </c>
      <c r="U945">
        <v>1</v>
      </c>
      <c r="V945">
        <v>8</v>
      </c>
      <c r="W945">
        <f>IF(nba_draft[[#This Row],[years_played]]&gt;5,1,0)</f>
        <v>0</v>
      </c>
    </row>
    <row r="946" spans="1:23" x14ac:dyDescent="0.25">
      <c r="A946">
        <v>58</v>
      </c>
      <c r="B946" t="s">
        <v>82</v>
      </c>
      <c r="C946" t="s">
        <v>1494</v>
      </c>
      <c r="D946" t="s">
        <v>293</v>
      </c>
      <c r="E946">
        <v>4</v>
      </c>
      <c r="F946">
        <v>123</v>
      </c>
      <c r="G946">
        <v>1696</v>
      </c>
      <c r="H946">
        <v>846</v>
      </c>
      <c r="I946">
        <v>225</v>
      </c>
      <c r="J946">
        <v>167</v>
      </c>
      <c r="K946">
        <v>0.41699999999999998</v>
      </c>
      <c r="L946">
        <v>0.35499999999999998</v>
      </c>
      <c r="M946">
        <v>0.77200000000000002</v>
      </c>
      <c r="N946">
        <v>1.7</v>
      </c>
      <c r="O946">
        <v>4.8000000000000001E-2</v>
      </c>
      <c r="P946">
        <v>2014</v>
      </c>
      <c r="Q946">
        <v>13.8</v>
      </c>
      <c r="R946">
        <v>6.9</v>
      </c>
      <c r="S946">
        <v>1.8</v>
      </c>
      <c r="T946">
        <v>1.4</v>
      </c>
      <c r="U946">
        <v>2</v>
      </c>
      <c r="V946">
        <v>28</v>
      </c>
      <c r="W946">
        <f>IF(nba_draft[[#This Row],[years_played]]&gt;5,1,0)</f>
        <v>0</v>
      </c>
    </row>
    <row r="947" spans="1:23" x14ac:dyDescent="0.25">
      <c r="A947">
        <v>15</v>
      </c>
      <c r="B947" t="s">
        <v>63</v>
      </c>
      <c r="C947" t="s">
        <v>697</v>
      </c>
      <c r="D947" t="s">
        <v>33</v>
      </c>
      <c r="E947">
        <v>5</v>
      </c>
      <c r="F947">
        <v>151</v>
      </c>
      <c r="G947">
        <v>2178</v>
      </c>
      <c r="H947">
        <v>841</v>
      </c>
      <c r="I947">
        <v>443</v>
      </c>
      <c r="J947">
        <v>51</v>
      </c>
      <c r="K947">
        <v>0.45500000000000002</v>
      </c>
      <c r="L947">
        <v>0.35</v>
      </c>
      <c r="M947">
        <v>0.73799999999999999</v>
      </c>
      <c r="N947">
        <v>1.9</v>
      </c>
      <c r="O947">
        <v>4.2000000000000003E-2</v>
      </c>
      <c r="P947">
        <v>2000</v>
      </c>
      <c r="Q947">
        <v>14.4</v>
      </c>
      <c r="R947">
        <v>5.6</v>
      </c>
      <c r="S947">
        <v>2.9</v>
      </c>
      <c r="T947">
        <v>0.3</v>
      </c>
      <c r="U947">
        <v>1</v>
      </c>
      <c r="V947">
        <v>15</v>
      </c>
      <c r="W947">
        <f>IF(nba_draft[[#This Row],[years_played]]&gt;5,1,0)</f>
        <v>0</v>
      </c>
    </row>
    <row r="948" spans="1:23" x14ac:dyDescent="0.25">
      <c r="A948">
        <v>1</v>
      </c>
      <c r="B948" t="s">
        <v>85</v>
      </c>
      <c r="C948" t="s">
        <v>1056</v>
      </c>
      <c r="D948" t="s">
        <v>216</v>
      </c>
      <c r="E948">
        <v>3</v>
      </c>
      <c r="F948">
        <v>105</v>
      </c>
      <c r="G948">
        <v>2028</v>
      </c>
      <c r="H948">
        <v>840</v>
      </c>
      <c r="I948">
        <v>656</v>
      </c>
      <c r="J948">
        <v>51</v>
      </c>
      <c r="K948">
        <v>0.57399999999999995</v>
      </c>
      <c r="L948">
        <v>0</v>
      </c>
      <c r="M948">
        <v>0.65800000000000003</v>
      </c>
      <c r="N948">
        <v>7.3</v>
      </c>
      <c r="O948">
        <v>0.17399999999999999</v>
      </c>
      <c r="P948">
        <v>2007</v>
      </c>
      <c r="Q948">
        <v>19.3</v>
      </c>
      <c r="R948">
        <v>8</v>
      </c>
      <c r="S948">
        <v>6.2</v>
      </c>
      <c r="T948">
        <v>0.5</v>
      </c>
      <c r="U948">
        <v>1</v>
      </c>
      <c r="V948">
        <v>1</v>
      </c>
      <c r="W948">
        <f>IF(nba_draft[[#This Row],[years_played]]&gt;5,1,0)</f>
        <v>0</v>
      </c>
    </row>
    <row r="949" spans="1:23" x14ac:dyDescent="0.25">
      <c r="A949">
        <v>33</v>
      </c>
      <c r="B949" t="s">
        <v>49</v>
      </c>
      <c r="C949" t="s">
        <v>1036</v>
      </c>
      <c r="D949" t="s">
        <v>1037</v>
      </c>
      <c r="E949">
        <v>8</v>
      </c>
      <c r="F949">
        <v>281</v>
      </c>
      <c r="G949">
        <v>3092</v>
      </c>
      <c r="H949">
        <v>839</v>
      </c>
      <c r="I949">
        <v>654</v>
      </c>
      <c r="J949">
        <v>99</v>
      </c>
      <c r="K949">
        <v>0.46700000000000003</v>
      </c>
      <c r="L949">
        <v>0.111</v>
      </c>
      <c r="M949">
        <v>0.71699999999999997</v>
      </c>
      <c r="N949">
        <v>5</v>
      </c>
      <c r="O949">
        <v>7.8E-2</v>
      </c>
      <c r="P949">
        <v>2006</v>
      </c>
      <c r="Q949">
        <v>11</v>
      </c>
      <c r="R949">
        <v>3</v>
      </c>
      <c r="S949">
        <v>2.2999999999999998</v>
      </c>
      <c r="T949">
        <v>0.4</v>
      </c>
      <c r="U949">
        <v>2</v>
      </c>
      <c r="V949">
        <v>3</v>
      </c>
      <c r="W949">
        <f>IF(nba_draft[[#This Row],[years_played]]&gt;5,1,0)</f>
        <v>1</v>
      </c>
    </row>
    <row r="950" spans="1:23" x14ac:dyDescent="0.25">
      <c r="A950">
        <v>36</v>
      </c>
      <c r="B950" t="s">
        <v>34</v>
      </c>
      <c r="C950" t="s">
        <v>1748</v>
      </c>
      <c r="D950" t="s">
        <v>912</v>
      </c>
      <c r="E950">
        <v>3</v>
      </c>
      <c r="F950">
        <v>149</v>
      </c>
      <c r="G950">
        <v>3086</v>
      </c>
      <c r="H950">
        <v>836</v>
      </c>
      <c r="I950">
        <v>527</v>
      </c>
      <c r="J950">
        <v>309</v>
      </c>
      <c r="K950">
        <v>0.44400000000000001</v>
      </c>
      <c r="L950">
        <v>0.32500000000000001</v>
      </c>
      <c r="M950">
        <v>0.64200000000000002</v>
      </c>
      <c r="N950">
        <v>4.7</v>
      </c>
      <c r="O950">
        <v>7.1999999999999995E-2</v>
      </c>
      <c r="P950">
        <v>2019</v>
      </c>
      <c r="Q950">
        <v>20.7</v>
      </c>
      <c r="R950">
        <v>5.6</v>
      </c>
      <c r="S950">
        <v>3.5</v>
      </c>
      <c r="T950">
        <v>2.1</v>
      </c>
      <c r="U950">
        <v>2</v>
      </c>
      <c r="V950">
        <v>6</v>
      </c>
      <c r="W950">
        <f>IF(nba_draft[[#This Row],[years_played]]&gt;5,1,0)</f>
        <v>0</v>
      </c>
    </row>
    <row r="951" spans="1:23" x14ac:dyDescent="0.25">
      <c r="A951">
        <v>27</v>
      </c>
      <c r="B951" t="s">
        <v>95</v>
      </c>
      <c r="C951" t="s">
        <v>247</v>
      </c>
      <c r="D951" t="s">
        <v>206</v>
      </c>
      <c r="E951">
        <v>4</v>
      </c>
      <c r="F951">
        <v>214</v>
      </c>
      <c r="G951">
        <v>2674</v>
      </c>
      <c r="H951">
        <v>835</v>
      </c>
      <c r="I951">
        <v>648</v>
      </c>
      <c r="J951">
        <v>114</v>
      </c>
      <c r="K951">
        <v>0.45600000000000002</v>
      </c>
      <c r="L951">
        <v>0.25600000000000001</v>
      </c>
      <c r="M951">
        <v>0.67600000000000005</v>
      </c>
      <c r="N951">
        <v>3.9</v>
      </c>
      <c r="O951">
        <v>6.9000000000000006E-2</v>
      </c>
      <c r="P951">
        <v>1992</v>
      </c>
      <c r="Q951">
        <v>12.5</v>
      </c>
      <c r="R951">
        <v>3.9</v>
      </c>
      <c r="S951">
        <v>3</v>
      </c>
      <c r="T951">
        <v>0.5</v>
      </c>
      <c r="U951">
        <v>1</v>
      </c>
      <c r="V951">
        <v>27</v>
      </c>
      <c r="W951">
        <f>IF(nba_draft[[#This Row],[years_played]]&gt;5,1,0)</f>
        <v>0</v>
      </c>
    </row>
    <row r="952" spans="1:23" x14ac:dyDescent="0.25">
      <c r="A952">
        <v>11</v>
      </c>
      <c r="B952" t="s">
        <v>52</v>
      </c>
      <c r="C952" t="s">
        <v>462</v>
      </c>
      <c r="D952" t="s">
        <v>184</v>
      </c>
      <c r="E952">
        <v>5</v>
      </c>
      <c r="F952">
        <v>225</v>
      </c>
      <c r="G952">
        <v>2500</v>
      </c>
      <c r="H952">
        <v>835</v>
      </c>
      <c r="I952">
        <v>674</v>
      </c>
      <c r="J952">
        <v>46</v>
      </c>
      <c r="K952">
        <v>0.42199999999999999</v>
      </c>
      <c r="L952">
        <v>0</v>
      </c>
      <c r="M952">
        <v>0.66800000000000004</v>
      </c>
      <c r="N952">
        <v>2.2000000000000002</v>
      </c>
      <c r="O952">
        <v>4.1000000000000002E-2</v>
      </c>
      <c r="P952">
        <v>1996</v>
      </c>
      <c r="Q952">
        <v>11.1</v>
      </c>
      <c r="R952">
        <v>3.7</v>
      </c>
      <c r="S952">
        <v>3</v>
      </c>
      <c r="T952">
        <v>0.2</v>
      </c>
      <c r="U952">
        <v>1</v>
      </c>
      <c r="V952">
        <v>11</v>
      </c>
      <c r="W952">
        <f>IF(nba_draft[[#This Row],[years_played]]&gt;5,1,0)</f>
        <v>0</v>
      </c>
    </row>
    <row r="953" spans="1:23" x14ac:dyDescent="0.25">
      <c r="A953">
        <v>28</v>
      </c>
      <c r="B953" t="s">
        <v>95</v>
      </c>
      <c r="C953" t="s">
        <v>594</v>
      </c>
      <c r="D953" t="s">
        <v>27</v>
      </c>
      <c r="E953">
        <v>4</v>
      </c>
      <c r="F953">
        <v>153</v>
      </c>
      <c r="G953">
        <v>2191</v>
      </c>
      <c r="H953">
        <v>835</v>
      </c>
      <c r="I953">
        <v>259</v>
      </c>
      <c r="J953">
        <v>143</v>
      </c>
      <c r="K953">
        <v>0.39</v>
      </c>
      <c r="L953">
        <v>0.28899999999999998</v>
      </c>
      <c r="M953">
        <v>0.65200000000000002</v>
      </c>
      <c r="N953">
        <v>-0.9</v>
      </c>
      <c r="O953">
        <v>-1.9E-2</v>
      </c>
      <c r="P953">
        <v>1998</v>
      </c>
      <c r="Q953">
        <v>14.3</v>
      </c>
      <c r="R953">
        <v>5.5</v>
      </c>
      <c r="S953">
        <v>1.7</v>
      </c>
      <c r="T953">
        <v>0.9</v>
      </c>
      <c r="U953">
        <v>1</v>
      </c>
      <c r="V953">
        <v>28</v>
      </c>
      <c r="W953">
        <f>IF(nba_draft[[#This Row],[years_played]]&gt;5,1,0)</f>
        <v>0</v>
      </c>
    </row>
    <row r="954" spans="1:23" x14ac:dyDescent="0.25">
      <c r="A954">
        <v>20</v>
      </c>
      <c r="B954" t="s">
        <v>85</v>
      </c>
      <c r="C954" t="s">
        <v>1615</v>
      </c>
      <c r="D954" t="s">
        <v>87</v>
      </c>
      <c r="E954">
        <v>3</v>
      </c>
      <c r="F954">
        <v>142</v>
      </c>
      <c r="G954">
        <v>1835</v>
      </c>
      <c r="H954">
        <v>832</v>
      </c>
      <c r="I954">
        <v>543</v>
      </c>
      <c r="J954">
        <v>174</v>
      </c>
      <c r="K954">
        <v>0.51100000000000001</v>
      </c>
      <c r="L954">
        <v>0.25800000000000001</v>
      </c>
      <c r="M954">
        <v>0.67100000000000004</v>
      </c>
      <c r="N954">
        <v>3</v>
      </c>
      <c r="O954">
        <v>7.9000000000000001E-2</v>
      </c>
      <c r="P954">
        <v>2017</v>
      </c>
      <c r="Q954">
        <v>12.9</v>
      </c>
      <c r="R954">
        <v>5.9</v>
      </c>
      <c r="S954">
        <v>3.8</v>
      </c>
      <c r="T954">
        <v>1.2</v>
      </c>
      <c r="U954">
        <v>1</v>
      </c>
      <c r="V954">
        <v>20</v>
      </c>
      <c r="W954">
        <f>IF(nba_draft[[#This Row],[years_played]]&gt;5,1,0)</f>
        <v>0</v>
      </c>
    </row>
    <row r="955" spans="1:23" x14ac:dyDescent="0.25">
      <c r="A955">
        <v>16</v>
      </c>
      <c r="B955" t="s">
        <v>52</v>
      </c>
      <c r="C955" t="s">
        <v>352</v>
      </c>
      <c r="D955" t="s">
        <v>39</v>
      </c>
      <c r="E955">
        <v>4</v>
      </c>
      <c r="F955">
        <v>173</v>
      </c>
      <c r="G955">
        <v>2984</v>
      </c>
      <c r="H955">
        <v>827</v>
      </c>
      <c r="I955">
        <v>897</v>
      </c>
      <c r="J955">
        <v>98</v>
      </c>
      <c r="K955">
        <v>0.496</v>
      </c>
      <c r="L955">
        <v>0.182</v>
      </c>
      <c r="M955">
        <v>0.46500000000000002</v>
      </c>
      <c r="N955">
        <v>3.9</v>
      </c>
      <c r="O955">
        <v>6.3E-2</v>
      </c>
      <c r="P955">
        <v>1994</v>
      </c>
      <c r="Q955">
        <v>17.2</v>
      </c>
      <c r="R955">
        <v>4.8</v>
      </c>
      <c r="S955">
        <v>5.2</v>
      </c>
      <c r="T955">
        <v>0.6</v>
      </c>
      <c r="U955">
        <v>1</v>
      </c>
      <c r="V955">
        <v>16</v>
      </c>
      <c r="W955">
        <f>IF(nba_draft[[#This Row],[years_played]]&gt;5,1,0)</f>
        <v>0</v>
      </c>
    </row>
    <row r="956" spans="1:23" x14ac:dyDescent="0.25">
      <c r="A956">
        <v>13</v>
      </c>
      <c r="B956" t="s">
        <v>34</v>
      </c>
      <c r="C956" t="s">
        <v>957</v>
      </c>
      <c r="D956" t="s">
        <v>179</v>
      </c>
      <c r="E956">
        <v>4</v>
      </c>
      <c r="F956">
        <v>119</v>
      </c>
      <c r="G956">
        <v>1868</v>
      </c>
      <c r="H956">
        <v>821</v>
      </c>
      <c r="I956">
        <v>481</v>
      </c>
      <c r="J956">
        <v>115</v>
      </c>
      <c r="K956">
        <v>0.45800000000000002</v>
      </c>
      <c r="L956">
        <v>0.23100000000000001</v>
      </c>
      <c r="M956">
        <v>0.746</v>
      </c>
      <c r="N956">
        <v>2.6</v>
      </c>
      <c r="O956">
        <v>6.8000000000000005E-2</v>
      </c>
      <c r="P956">
        <v>2005</v>
      </c>
      <c r="Q956">
        <v>15.7</v>
      </c>
      <c r="R956">
        <v>6.9</v>
      </c>
      <c r="S956">
        <v>4</v>
      </c>
      <c r="T956">
        <v>1</v>
      </c>
      <c r="U956">
        <v>1</v>
      </c>
      <c r="V956">
        <v>13</v>
      </c>
      <c r="W956">
        <f>IF(nba_draft[[#This Row],[years_played]]&gt;5,1,0)</f>
        <v>0</v>
      </c>
    </row>
    <row r="957" spans="1:23" x14ac:dyDescent="0.25">
      <c r="A957">
        <v>20</v>
      </c>
      <c r="B957" t="s">
        <v>49</v>
      </c>
      <c r="C957" t="s">
        <v>585</v>
      </c>
      <c r="D957" t="s">
        <v>87</v>
      </c>
      <c r="E957">
        <v>3</v>
      </c>
      <c r="F957">
        <v>113</v>
      </c>
      <c r="G957">
        <v>2130</v>
      </c>
      <c r="H957">
        <v>817</v>
      </c>
      <c r="I957">
        <v>308</v>
      </c>
      <c r="J957">
        <v>124</v>
      </c>
      <c r="K957">
        <v>0.40899999999999997</v>
      </c>
      <c r="L957">
        <v>0.111</v>
      </c>
      <c r="M957">
        <v>0.81899999999999995</v>
      </c>
      <c r="N957">
        <v>0.2</v>
      </c>
      <c r="O957">
        <v>4.0000000000000001E-3</v>
      </c>
      <c r="P957">
        <v>1998</v>
      </c>
      <c r="Q957">
        <v>18.8</v>
      </c>
      <c r="R957">
        <v>7.2</v>
      </c>
      <c r="S957">
        <v>2.7</v>
      </c>
      <c r="T957">
        <v>1.1000000000000001</v>
      </c>
      <c r="U957">
        <v>1</v>
      </c>
      <c r="V957">
        <v>20</v>
      </c>
      <c r="W957">
        <f>IF(nba_draft[[#This Row],[years_played]]&gt;5,1,0)</f>
        <v>0</v>
      </c>
    </row>
    <row r="958" spans="1:23" x14ac:dyDescent="0.25">
      <c r="A958">
        <v>18</v>
      </c>
      <c r="B958" t="s">
        <v>85</v>
      </c>
      <c r="C958" t="s">
        <v>527</v>
      </c>
      <c r="D958" t="s">
        <v>97</v>
      </c>
      <c r="E958">
        <v>3</v>
      </c>
      <c r="F958">
        <v>155</v>
      </c>
      <c r="G958">
        <v>2157</v>
      </c>
      <c r="H958">
        <v>813</v>
      </c>
      <c r="I958">
        <v>534</v>
      </c>
      <c r="J958">
        <v>127</v>
      </c>
      <c r="K958">
        <v>0.41299999999999998</v>
      </c>
      <c r="L958">
        <v>0.13800000000000001</v>
      </c>
      <c r="M958">
        <v>0.755</v>
      </c>
      <c r="N958">
        <v>2.8</v>
      </c>
      <c r="O958">
        <v>6.2E-2</v>
      </c>
      <c r="P958">
        <v>1997</v>
      </c>
      <c r="Q958">
        <v>13.9</v>
      </c>
      <c r="R958">
        <v>5.2</v>
      </c>
      <c r="S958">
        <v>3.4</v>
      </c>
      <c r="T958">
        <v>0.8</v>
      </c>
      <c r="U958">
        <v>1</v>
      </c>
      <c r="V958">
        <v>18</v>
      </c>
      <c r="W958">
        <f>IF(nba_draft[[#This Row],[years_played]]&gt;5,1,0)</f>
        <v>0</v>
      </c>
    </row>
    <row r="959" spans="1:23" x14ac:dyDescent="0.25">
      <c r="A959">
        <v>29</v>
      </c>
      <c r="B959" t="s">
        <v>88</v>
      </c>
      <c r="C959" t="s">
        <v>1138</v>
      </c>
      <c r="D959" t="s">
        <v>285</v>
      </c>
      <c r="E959">
        <v>6</v>
      </c>
      <c r="F959">
        <v>138</v>
      </c>
      <c r="G959">
        <v>2111</v>
      </c>
      <c r="H959">
        <v>810</v>
      </c>
      <c r="I959">
        <v>437</v>
      </c>
      <c r="J959">
        <v>80</v>
      </c>
      <c r="K959">
        <v>0.50700000000000001</v>
      </c>
      <c r="L959">
        <v>0.33300000000000002</v>
      </c>
      <c r="M959">
        <v>0.72</v>
      </c>
      <c r="N959">
        <v>3.8</v>
      </c>
      <c r="O959">
        <v>8.6999999999999994E-2</v>
      </c>
      <c r="P959">
        <v>2008</v>
      </c>
      <c r="Q959">
        <v>15.3</v>
      </c>
      <c r="R959">
        <v>5.9</v>
      </c>
      <c r="S959">
        <v>3.2</v>
      </c>
      <c r="T959">
        <v>0.6</v>
      </c>
      <c r="U959">
        <v>1</v>
      </c>
      <c r="V959">
        <v>29</v>
      </c>
      <c r="W959">
        <f>IF(nba_draft[[#This Row],[years_played]]&gt;5,1,0)</f>
        <v>1</v>
      </c>
    </row>
    <row r="960" spans="1:23" x14ac:dyDescent="0.25">
      <c r="A960">
        <v>31</v>
      </c>
      <c r="B960" t="s">
        <v>34</v>
      </c>
      <c r="C960" t="s">
        <v>1359</v>
      </c>
      <c r="D960" t="s">
        <v>716</v>
      </c>
      <c r="E960">
        <v>3</v>
      </c>
      <c r="F960">
        <v>132</v>
      </c>
      <c r="G960">
        <v>2566</v>
      </c>
      <c r="H960">
        <v>807</v>
      </c>
      <c r="I960">
        <v>263</v>
      </c>
      <c r="J960">
        <v>107</v>
      </c>
      <c r="K960">
        <v>0.40899999999999997</v>
      </c>
      <c r="L960">
        <v>0.31900000000000001</v>
      </c>
      <c r="M960">
        <v>0.66500000000000004</v>
      </c>
      <c r="N960">
        <v>1.3</v>
      </c>
      <c r="O960">
        <v>2.4E-2</v>
      </c>
      <c r="P960">
        <v>2012</v>
      </c>
      <c r="Q960">
        <v>19.399999999999999</v>
      </c>
      <c r="R960">
        <v>6.1</v>
      </c>
      <c r="S960">
        <v>2</v>
      </c>
      <c r="T960">
        <v>0.8</v>
      </c>
      <c r="U960">
        <v>2</v>
      </c>
      <c r="V960">
        <v>1</v>
      </c>
      <c r="W960">
        <f>IF(nba_draft[[#This Row],[years_played]]&gt;5,1,0)</f>
        <v>0</v>
      </c>
    </row>
    <row r="961" spans="1:23" x14ac:dyDescent="0.25">
      <c r="A961">
        <v>13</v>
      </c>
      <c r="B961" t="s">
        <v>75</v>
      </c>
      <c r="C961" t="s">
        <v>1340</v>
      </c>
      <c r="D961" t="s">
        <v>179</v>
      </c>
      <c r="E961">
        <v>4</v>
      </c>
      <c r="F961">
        <v>160</v>
      </c>
      <c r="G961">
        <v>3083</v>
      </c>
      <c r="H961">
        <v>802</v>
      </c>
      <c r="I961">
        <v>253</v>
      </c>
      <c r="J961">
        <v>779</v>
      </c>
      <c r="K961">
        <v>0.39900000000000002</v>
      </c>
      <c r="L961">
        <v>0.37</v>
      </c>
      <c r="M961">
        <v>0.61099999999999999</v>
      </c>
      <c r="N961">
        <v>1</v>
      </c>
      <c r="O961">
        <v>1.4999999999999999E-2</v>
      </c>
      <c r="P961">
        <v>2012</v>
      </c>
      <c r="Q961">
        <v>19.3</v>
      </c>
      <c r="R961">
        <v>5</v>
      </c>
      <c r="S961">
        <v>1.6</v>
      </c>
      <c r="T961">
        <v>4.9000000000000004</v>
      </c>
      <c r="U961">
        <v>1</v>
      </c>
      <c r="V961">
        <v>13</v>
      </c>
      <c r="W961">
        <f>IF(nba_draft[[#This Row],[years_played]]&gt;5,1,0)</f>
        <v>0</v>
      </c>
    </row>
    <row r="962" spans="1:23" x14ac:dyDescent="0.25">
      <c r="A962">
        <v>20</v>
      </c>
      <c r="B962" t="s">
        <v>70</v>
      </c>
      <c r="C962" t="s">
        <v>1731</v>
      </c>
      <c r="D962" t="s">
        <v>325</v>
      </c>
      <c r="E962">
        <v>3</v>
      </c>
      <c r="F962">
        <v>173</v>
      </c>
      <c r="G962">
        <v>3719</v>
      </c>
      <c r="H962">
        <v>802</v>
      </c>
      <c r="I962">
        <v>328</v>
      </c>
      <c r="J962">
        <v>192</v>
      </c>
      <c r="K962">
        <v>0.441</v>
      </c>
      <c r="L962">
        <v>0.31900000000000001</v>
      </c>
      <c r="M962">
        <v>0.59799999999999998</v>
      </c>
      <c r="N962">
        <v>7.3</v>
      </c>
      <c r="O962">
        <v>9.4E-2</v>
      </c>
      <c r="P962">
        <v>2019</v>
      </c>
      <c r="Q962">
        <v>21.5</v>
      </c>
      <c r="R962">
        <v>4.5999999999999996</v>
      </c>
      <c r="S962">
        <v>1.9</v>
      </c>
      <c r="T962">
        <v>1.1000000000000001</v>
      </c>
      <c r="U962">
        <v>1</v>
      </c>
      <c r="V962">
        <v>20</v>
      </c>
      <c r="W962">
        <f>IF(nba_draft[[#This Row],[years_played]]&gt;5,1,0)</f>
        <v>0</v>
      </c>
    </row>
    <row r="963" spans="1:23" x14ac:dyDescent="0.25">
      <c r="A963">
        <v>25</v>
      </c>
      <c r="B963" t="s">
        <v>85</v>
      </c>
      <c r="C963" t="s">
        <v>1736</v>
      </c>
      <c r="D963" t="s">
        <v>179</v>
      </c>
      <c r="E963">
        <v>3</v>
      </c>
      <c r="F963">
        <v>138</v>
      </c>
      <c r="G963">
        <v>2301</v>
      </c>
      <c r="H963">
        <v>802</v>
      </c>
      <c r="I963">
        <v>472</v>
      </c>
      <c r="J963">
        <v>99</v>
      </c>
      <c r="K963">
        <v>0.45500000000000002</v>
      </c>
      <c r="L963">
        <v>0.317</v>
      </c>
      <c r="M963">
        <v>0.72699999999999998</v>
      </c>
      <c r="N963">
        <v>3.7</v>
      </c>
      <c r="O963">
        <v>7.8E-2</v>
      </c>
      <c r="P963">
        <v>2019</v>
      </c>
      <c r="Q963">
        <v>16.7</v>
      </c>
      <c r="R963">
        <v>5.8</v>
      </c>
      <c r="S963">
        <v>3.4</v>
      </c>
      <c r="T963">
        <v>0.7</v>
      </c>
      <c r="U963">
        <v>1</v>
      </c>
      <c r="V963">
        <v>25</v>
      </c>
      <c r="W963">
        <f>IF(nba_draft[[#This Row],[years_played]]&gt;5,1,0)</f>
        <v>0</v>
      </c>
    </row>
    <row r="964" spans="1:23" x14ac:dyDescent="0.25">
      <c r="A964">
        <v>24</v>
      </c>
      <c r="B964" t="s">
        <v>102</v>
      </c>
      <c r="C964" t="s">
        <v>1735</v>
      </c>
      <c r="D964" t="s">
        <v>232</v>
      </c>
      <c r="E964">
        <v>3</v>
      </c>
      <c r="F964">
        <v>112</v>
      </c>
      <c r="G964">
        <v>1917</v>
      </c>
      <c r="H964">
        <v>795</v>
      </c>
      <c r="I964">
        <v>215</v>
      </c>
      <c r="J964">
        <v>273</v>
      </c>
      <c r="K964">
        <v>0.39800000000000002</v>
      </c>
      <c r="L964">
        <v>0.34399999999999997</v>
      </c>
      <c r="M964">
        <v>0.78400000000000003</v>
      </c>
      <c r="N964">
        <v>2.1</v>
      </c>
      <c r="O964">
        <v>5.1999999999999998E-2</v>
      </c>
      <c r="P964">
        <v>2019</v>
      </c>
      <c r="Q964">
        <v>17.100000000000001</v>
      </c>
      <c r="R964">
        <v>7.1</v>
      </c>
      <c r="S964">
        <v>1.9</v>
      </c>
      <c r="T964">
        <v>2.4</v>
      </c>
      <c r="U964">
        <v>1</v>
      </c>
      <c r="V964">
        <v>24</v>
      </c>
      <c r="W964">
        <f>IF(nba_draft[[#This Row],[years_played]]&gt;5,1,0)</f>
        <v>0</v>
      </c>
    </row>
    <row r="965" spans="1:23" x14ac:dyDescent="0.25">
      <c r="A965">
        <v>34</v>
      </c>
      <c r="B965" t="s">
        <v>102</v>
      </c>
      <c r="C965" t="s">
        <v>1805</v>
      </c>
      <c r="D965" t="s">
        <v>97</v>
      </c>
      <c r="E965">
        <v>2</v>
      </c>
      <c r="F965">
        <v>96</v>
      </c>
      <c r="G965">
        <v>2218</v>
      </c>
      <c r="H965">
        <v>791</v>
      </c>
      <c r="I965">
        <v>262</v>
      </c>
      <c r="J965">
        <v>263</v>
      </c>
      <c r="K965">
        <v>0.35899999999999999</v>
      </c>
      <c r="L965">
        <v>0.317</v>
      </c>
      <c r="M965">
        <v>0.77400000000000002</v>
      </c>
      <c r="N965">
        <v>-0.9</v>
      </c>
      <c r="O965">
        <v>-0.02</v>
      </c>
      <c r="P965">
        <v>2020</v>
      </c>
      <c r="Q965">
        <v>23.1</v>
      </c>
      <c r="R965">
        <v>8.1999999999999993</v>
      </c>
      <c r="S965">
        <v>2.7</v>
      </c>
      <c r="T965">
        <v>2.7</v>
      </c>
      <c r="U965">
        <v>2</v>
      </c>
      <c r="V965">
        <v>4</v>
      </c>
      <c r="W965">
        <f>IF(nba_draft[[#This Row],[years_played]]&gt;5,1,0)</f>
        <v>0</v>
      </c>
    </row>
    <row r="966" spans="1:23" x14ac:dyDescent="0.25">
      <c r="A966">
        <v>9</v>
      </c>
      <c r="B966" t="s">
        <v>109</v>
      </c>
      <c r="C966" t="s">
        <v>1780</v>
      </c>
      <c r="D966" t="s">
        <v>97</v>
      </c>
      <c r="E966">
        <v>2</v>
      </c>
      <c r="F966">
        <v>112</v>
      </c>
      <c r="G966">
        <v>2616</v>
      </c>
      <c r="H966">
        <v>790</v>
      </c>
      <c r="I966">
        <v>557</v>
      </c>
      <c r="J966">
        <v>159</v>
      </c>
      <c r="K966">
        <v>0.43</v>
      </c>
      <c r="L966">
        <v>0.311</v>
      </c>
      <c r="M966">
        <v>0.72599999999999998</v>
      </c>
      <c r="N966">
        <v>3.5</v>
      </c>
      <c r="O966">
        <v>6.4000000000000001E-2</v>
      </c>
      <c r="P966">
        <v>2020</v>
      </c>
      <c r="Q966">
        <v>23.4</v>
      </c>
      <c r="R966">
        <v>7.1</v>
      </c>
      <c r="S966">
        <v>5</v>
      </c>
      <c r="T966">
        <v>1.4</v>
      </c>
      <c r="U966">
        <v>1</v>
      </c>
      <c r="V966">
        <v>9</v>
      </c>
      <c r="W966">
        <f>IF(nba_draft[[#This Row],[years_played]]&gt;5,1,0)</f>
        <v>0</v>
      </c>
    </row>
    <row r="967" spans="1:23" x14ac:dyDescent="0.25">
      <c r="A967">
        <v>60</v>
      </c>
      <c r="B967" t="s">
        <v>90</v>
      </c>
      <c r="C967" t="s">
        <v>1386</v>
      </c>
      <c r="D967" t="s">
        <v>820</v>
      </c>
      <c r="E967">
        <v>4</v>
      </c>
      <c r="F967">
        <v>189</v>
      </c>
      <c r="G967">
        <v>2745</v>
      </c>
      <c r="H967">
        <v>787</v>
      </c>
      <c r="I967">
        <v>593</v>
      </c>
      <c r="J967">
        <v>126</v>
      </c>
      <c r="K967">
        <v>0.436</v>
      </c>
      <c r="L967">
        <v>0</v>
      </c>
      <c r="M967">
        <v>0.67100000000000004</v>
      </c>
      <c r="N967">
        <v>2.4</v>
      </c>
      <c r="O967">
        <v>4.2000000000000003E-2</v>
      </c>
      <c r="P967">
        <v>2012</v>
      </c>
      <c r="Q967">
        <v>14.5</v>
      </c>
      <c r="R967">
        <v>4.2</v>
      </c>
      <c r="S967">
        <v>3.1</v>
      </c>
      <c r="T967">
        <v>0.7</v>
      </c>
      <c r="U967">
        <v>2</v>
      </c>
      <c r="V967">
        <v>30</v>
      </c>
      <c r="W967">
        <f>IF(nba_draft[[#This Row],[years_played]]&gt;5,1,0)</f>
        <v>0</v>
      </c>
    </row>
    <row r="968" spans="1:23" x14ac:dyDescent="0.25">
      <c r="A968">
        <v>32</v>
      </c>
      <c r="B968" t="s">
        <v>102</v>
      </c>
      <c r="C968" t="s">
        <v>1473</v>
      </c>
      <c r="D968" t="s">
        <v>92</v>
      </c>
      <c r="E968">
        <v>3</v>
      </c>
      <c r="F968">
        <v>148</v>
      </c>
      <c r="G968">
        <v>2092</v>
      </c>
      <c r="H968">
        <v>782</v>
      </c>
      <c r="I968">
        <v>324</v>
      </c>
      <c r="J968">
        <v>95</v>
      </c>
      <c r="K968">
        <v>0.41199999999999998</v>
      </c>
      <c r="L968">
        <v>0.28999999999999998</v>
      </c>
      <c r="M968">
        <v>0.77600000000000002</v>
      </c>
      <c r="N968">
        <v>1.3</v>
      </c>
      <c r="O968">
        <v>0.03</v>
      </c>
      <c r="P968">
        <v>2014</v>
      </c>
      <c r="Q968">
        <v>14.1</v>
      </c>
      <c r="R968">
        <v>5.3</v>
      </c>
      <c r="S968">
        <v>2.2000000000000002</v>
      </c>
      <c r="T968">
        <v>0.6</v>
      </c>
      <c r="U968">
        <v>2</v>
      </c>
      <c r="V968">
        <v>2</v>
      </c>
      <c r="W968">
        <f>IF(nba_draft[[#This Row],[years_played]]&gt;5,1,0)</f>
        <v>0</v>
      </c>
    </row>
    <row r="969" spans="1:23" x14ac:dyDescent="0.25">
      <c r="A969">
        <v>40</v>
      </c>
      <c r="B969" t="s">
        <v>22</v>
      </c>
      <c r="C969" t="s">
        <v>1692</v>
      </c>
      <c r="D969" t="s">
        <v>97</v>
      </c>
      <c r="E969">
        <v>3</v>
      </c>
      <c r="F969">
        <v>131</v>
      </c>
      <c r="G969">
        <v>2103</v>
      </c>
      <c r="H969">
        <v>780</v>
      </c>
      <c r="I969">
        <v>406</v>
      </c>
      <c r="J969">
        <v>113</v>
      </c>
      <c r="K969">
        <v>0.44400000000000001</v>
      </c>
      <c r="L969">
        <v>0.32900000000000001</v>
      </c>
      <c r="M969">
        <v>0.73899999999999999</v>
      </c>
      <c r="N969">
        <v>2.2999999999999998</v>
      </c>
      <c r="O969">
        <v>5.1999999999999998E-2</v>
      </c>
      <c r="P969">
        <v>2018</v>
      </c>
      <c r="Q969">
        <v>16.100000000000001</v>
      </c>
      <c r="R969">
        <v>6</v>
      </c>
      <c r="S969">
        <v>3.1</v>
      </c>
      <c r="T969">
        <v>0.9</v>
      </c>
      <c r="U969">
        <v>2</v>
      </c>
      <c r="V969">
        <v>10</v>
      </c>
      <c r="W969">
        <f>IF(nba_draft[[#This Row],[years_played]]&gt;5,1,0)</f>
        <v>0</v>
      </c>
    </row>
    <row r="970" spans="1:23" x14ac:dyDescent="0.25">
      <c r="A970">
        <v>18</v>
      </c>
      <c r="B970" t="s">
        <v>75</v>
      </c>
      <c r="C970" t="s">
        <v>1459</v>
      </c>
      <c r="D970" t="s">
        <v>24</v>
      </c>
      <c r="E970">
        <v>4</v>
      </c>
      <c r="F970">
        <v>186</v>
      </c>
      <c r="G970">
        <v>2336</v>
      </c>
      <c r="H970">
        <v>779</v>
      </c>
      <c r="I970">
        <v>250</v>
      </c>
      <c r="J970">
        <v>359</v>
      </c>
      <c r="K970">
        <v>0.41899999999999998</v>
      </c>
      <c r="L970">
        <v>0.317</v>
      </c>
      <c r="M970">
        <v>0.76800000000000002</v>
      </c>
      <c r="N970">
        <v>1.3</v>
      </c>
      <c r="O970">
        <v>2.5999999999999999E-2</v>
      </c>
      <c r="P970">
        <v>2014</v>
      </c>
      <c r="Q970">
        <v>12.6</v>
      </c>
      <c r="R970">
        <v>4.2</v>
      </c>
      <c r="S970">
        <v>1.3</v>
      </c>
      <c r="T970">
        <v>1.9</v>
      </c>
      <c r="U970">
        <v>1</v>
      </c>
      <c r="V970">
        <v>18</v>
      </c>
      <c r="W970">
        <f>IF(nba_draft[[#This Row],[years_played]]&gt;5,1,0)</f>
        <v>0</v>
      </c>
    </row>
    <row r="971" spans="1:23" x14ac:dyDescent="0.25">
      <c r="A971">
        <v>42</v>
      </c>
      <c r="B971" t="s">
        <v>55</v>
      </c>
      <c r="C971" t="s">
        <v>493</v>
      </c>
      <c r="D971" t="s">
        <v>30</v>
      </c>
      <c r="E971">
        <v>11</v>
      </c>
      <c r="F971">
        <v>203</v>
      </c>
      <c r="G971">
        <v>2684</v>
      </c>
      <c r="H971">
        <v>773</v>
      </c>
      <c r="I971">
        <v>282</v>
      </c>
      <c r="J971">
        <v>415</v>
      </c>
      <c r="K971">
        <v>0.40600000000000003</v>
      </c>
      <c r="L971">
        <v>0.35099999999999998</v>
      </c>
      <c r="M971">
        <v>0.77100000000000002</v>
      </c>
      <c r="N971">
        <v>2.2999999999999998</v>
      </c>
      <c r="O971">
        <v>4.1000000000000002E-2</v>
      </c>
      <c r="P971">
        <v>1996</v>
      </c>
      <c r="Q971">
        <v>13.2</v>
      </c>
      <c r="R971">
        <v>3.8</v>
      </c>
      <c r="S971">
        <v>1.4</v>
      </c>
      <c r="T971">
        <v>2</v>
      </c>
      <c r="U971">
        <v>2</v>
      </c>
      <c r="V971">
        <v>13</v>
      </c>
      <c r="W971">
        <f>IF(nba_draft[[#This Row],[years_played]]&gt;5,1,0)</f>
        <v>1</v>
      </c>
    </row>
    <row r="972" spans="1:23" x14ac:dyDescent="0.25">
      <c r="A972">
        <v>41</v>
      </c>
      <c r="B972" t="s">
        <v>31</v>
      </c>
      <c r="C972" t="s">
        <v>1693</v>
      </c>
      <c r="D972" t="s">
        <v>282</v>
      </c>
      <c r="E972">
        <v>4</v>
      </c>
      <c r="F972">
        <v>146</v>
      </c>
      <c r="G972">
        <v>2659</v>
      </c>
      <c r="H972">
        <v>767</v>
      </c>
      <c r="I972">
        <v>877</v>
      </c>
      <c r="J972">
        <v>155</v>
      </c>
      <c r="K972">
        <v>0.59599999999999997</v>
      </c>
      <c r="L972">
        <v>0.16700000000000001</v>
      </c>
      <c r="M972">
        <v>0.60899999999999999</v>
      </c>
      <c r="N972">
        <v>8</v>
      </c>
      <c r="O972">
        <v>0.14499999999999999</v>
      </c>
      <c r="P972">
        <v>2018</v>
      </c>
      <c r="Q972">
        <v>18.2</v>
      </c>
      <c r="R972">
        <v>5.3</v>
      </c>
      <c r="S972">
        <v>6</v>
      </c>
      <c r="T972">
        <v>1.1000000000000001</v>
      </c>
      <c r="U972">
        <v>2</v>
      </c>
      <c r="V972">
        <v>11</v>
      </c>
      <c r="W972">
        <f>IF(nba_draft[[#This Row],[years_played]]&gt;5,1,0)</f>
        <v>0</v>
      </c>
    </row>
    <row r="973" spans="1:23" x14ac:dyDescent="0.25">
      <c r="A973">
        <v>49</v>
      </c>
      <c r="B973" t="s">
        <v>82</v>
      </c>
      <c r="C973" t="s">
        <v>209</v>
      </c>
      <c r="D973" t="s">
        <v>210</v>
      </c>
      <c r="E973">
        <v>3</v>
      </c>
      <c r="F973">
        <v>168</v>
      </c>
      <c r="G973">
        <v>1946</v>
      </c>
      <c r="H973">
        <v>761</v>
      </c>
      <c r="I973">
        <v>153</v>
      </c>
      <c r="J973">
        <v>284</v>
      </c>
      <c r="K973">
        <v>0.39600000000000002</v>
      </c>
      <c r="L973">
        <v>0.36099999999999999</v>
      </c>
      <c r="M973">
        <v>0.74299999999999999</v>
      </c>
      <c r="N973">
        <v>1</v>
      </c>
      <c r="O973">
        <v>2.4E-2</v>
      </c>
      <c r="P973">
        <v>1991</v>
      </c>
      <c r="Q973">
        <v>11.6</v>
      </c>
      <c r="R973">
        <v>4.5</v>
      </c>
      <c r="S973">
        <v>0.9</v>
      </c>
      <c r="T973">
        <v>1.7</v>
      </c>
      <c r="U973">
        <v>2</v>
      </c>
      <c r="V973">
        <v>22</v>
      </c>
      <c r="W973">
        <f>IF(nba_draft[[#This Row],[years_played]]&gt;5,1,0)</f>
        <v>0</v>
      </c>
    </row>
    <row r="974" spans="1:23" x14ac:dyDescent="0.25">
      <c r="A974">
        <v>43</v>
      </c>
      <c r="B974" t="s">
        <v>37</v>
      </c>
      <c r="C974" t="s">
        <v>1755</v>
      </c>
      <c r="D974" t="s">
        <v>325</v>
      </c>
      <c r="E974">
        <v>3</v>
      </c>
      <c r="F974">
        <v>99</v>
      </c>
      <c r="G974">
        <v>1523</v>
      </c>
      <c r="H974">
        <v>761</v>
      </c>
      <c r="I974">
        <v>190</v>
      </c>
      <c r="J974">
        <v>168</v>
      </c>
      <c r="K974">
        <v>0.436</v>
      </c>
      <c r="L974">
        <v>0.32600000000000001</v>
      </c>
      <c r="M974">
        <v>0.80300000000000005</v>
      </c>
      <c r="N974">
        <v>2.7</v>
      </c>
      <c r="O974">
        <v>8.4000000000000005E-2</v>
      </c>
      <c r="P974">
        <v>2019</v>
      </c>
      <c r="Q974">
        <v>15.4</v>
      </c>
      <c r="R974">
        <v>7.7</v>
      </c>
      <c r="S974">
        <v>1.9</v>
      </c>
      <c r="T974">
        <v>1.7</v>
      </c>
      <c r="U974">
        <v>2</v>
      </c>
      <c r="V974">
        <v>13</v>
      </c>
      <c r="W974">
        <f>IF(nba_draft[[#This Row],[years_played]]&gt;5,1,0)</f>
        <v>0</v>
      </c>
    </row>
    <row r="975" spans="1:23" x14ac:dyDescent="0.25">
      <c r="A975">
        <v>27</v>
      </c>
      <c r="B975" t="s">
        <v>31</v>
      </c>
      <c r="C975" t="s">
        <v>366</v>
      </c>
      <c r="D975" t="s">
        <v>206</v>
      </c>
      <c r="E975">
        <v>4</v>
      </c>
      <c r="F975">
        <v>168</v>
      </c>
      <c r="G975">
        <v>1714</v>
      </c>
      <c r="H975">
        <v>760</v>
      </c>
      <c r="I975">
        <v>158</v>
      </c>
      <c r="J975">
        <v>281</v>
      </c>
      <c r="K975">
        <v>0.40899999999999997</v>
      </c>
      <c r="L975">
        <v>0.376</v>
      </c>
      <c r="M975">
        <v>0.64700000000000002</v>
      </c>
      <c r="N975">
        <v>2</v>
      </c>
      <c r="O975">
        <v>5.7000000000000002E-2</v>
      </c>
      <c r="P975">
        <v>1994</v>
      </c>
      <c r="Q975">
        <v>10.199999999999999</v>
      </c>
      <c r="R975">
        <v>4.5</v>
      </c>
      <c r="S975">
        <v>0.9</v>
      </c>
      <c r="T975">
        <v>1.7</v>
      </c>
      <c r="U975">
        <v>1</v>
      </c>
      <c r="V975">
        <v>27</v>
      </c>
      <c r="W975">
        <f>IF(nba_draft[[#This Row],[years_played]]&gt;5,1,0)</f>
        <v>0</v>
      </c>
    </row>
    <row r="976" spans="1:23" x14ac:dyDescent="0.25">
      <c r="A976">
        <v>38</v>
      </c>
      <c r="B976" t="s">
        <v>63</v>
      </c>
      <c r="C976" t="s">
        <v>1577</v>
      </c>
      <c r="D976" t="s">
        <v>142</v>
      </c>
      <c r="E976">
        <v>5</v>
      </c>
      <c r="F976">
        <v>199</v>
      </c>
      <c r="G976">
        <v>3373</v>
      </c>
      <c r="H976">
        <v>760</v>
      </c>
      <c r="I976">
        <v>319</v>
      </c>
      <c r="J976">
        <v>270</v>
      </c>
      <c r="K976">
        <v>0.42</v>
      </c>
      <c r="L976">
        <v>0.30499999999999999</v>
      </c>
      <c r="M976">
        <v>0.78500000000000003</v>
      </c>
      <c r="N976">
        <v>4.4000000000000004</v>
      </c>
      <c r="O976">
        <v>6.2E-2</v>
      </c>
      <c r="P976">
        <v>2016</v>
      </c>
      <c r="Q976">
        <v>16.899999999999999</v>
      </c>
      <c r="R976">
        <v>3.8</v>
      </c>
      <c r="S976">
        <v>1.6</v>
      </c>
      <c r="T976">
        <v>1.4</v>
      </c>
      <c r="U976">
        <v>2</v>
      </c>
      <c r="V976">
        <v>8</v>
      </c>
      <c r="W976">
        <f>IF(nba_draft[[#This Row],[years_played]]&gt;5,1,0)</f>
        <v>0</v>
      </c>
    </row>
    <row r="977" spans="1:23" x14ac:dyDescent="0.25">
      <c r="A977">
        <v>48</v>
      </c>
      <c r="B977" t="s">
        <v>37</v>
      </c>
      <c r="C977" t="s">
        <v>1698</v>
      </c>
      <c r="D977" t="s">
        <v>216</v>
      </c>
      <c r="E977">
        <v>4</v>
      </c>
      <c r="F977">
        <v>149</v>
      </c>
      <c r="G977">
        <v>2224</v>
      </c>
      <c r="H977">
        <v>757</v>
      </c>
      <c r="I977">
        <v>434</v>
      </c>
      <c r="J977">
        <v>86</v>
      </c>
      <c r="K977">
        <v>0.45100000000000001</v>
      </c>
      <c r="L977">
        <v>0.308</v>
      </c>
      <c r="M977">
        <v>0.69599999999999995</v>
      </c>
      <c r="N977">
        <v>3.1</v>
      </c>
      <c r="O977">
        <v>6.6000000000000003E-2</v>
      </c>
      <c r="P977">
        <v>2018</v>
      </c>
      <c r="Q977">
        <v>14.9</v>
      </c>
      <c r="R977">
        <v>5.0999999999999996</v>
      </c>
      <c r="S977">
        <v>2.9</v>
      </c>
      <c r="T977">
        <v>0.6</v>
      </c>
      <c r="U977">
        <v>2</v>
      </c>
      <c r="V977">
        <v>18</v>
      </c>
      <c r="W977">
        <f>IF(nba_draft[[#This Row],[years_played]]&gt;5,1,0)</f>
        <v>0</v>
      </c>
    </row>
    <row r="978" spans="1:23" x14ac:dyDescent="0.25">
      <c r="A978">
        <v>33</v>
      </c>
      <c r="B978" t="s">
        <v>102</v>
      </c>
      <c r="C978" t="s">
        <v>370</v>
      </c>
      <c r="D978" t="s">
        <v>371</v>
      </c>
      <c r="E978">
        <v>3</v>
      </c>
      <c r="F978">
        <v>139</v>
      </c>
      <c r="G978">
        <v>2657</v>
      </c>
      <c r="H978">
        <v>751</v>
      </c>
      <c r="I978">
        <v>525</v>
      </c>
      <c r="J978">
        <v>94</v>
      </c>
      <c r="K978">
        <v>0.48899999999999999</v>
      </c>
      <c r="L978">
        <v>0.14299999999999999</v>
      </c>
      <c r="M978">
        <v>0.48699999999999999</v>
      </c>
      <c r="N978">
        <v>2.6</v>
      </c>
      <c r="O978">
        <v>4.7E-2</v>
      </c>
      <c r="P978">
        <v>1994</v>
      </c>
      <c r="Q978">
        <v>19.100000000000001</v>
      </c>
      <c r="R978">
        <v>5.4</v>
      </c>
      <c r="S978">
        <v>3.8</v>
      </c>
      <c r="T978">
        <v>0.7</v>
      </c>
      <c r="U978">
        <v>2</v>
      </c>
      <c r="V978">
        <v>6</v>
      </c>
      <c r="W978">
        <f>IF(nba_draft[[#This Row],[years_played]]&gt;5,1,0)</f>
        <v>0</v>
      </c>
    </row>
    <row r="979" spans="1:23" x14ac:dyDescent="0.25">
      <c r="A979">
        <v>16</v>
      </c>
      <c r="B979" t="s">
        <v>31</v>
      </c>
      <c r="C979" t="s">
        <v>1727</v>
      </c>
      <c r="D979" t="s">
        <v>362</v>
      </c>
      <c r="E979">
        <v>2</v>
      </c>
      <c r="F979">
        <v>94</v>
      </c>
      <c r="G979">
        <v>2303</v>
      </c>
      <c r="H979">
        <v>751</v>
      </c>
      <c r="I979">
        <v>409</v>
      </c>
      <c r="J979">
        <v>177</v>
      </c>
      <c r="K979">
        <v>0.39700000000000002</v>
      </c>
      <c r="L979">
        <v>0.32300000000000001</v>
      </c>
      <c r="M979">
        <v>0.79500000000000004</v>
      </c>
      <c r="N979">
        <v>2.6</v>
      </c>
      <c r="O979">
        <v>5.5E-2</v>
      </c>
      <c r="P979">
        <v>2019</v>
      </c>
      <c r="Q979">
        <v>24.5</v>
      </c>
      <c r="R979">
        <v>8</v>
      </c>
      <c r="S979">
        <v>4.4000000000000004</v>
      </c>
      <c r="T979">
        <v>1.9</v>
      </c>
      <c r="U979">
        <v>1</v>
      </c>
      <c r="V979">
        <v>16</v>
      </c>
      <c r="W979">
        <f>IF(nba_draft[[#This Row],[years_played]]&gt;5,1,0)</f>
        <v>0</v>
      </c>
    </row>
    <row r="980" spans="1:23" x14ac:dyDescent="0.25">
      <c r="A980">
        <v>28</v>
      </c>
      <c r="B980" t="s">
        <v>90</v>
      </c>
      <c r="C980" t="s">
        <v>1623</v>
      </c>
      <c r="D980" t="s">
        <v>179</v>
      </c>
      <c r="E980">
        <v>5</v>
      </c>
      <c r="F980">
        <v>157</v>
      </c>
      <c r="G980">
        <v>1912</v>
      </c>
      <c r="H980">
        <v>748</v>
      </c>
      <c r="I980">
        <v>699</v>
      </c>
      <c r="J980">
        <v>84</v>
      </c>
      <c r="K980">
        <v>0.63500000000000001</v>
      </c>
      <c r="L980">
        <v>0.42899999999999999</v>
      </c>
      <c r="M980">
        <v>0.67500000000000004</v>
      </c>
      <c r="N980">
        <v>7.3</v>
      </c>
      <c r="O980">
        <v>0.184</v>
      </c>
      <c r="P980">
        <v>2017</v>
      </c>
      <c r="Q980">
        <v>12.2</v>
      </c>
      <c r="R980">
        <v>4.8</v>
      </c>
      <c r="S980">
        <v>4.5</v>
      </c>
      <c r="T980">
        <v>0.5</v>
      </c>
      <c r="U980">
        <v>1</v>
      </c>
      <c r="V980">
        <v>28</v>
      </c>
      <c r="W980">
        <f>IF(nba_draft[[#This Row],[years_played]]&gt;5,1,0)</f>
        <v>0</v>
      </c>
    </row>
    <row r="981" spans="1:23" x14ac:dyDescent="0.25">
      <c r="A981">
        <v>36</v>
      </c>
      <c r="B981" t="s">
        <v>393</v>
      </c>
      <c r="C981" t="s">
        <v>429</v>
      </c>
      <c r="D981" t="s">
        <v>24</v>
      </c>
      <c r="E981">
        <v>3</v>
      </c>
      <c r="F981">
        <v>119</v>
      </c>
      <c r="G981">
        <v>1814</v>
      </c>
      <c r="H981">
        <v>747</v>
      </c>
      <c r="I981">
        <v>181</v>
      </c>
      <c r="J981">
        <v>182</v>
      </c>
      <c r="K981">
        <v>0.40799999999999997</v>
      </c>
      <c r="L981">
        <v>0.29899999999999999</v>
      </c>
      <c r="M981">
        <v>0.65200000000000002</v>
      </c>
      <c r="N981">
        <v>0</v>
      </c>
      <c r="O981">
        <v>1E-3</v>
      </c>
      <c r="P981">
        <v>1995</v>
      </c>
      <c r="Q981">
        <v>15.2</v>
      </c>
      <c r="R981">
        <v>6.3</v>
      </c>
      <c r="S981">
        <v>1.5</v>
      </c>
      <c r="T981">
        <v>1.5</v>
      </c>
      <c r="U981">
        <v>2</v>
      </c>
      <c r="V981">
        <v>7</v>
      </c>
      <c r="W981">
        <f>IF(nba_draft[[#This Row],[years_played]]&gt;5,1,0)</f>
        <v>0</v>
      </c>
    </row>
    <row r="982" spans="1:23" x14ac:dyDescent="0.25">
      <c r="A982">
        <v>43</v>
      </c>
      <c r="B982" t="s">
        <v>55</v>
      </c>
      <c r="C982" t="s">
        <v>1638</v>
      </c>
      <c r="D982" t="s">
        <v>97</v>
      </c>
      <c r="E982">
        <v>4</v>
      </c>
      <c r="F982">
        <v>144</v>
      </c>
      <c r="G982">
        <v>1804</v>
      </c>
      <c r="H982">
        <v>744</v>
      </c>
      <c r="I982">
        <v>525</v>
      </c>
      <c r="J982">
        <v>175</v>
      </c>
      <c r="K982">
        <v>0.59099999999999997</v>
      </c>
      <c r="L982">
        <v>0.308</v>
      </c>
      <c r="M982">
        <v>0.67</v>
      </c>
      <c r="N982">
        <v>6.3</v>
      </c>
      <c r="O982">
        <v>0.16700000000000001</v>
      </c>
      <c r="P982">
        <v>2017</v>
      </c>
      <c r="Q982">
        <v>12.5</v>
      </c>
      <c r="R982">
        <v>5.2</v>
      </c>
      <c r="S982">
        <v>3.6</v>
      </c>
      <c r="T982">
        <v>1.2</v>
      </c>
      <c r="U982">
        <v>2</v>
      </c>
      <c r="V982">
        <v>13</v>
      </c>
      <c r="W982">
        <f>IF(nba_draft[[#This Row],[years_played]]&gt;5,1,0)</f>
        <v>0</v>
      </c>
    </row>
    <row r="983" spans="1:23" x14ac:dyDescent="0.25">
      <c r="A983">
        <v>3</v>
      </c>
      <c r="B983" t="s">
        <v>138</v>
      </c>
      <c r="C983" t="s">
        <v>1834</v>
      </c>
      <c r="D983" t="s">
        <v>230</v>
      </c>
      <c r="E983">
        <v>1</v>
      </c>
      <c r="F983">
        <v>50</v>
      </c>
      <c r="G983">
        <v>1703</v>
      </c>
      <c r="H983">
        <v>743</v>
      </c>
      <c r="I983">
        <v>403</v>
      </c>
      <c r="J983">
        <v>128</v>
      </c>
      <c r="K983">
        <v>0.503</v>
      </c>
      <c r="L983">
        <v>0.26500000000000001</v>
      </c>
      <c r="M983">
        <v>0.67200000000000004</v>
      </c>
      <c r="N983">
        <v>4.2</v>
      </c>
      <c r="O983">
        <v>0.11700000000000001</v>
      </c>
      <c r="P983">
        <v>2021</v>
      </c>
      <c r="Q983">
        <v>34.1</v>
      </c>
      <c r="R983">
        <v>14.9</v>
      </c>
      <c r="S983">
        <v>8.1</v>
      </c>
      <c r="T983">
        <v>2.6</v>
      </c>
      <c r="U983">
        <v>1</v>
      </c>
      <c r="V983">
        <v>3</v>
      </c>
      <c r="W983">
        <f>IF(nba_draft[[#This Row],[years_played]]&gt;5,1,0)</f>
        <v>0</v>
      </c>
    </row>
    <row r="984" spans="1:23" x14ac:dyDescent="0.25">
      <c r="A984">
        <v>29</v>
      </c>
      <c r="B984" t="s">
        <v>65</v>
      </c>
      <c r="C984" t="s">
        <v>1032</v>
      </c>
      <c r="D984" t="s">
        <v>69</v>
      </c>
      <c r="E984">
        <v>4</v>
      </c>
      <c r="F984">
        <v>189</v>
      </c>
      <c r="G984">
        <v>2771</v>
      </c>
      <c r="H984">
        <v>742</v>
      </c>
      <c r="I984">
        <v>336</v>
      </c>
      <c r="J984">
        <v>327</v>
      </c>
      <c r="K984">
        <v>0.38</v>
      </c>
      <c r="L984">
        <v>0.29899999999999999</v>
      </c>
      <c r="M984">
        <v>0.59899999999999998</v>
      </c>
      <c r="N984">
        <v>-1.6</v>
      </c>
      <c r="O984">
        <v>-2.7E-2</v>
      </c>
      <c r="P984">
        <v>2006</v>
      </c>
      <c r="Q984">
        <v>14.7</v>
      </c>
      <c r="R984">
        <v>3.9</v>
      </c>
      <c r="S984">
        <v>1.8</v>
      </c>
      <c r="T984">
        <v>1.7</v>
      </c>
      <c r="U984">
        <v>1</v>
      </c>
      <c r="V984">
        <v>29</v>
      </c>
      <c r="W984">
        <f>IF(nba_draft[[#This Row],[years_played]]&gt;5,1,0)</f>
        <v>0</v>
      </c>
    </row>
    <row r="985" spans="1:23" x14ac:dyDescent="0.25">
      <c r="A985">
        <v>26</v>
      </c>
      <c r="B985" t="s">
        <v>70</v>
      </c>
      <c r="C985" t="s">
        <v>1797</v>
      </c>
      <c r="D985" t="s">
        <v>158</v>
      </c>
      <c r="E985">
        <v>2</v>
      </c>
      <c r="F985">
        <v>115</v>
      </c>
      <c r="G985">
        <v>1871</v>
      </c>
      <c r="H985">
        <v>740</v>
      </c>
      <c r="I985">
        <v>235</v>
      </c>
      <c r="J985">
        <v>205</v>
      </c>
      <c r="K985">
        <v>0.41899999999999998</v>
      </c>
      <c r="L985">
        <v>0.39400000000000002</v>
      </c>
      <c r="M985">
        <v>0.91500000000000004</v>
      </c>
      <c r="N985">
        <v>3.4</v>
      </c>
      <c r="O985">
        <v>8.7999999999999995E-2</v>
      </c>
      <c r="P985">
        <v>2020</v>
      </c>
      <c r="Q985">
        <v>16.3</v>
      </c>
      <c r="R985">
        <v>6.4</v>
      </c>
      <c r="S985">
        <v>2</v>
      </c>
      <c r="T985">
        <v>1.8</v>
      </c>
      <c r="U985">
        <v>1</v>
      </c>
      <c r="V985">
        <v>26</v>
      </c>
      <c r="W985">
        <f>IF(nba_draft[[#This Row],[years_played]]&gt;5,1,0)</f>
        <v>0</v>
      </c>
    </row>
    <row r="986" spans="1:23" x14ac:dyDescent="0.25">
      <c r="A986">
        <v>44</v>
      </c>
      <c r="B986" t="s">
        <v>63</v>
      </c>
      <c r="C986" t="s">
        <v>125</v>
      </c>
      <c r="D986" t="s">
        <v>126</v>
      </c>
      <c r="E986">
        <v>7</v>
      </c>
      <c r="F986">
        <v>238</v>
      </c>
      <c r="G986">
        <v>2282</v>
      </c>
      <c r="H986">
        <v>739</v>
      </c>
      <c r="I986">
        <v>176</v>
      </c>
      <c r="J986">
        <v>465</v>
      </c>
      <c r="K986">
        <v>0.40300000000000002</v>
      </c>
      <c r="L986">
        <v>0.432</v>
      </c>
      <c r="M986">
        <v>0.86899999999999999</v>
      </c>
      <c r="N986">
        <v>3.8</v>
      </c>
      <c r="O986">
        <v>7.9000000000000001E-2</v>
      </c>
      <c r="P986">
        <v>1990</v>
      </c>
      <c r="Q986">
        <v>9.6</v>
      </c>
      <c r="R986">
        <v>3.1</v>
      </c>
      <c r="S986">
        <v>0.7</v>
      </c>
      <c r="T986">
        <v>2</v>
      </c>
      <c r="U986">
        <v>2</v>
      </c>
      <c r="V986">
        <v>17</v>
      </c>
      <c r="W986">
        <f>IF(nba_draft[[#This Row],[years_played]]&gt;5,1,0)</f>
        <v>1</v>
      </c>
    </row>
    <row r="987" spans="1:23" x14ac:dyDescent="0.25">
      <c r="A987">
        <v>22</v>
      </c>
      <c r="B987" t="s">
        <v>22</v>
      </c>
      <c r="C987" t="s">
        <v>78</v>
      </c>
      <c r="D987" t="s">
        <v>79</v>
      </c>
      <c r="E987">
        <v>4</v>
      </c>
      <c r="F987">
        <v>177</v>
      </c>
      <c r="G987">
        <v>2019</v>
      </c>
      <c r="H987">
        <v>736</v>
      </c>
      <c r="I987">
        <v>180</v>
      </c>
      <c r="J987">
        <v>325</v>
      </c>
      <c r="K987">
        <v>0.41399999999999998</v>
      </c>
      <c r="L987">
        <v>7.0999999999999994E-2</v>
      </c>
      <c r="M987">
        <v>0.82</v>
      </c>
      <c r="N987">
        <v>1.3</v>
      </c>
      <c r="O987">
        <v>3.2000000000000001E-2</v>
      </c>
      <c r="P987">
        <v>1990</v>
      </c>
      <c r="Q987">
        <v>11.4</v>
      </c>
      <c r="R987">
        <v>4.2</v>
      </c>
      <c r="S987">
        <v>1</v>
      </c>
      <c r="T987">
        <v>1.8</v>
      </c>
      <c r="U987">
        <v>1</v>
      </c>
      <c r="V987">
        <v>22</v>
      </c>
      <c r="W987">
        <f>IF(nba_draft[[#This Row],[years_played]]&gt;5,1,0)</f>
        <v>0</v>
      </c>
    </row>
    <row r="988" spans="1:23" x14ac:dyDescent="0.25">
      <c r="A988">
        <v>24</v>
      </c>
      <c r="B988" t="s">
        <v>104</v>
      </c>
      <c r="C988" t="s">
        <v>765</v>
      </c>
      <c r="D988" t="s">
        <v>97</v>
      </c>
      <c r="E988">
        <v>2</v>
      </c>
      <c r="F988">
        <v>113</v>
      </c>
      <c r="G988">
        <v>2135</v>
      </c>
      <c r="H988">
        <v>733</v>
      </c>
      <c r="I988">
        <v>194</v>
      </c>
      <c r="J988">
        <v>428</v>
      </c>
      <c r="K988">
        <v>0.42899999999999999</v>
      </c>
      <c r="L988">
        <v>0.34599999999999997</v>
      </c>
      <c r="M988">
        <v>0.85299999999999998</v>
      </c>
      <c r="N988">
        <v>2.1</v>
      </c>
      <c r="O988">
        <v>4.7E-2</v>
      </c>
      <c r="P988">
        <v>2001</v>
      </c>
      <c r="Q988">
        <v>18.899999999999999</v>
      </c>
      <c r="R988">
        <v>6.5</v>
      </c>
      <c r="S988">
        <v>1.7</v>
      </c>
      <c r="T988">
        <v>3.8</v>
      </c>
      <c r="U988">
        <v>1</v>
      </c>
      <c r="V988">
        <v>24</v>
      </c>
      <c r="W988">
        <f>IF(nba_draft[[#This Row],[years_played]]&gt;5,1,0)</f>
        <v>0</v>
      </c>
    </row>
    <row r="989" spans="1:23" x14ac:dyDescent="0.25">
      <c r="A989">
        <v>26</v>
      </c>
      <c r="B989" t="s">
        <v>46</v>
      </c>
      <c r="C989" t="s">
        <v>536</v>
      </c>
      <c r="D989" t="s">
        <v>153</v>
      </c>
      <c r="E989">
        <v>5</v>
      </c>
      <c r="F989">
        <v>142</v>
      </c>
      <c r="G989">
        <v>1973</v>
      </c>
      <c r="H989">
        <v>729</v>
      </c>
      <c r="I989">
        <v>200</v>
      </c>
      <c r="J989">
        <v>124</v>
      </c>
      <c r="K989">
        <v>0.40899999999999997</v>
      </c>
      <c r="L989">
        <v>0.28799999999999998</v>
      </c>
      <c r="M989">
        <v>0.60599999999999998</v>
      </c>
      <c r="N989">
        <v>1.5</v>
      </c>
      <c r="O989">
        <v>3.5999999999999997E-2</v>
      </c>
      <c r="P989">
        <v>1997</v>
      </c>
      <c r="Q989">
        <v>13.9</v>
      </c>
      <c r="R989">
        <v>5.0999999999999996</v>
      </c>
      <c r="S989">
        <v>1.4</v>
      </c>
      <c r="T989">
        <v>0.9</v>
      </c>
      <c r="U989">
        <v>1</v>
      </c>
      <c r="V989">
        <v>26</v>
      </c>
      <c r="W989">
        <f>IF(nba_draft[[#This Row],[years_played]]&gt;5,1,0)</f>
        <v>0</v>
      </c>
    </row>
    <row r="990" spans="1:23" x14ac:dyDescent="0.25">
      <c r="A990">
        <v>11</v>
      </c>
      <c r="B990" t="s">
        <v>49</v>
      </c>
      <c r="C990" t="s">
        <v>1066</v>
      </c>
      <c r="D990" t="s">
        <v>960</v>
      </c>
      <c r="E990">
        <v>4</v>
      </c>
      <c r="F990">
        <v>188</v>
      </c>
      <c r="G990">
        <v>2385</v>
      </c>
      <c r="H990">
        <v>725</v>
      </c>
      <c r="I990">
        <v>195</v>
      </c>
      <c r="J990">
        <v>309</v>
      </c>
      <c r="K990">
        <v>0.41299999999999998</v>
      </c>
      <c r="L990">
        <v>0.23499999999999999</v>
      </c>
      <c r="M990">
        <v>0.77800000000000002</v>
      </c>
      <c r="N990">
        <v>1.6</v>
      </c>
      <c r="O990">
        <v>3.2000000000000001E-2</v>
      </c>
      <c r="P990">
        <v>2007</v>
      </c>
      <c r="Q990">
        <v>12.7</v>
      </c>
      <c r="R990">
        <v>3.9</v>
      </c>
      <c r="S990">
        <v>1</v>
      </c>
      <c r="T990">
        <v>1.6</v>
      </c>
      <c r="U990">
        <v>1</v>
      </c>
      <c r="V990">
        <v>11</v>
      </c>
      <c r="W990">
        <f>IF(nba_draft[[#This Row],[years_played]]&gt;5,1,0)</f>
        <v>0</v>
      </c>
    </row>
    <row r="991" spans="1:23" x14ac:dyDescent="0.25">
      <c r="A991">
        <v>17</v>
      </c>
      <c r="B991" t="s">
        <v>65</v>
      </c>
      <c r="C991" t="s">
        <v>66</v>
      </c>
      <c r="D991" t="s">
        <v>67</v>
      </c>
      <c r="E991">
        <v>4</v>
      </c>
      <c r="F991">
        <v>179</v>
      </c>
      <c r="G991">
        <v>1902</v>
      </c>
      <c r="H991">
        <v>721</v>
      </c>
      <c r="I991">
        <v>452</v>
      </c>
      <c r="J991">
        <v>99</v>
      </c>
      <c r="K991">
        <v>0.44900000000000001</v>
      </c>
      <c r="L991">
        <v>0</v>
      </c>
      <c r="M991">
        <v>0.64800000000000002</v>
      </c>
      <c r="N991">
        <v>1.7</v>
      </c>
      <c r="O991">
        <v>4.2999999999999997E-2</v>
      </c>
      <c r="P991">
        <v>1990</v>
      </c>
      <c r="Q991">
        <v>10.6</v>
      </c>
      <c r="R991">
        <v>4</v>
      </c>
      <c r="S991">
        <v>2.5</v>
      </c>
      <c r="T991">
        <v>0.6</v>
      </c>
      <c r="U991">
        <v>1</v>
      </c>
      <c r="V991">
        <v>17</v>
      </c>
      <c r="W991">
        <f>IF(nba_draft[[#This Row],[years_played]]&gt;5,1,0)</f>
        <v>0</v>
      </c>
    </row>
    <row r="992" spans="1:23" x14ac:dyDescent="0.25">
      <c r="A992">
        <v>46</v>
      </c>
      <c r="B992" t="s">
        <v>31</v>
      </c>
      <c r="C992" t="s">
        <v>557</v>
      </c>
      <c r="D992" t="s">
        <v>228</v>
      </c>
      <c r="E992">
        <v>2</v>
      </c>
      <c r="F992">
        <v>104</v>
      </c>
      <c r="G992">
        <v>2300</v>
      </c>
      <c r="H992">
        <v>716</v>
      </c>
      <c r="I992">
        <v>216</v>
      </c>
      <c r="J992">
        <v>108</v>
      </c>
      <c r="K992">
        <v>0.40200000000000002</v>
      </c>
      <c r="L992">
        <v>0.34599999999999997</v>
      </c>
      <c r="M992">
        <v>0.75700000000000001</v>
      </c>
      <c r="N992">
        <v>0.1</v>
      </c>
      <c r="O992">
        <v>2E-3</v>
      </c>
      <c r="P992">
        <v>1997</v>
      </c>
      <c r="Q992">
        <v>22.1</v>
      </c>
      <c r="R992">
        <v>6.9</v>
      </c>
      <c r="S992">
        <v>2.1</v>
      </c>
      <c r="T992">
        <v>1</v>
      </c>
      <c r="U992">
        <v>2</v>
      </c>
      <c r="V992">
        <v>18</v>
      </c>
      <c r="W992">
        <f>IF(nba_draft[[#This Row],[years_played]]&gt;5,1,0)</f>
        <v>0</v>
      </c>
    </row>
    <row r="993" spans="1:23" x14ac:dyDescent="0.25">
      <c r="A993">
        <v>32</v>
      </c>
      <c r="B993" t="s">
        <v>95</v>
      </c>
      <c r="C993" t="s">
        <v>663</v>
      </c>
      <c r="D993" t="s">
        <v>664</v>
      </c>
      <c r="E993">
        <v>9</v>
      </c>
      <c r="F993">
        <v>414</v>
      </c>
      <c r="G993">
        <v>5966</v>
      </c>
      <c r="H993">
        <v>716</v>
      </c>
      <c r="I993">
        <v>1632</v>
      </c>
      <c r="J993">
        <v>250</v>
      </c>
      <c r="K993">
        <v>0.40699999999999997</v>
      </c>
      <c r="L993">
        <v>0</v>
      </c>
      <c r="M993">
        <v>0.45900000000000002</v>
      </c>
      <c r="N993">
        <v>6.8</v>
      </c>
      <c r="O993">
        <v>5.5E-2</v>
      </c>
      <c r="P993">
        <v>1999</v>
      </c>
      <c r="Q993">
        <v>14.4</v>
      </c>
      <c r="R993">
        <v>1.7</v>
      </c>
      <c r="S993">
        <v>3.9</v>
      </c>
      <c r="T993">
        <v>0.6</v>
      </c>
      <c r="U993">
        <v>2</v>
      </c>
      <c r="V993">
        <v>3</v>
      </c>
      <c r="W993">
        <f>IF(nba_draft[[#This Row],[years_played]]&gt;5,1,0)</f>
        <v>1</v>
      </c>
    </row>
    <row r="994" spans="1:23" x14ac:dyDescent="0.25">
      <c r="A994">
        <v>40</v>
      </c>
      <c r="B994" t="s">
        <v>49</v>
      </c>
      <c r="C994" t="s">
        <v>726</v>
      </c>
      <c r="D994" t="s">
        <v>328</v>
      </c>
      <c r="E994">
        <v>2</v>
      </c>
      <c r="F994">
        <v>155</v>
      </c>
      <c r="G994">
        <v>2360</v>
      </c>
      <c r="H994">
        <v>715</v>
      </c>
      <c r="I994">
        <v>442</v>
      </c>
      <c r="J994">
        <v>75</v>
      </c>
      <c r="K994">
        <v>0.442</v>
      </c>
      <c r="L994">
        <v>6.3E-2</v>
      </c>
      <c r="M994">
        <v>0.78300000000000003</v>
      </c>
      <c r="N994">
        <v>0.9</v>
      </c>
      <c r="O994">
        <v>1.9E-2</v>
      </c>
      <c r="P994">
        <v>2000</v>
      </c>
      <c r="Q994">
        <v>15.2</v>
      </c>
      <c r="R994">
        <v>4.5999999999999996</v>
      </c>
      <c r="S994">
        <v>2.9</v>
      </c>
      <c r="T994">
        <v>0.5</v>
      </c>
      <c r="U994">
        <v>2</v>
      </c>
      <c r="V994">
        <v>11</v>
      </c>
      <c r="W994">
        <f>IF(nba_draft[[#This Row],[years_played]]&gt;5,1,0)</f>
        <v>0</v>
      </c>
    </row>
    <row r="995" spans="1:23" x14ac:dyDescent="0.25">
      <c r="A995">
        <v>2</v>
      </c>
      <c r="B995" t="s">
        <v>95</v>
      </c>
      <c r="C995" t="s">
        <v>792</v>
      </c>
      <c r="D995" t="s">
        <v>87</v>
      </c>
      <c r="E995">
        <v>1</v>
      </c>
      <c r="F995">
        <v>75</v>
      </c>
      <c r="G995">
        <v>1961</v>
      </c>
      <c r="H995">
        <v>714</v>
      </c>
      <c r="I995">
        <v>195</v>
      </c>
      <c r="J995">
        <v>350</v>
      </c>
      <c r="K995">
        <v>0.39900000000000002</v>
      </c>
      <c r="L995">
        <v>0.32200000000000001</v>
      </c>
      <c r="M995">
        <v>0.64</v>
      </c>
      <c r="N995">
        <v>0.8</v>
      </c>
      <c r="O995">
        <v>0.02</v>
      </c>
      <c r="P995">
        <v>2002</v>
      </c>
      <c r="Q995">
        <v>26.1</v>
      </c>
      <c r="R995">
        <v>9.5</v>
      </c>
      <c r="S995">
        <v>2.6</v>
      </c>
      <c r="T995">
        <v>4.7</v>
      </c>
      <c r="U995">
        <v>1</v>
      </c>
      <c r="V995">
        <v>2</v>
      </c>
      <c r="W995">
        <f>IF(nba_draft[[#This Row],[years_played]]&gt;5,1,0)</f>
        <v>0</v>
      </c>
    </row>
    <row r="996" spans="1:23" x14ac:dyDescent="0.25">
      <c r="A996">
        <v>30</v>
      </c>
      <c r="B996" t="s">
        <v>52</v>
      </c>
      <c r="C996" t="s">
        <v>1358</v>
      </c>
      <c r="D996" t="s">
        <v>716</v>
      </c>
      <c r="E996">
        <v>3</v>
      </c>
      <c r="F996">
        <v>170</v>
      </c>
      <c r="G996">
        <v>2394</v>
      </c>
      <c r="H996">
        <v>712</v>
      </c>
      <c r="I996">
        <v>725</v>
      </c>
      <c r="J996">
        <v>63</v>
      </c>
      <c r="K996">
        <v>0.51300000000000001</v>
      </c>
      <c r="L996">
        <v>0</v>
      </c>
      <c r="M996">
        <v>0.55700000000000005</v>
      </c>
      <c r="N996">
        <v>5.9</v>
      </c>
      <c r="O996">
        <v>0.11899999999999999</v>
      </c>
      <c r="P996">
        <v>2012</v>
      </c>
      <c r="Q996">
        <v>14.1</v>
      </c>
      <c r="R996">
        <v>4.2</v>
      </c>
      <c r="S996">
        <v>4.3</v>
      </c>
      <c r="T996">
        <v>0.4</v>
      </c>
      <c r="U996">
        <v>1</v>
      </c>
      <c r="V996">
        <v>30</v>
      </c>
      <c r="W996">
        <f>IF(nba_draft[[#This Row],[years_played]]&gt;5,1,0)</f>
        <v>0</v>
      </c>
    </row>
    <row r="997" spans="1:23" x14ac:dyDescent="0.25">
      <c r="A997">
        <v>49</v>
      </c>
      <c r="B997" t="s">
        <v>82</v>
      </c>
      <c r="C997" t="s">
        <v>1699</v>
      </c>
      <c r="D997" t="s">
        <v>230</v>
      </c>
      <c r="E997">
        <v>4</v>
      </c>
      <c r="F997">
        <v>125</v>
      </c>
      <c r="G997">
        <v>1669</v>
      </c>
      <c r="H997">
        <v>712</v>
      </c>
      <c r="I997">
        <v>427</v>
      </c>
      <c r="J997">
        <v>98</v>
      </c>
      <c r="K997">
        <v>0.45600000000000002</v>
      </c>
      <c r="L997">
        <v>0.28799999999999998</v>
      </c>
      <c r="M997">
        <v>0.755</v>
      </c>
      <c r="N997">
        <v>1.6</v>
      </c>
      <c r="O997">
        <v>4.7E-2</v>
      </c>
      <c r="P997">
        <v>2018</v>
      </c>
      <c r="Q997">
        <v>13.4</v>
      </c>
      <c r="R997">
        <v>5.7</v>
      </c>
      <c r="S997">
        <v>3.4</v>
      </c>
      <c r="T997">
        <v>0.8</v>
      </c>
      <c r="U997">
        <v>2</v>
      </c>
      <c r="V997">
        <v>19</v>
      </c>
      <c r="W997">
        <f>IF(nba_draft[[#This Row],[years_played]]&gt;5,1,0)</f>
        <v>0</v>
      </c>
    </row>
    <row r="998" spans="1:23" x14ac:dyDescent="0.25">
      <c r="A998">
        <v>4</v>
      </c>
      <c r="B998" t="s">
        <v>395</v>
      </c>
      <c r="C998" t="s">
        <v>1835</v>
      </c>
      <c r="D998" t="s">
        <v>298</v>
      </c>
      <c r="E998">
        <v>1</v>
      </c>
      <c r="F998">
        <v>49</v>
      </c>
      <c r="G998">
        <v>1736</v>
      </c>
      <c r="H998">
        <v>706</v>
      </c>
      <c r="I998">
        <v>365</v>
      </c>
      <c r="J998">
        <v>164</v>
      </c>
      <c r="K998">
        <v>0.47</v>
      </c>
      <c r="L998">
        <v>0.313</v>
      </c>
      <c r="M998">
        <v>0.73299999999999998</v>
      </c>
      <c r="N998">
        <v>3.8</v>
      </c>
      <c r="O998">
        <v>0.104</v>
      </c>
      <c r="P998">
        <v>2021</v>
      </c>
      <c r="Q998">
        <v>35.4</v>
      </c>
      <c r="R998">
        <v>14.4</v>
      </c>
      <c r="S998">
        <v>7.4</v>
      </c>
      <c r="T998">
        <v>3.3</v>
      </c>
      <c r="U998">
        <v>1</v>
      </c>
      <c r="V998">
        <v>4</v>
      </c>
      <c r="W998">
        <f>IF(nba_draft[[#This Row],[years_played]]&gt;5,1,0)</f>
        <v>0</v>
      </c>
    </row>
    <row r="999" spans="1:23" x14ac:dyDescent="0.25">
      <c r="A999">
        <v>41</v>
      </c>
      <c r="B999" t="s">
        <v>49</v>
      </c>
      <c r="C999" t="s">
        <v>1636</v>
      </c>
      <c r="D999" t="s">
        <v>158</v>
      </c>
      <c r="E999">
        <v>2</v>
      </c>
      <c r="F999">
        <v>104</v>
      </c>
      <c r="G999">
        <v>1672</v>
      </c>
      <c r="H999">
        <v>701</v>
      </c>
      <c r="I999">
        <v>243</v>
      </c>
      <c r="J999">
        <v>135</v>
      </c>
      <c r="K999">
        <v>0.38900000000000001</v>
      </c>
      <c r="L999">
        <v>0.35</v>
      </c>
      <c r="M999">
        <v>0.66900000000000004</v>
      </c>
      <c r="N999">
        <v>1</v>
      </c>
      <c r="O999">
        <v>0.03</v>
      </c>
      <c r="P999">
        <v>2017</v>
      </c>
      <c r="Q999">
        <v>16.100000000000001</v>
      </c>
      <c r="R999">
        <v>6.7</v>
      </c>
      <c r="S999">
        <v>2.2999999999999998</v>
      </c>
      <c r="T999">
        <v>1.3</v>
      </c>
      <c r="U999">
        <v>2</v>
      </c>
      <c r="V999">
        <v>11</v>
      </c>
      <c r="W999">
        <f>IF(nba_draft[[#This Row],[years_played]]&gt;5,1,0)</f>
        <v>0</v>
      </c>
    </row>
    <row r="1000" spans="1:23" x14ac:dyDescent="0.25">
      <c r="A1000">
        <v>34</v>
      </c>
      <c r="B1000" t="s">
        <v>40</v>
      </c>
      <c r="C1000" t="s">
        <v>1629</v>
      </c>
      <c r="D1000" t="s">
        <v>108</v>
      </c>
      <c r="E1000">
        <v>4</v>
      </c>
      <c r="F1000">
        <v>103</v>
      </c>
      <c r="G1000">
        <v>1616</v>
      </c>
      <c r="H1000">
        <v>695</v>
      </c>
      <c r="I1000">
        <v>204</v>
      </c>
      <c r="J1000">
        <v>272</v>
      </c>
      <c r="K1000">
        <v>0.39600000000000002</v>
      </c>
      <c r="L1000">
        <v>0.30099999999999999</v>
      </c>
      <c r="M1000">
        <v>0.755</v>
      </c>
      <c r="N1000">
        <v>1.2</v>
      </c>
      <c r="O1000">
        <v>3.5000000000000003E-2</v>
      </c>
      <c r="P1000">
        <v>2017</v>
      </c>
      <c r="Q1000">
        <v>15.7</v>
      </c>
      <c r="R1000">
        <v>6.7</v>
      </c>
      <c r="S1000">
        <v>2</v>
      </c>
      <c r="T1000">
        <v>2.6</v>
      </c>
      <c r="U1000">
        <v>2</v>
      </c>
      <c r="V1000">
        <v>4</v>
      </c>
      <c r="W1000">
        <f>IF(nba_draft[[#This Row],[years_played]]&gt;5,1,0)</f>
        <v>0</v>
      </c>
    </row>
    <row r="1001" spans="1:23" x14ac:dyDescent="0.25">
      <c r="A1001">
        <v>45</v>
      </c>
      <c r="B1001" t="s">
        <v>25</v>
      </c>
      <c r="C1001" t="s">
        <v>268</v>
      </c>
      <c r="D1001" t="s">
        <v>269</v>
      </c>
      <c r="E1001">
        <v>3</v>
      </c>
      <c r="F1001">
        <v>103</v>
      </c>
      <c r="G1001">
        <v>2058</v>
      </c>
      <c r="H1001">
        <v>693</v>
      </c>
      <c r="I1001">
        <v>311</v>
      </c>
      <c r="J1001">
        <v>116</v>
      </c>
      <c r="K1001">
        <v>0.42299999999999999</v>
      </c>
      <c r="L1001">
        <v>0.38300000000000001</v>
      </c>
      <c r="M1001">
        <v>0.63300000000000001</v>
      </c>
      <c r="N1001">
        <v>1</v>
      </c>
      <c r="O1001">
        <v>2.3E-2</v>
      </c>
      <c r="P1001">
        <v>1992</v>
      </c>
      <c r="Q1001">
        <v>20</v>
      </c>
      <c r="R1001">
        <v>6.7</v>
      </c>
      <c r="S1001">
        <v>3</v>
      </c>
      <c r="T1001">
        <v>1.1000000000000001</v>
      </c>
      <c r="U1001">
        <v>2</v>
      </c>
      <c r="V1001">
        <v>18</v>
      </c>
      <c r="W1001">
        <f>IF(nba_draft[[#This Row],[years_played]]&gt;5,1,0)</f>
        <v>0</v>
      </c>
    </row>
    <row r="1002" spans="1:23" x14ac:dyDescent="0.25">
      <c r="A1002">
        <v>52</v>
      </c>
      <c r="B1002" t="s">
        <v>34</v>
      </c>
      <c r="C1002" t="s">
        <v>1764</v>
      </c>
      <c r="D1002" t="s">
        <v>842</v>
      </c>
      <c r="E1002">
        <v>3</v>
      </c>
      <c r="F1002">
        <v>102</v>
      </c>
      <c r="G1002">
        <v>1882</v>
      </c>
      <c r="H1002">
        <v>692</v>
      </c>
      <c r="I1002">
        <v>370</v>
      </c>
      <c r="J1002">
        <v>109</v>
      </c>
      <c r="K1002">
        <v>0.47699999999999998</v>
      </c>
      <c r="L1002">
        <v>0.35299999999999998</v>
      </c>
      <c r="M1002">
        <v>0.70899999999999996</v>
      </c>
      <c r="N1002">
        <v>2.9</v>
      </c>
      <c r="O1002">
        <v>7.2999999999999995E-2</v>
      </c>
      <c r="P1002">
        <v>2019</v>
      </c>
      <c r="Q1002">
        <v>18.5</v>
      </c>
      <c r="R1002">
        <v>6.8</v>
      </c>
      <c r="S1002">
        <v>3.6</v>
      </c>
      <c r="T1002">
        <v>1.1000000000000001</v>
      </c>
      <c r="U1002">
        <v>2</v>
      </c>
      <c r="V1002">
        <v>22</v>
      </c>
      <c r="W1002">
        <f>IF(nba_draft[[#This Row],[years_played]]&gt;5,1,0)</f>
        <v>0</v>
      </c>
    </row>
    <row r="1003" spans="1:23" x14ac:dyDescent="0.25">
      <c r="A1003">
        <v>1</v>
      </c>
      <c r="B1003" t="s">
        <v>88</v>
      </c>
      <c r="C1003" t="s">
        <v>1832</v>
      </c>
      <c r="D1003" t="s">
        <v>206</v>
      </c>
      <c r="E1003">
        <v>1</v>
      </c>
      <c r="F1003">
        <v>44</v>
      </c>
      <c r="G1003">
        <v>1400</v>
      </c>
      <c r="H1003">
        <v>692</v>
      </c>
      <c r="I1003">
        <v>241</v>
      </c>
      <c r="J1003">
        <v>227</v>
      </c>
      <c r="K1003">
        <v>0.39400000000000002</v>
      </c>
      <c r="L1003">
        <v>0.32700000000000001</v>
      </c>
      <c r="M1003">
        <v>0.85599999999999998</v>
      </c>
      <c r="N1003">
        <v>-0.8</v>
      </c>
      <c r="O1003">
        <v>-2.8000000000000001E-2</v>
      </c>
      <c r="P1003">
        <v>2021</v>
      </c>
      <c r="Q1003">
        <v>31.8</v>
      </c>
      <c r="R1003">
        <v>15.7</v>
      </c>
      <c r="S1003">
        <v>5.5</v>
      </c>
      <c r="T1003">
        <v>5.2</v>
      </c>
      <c r="U1003">
        <v>1</v>
      </c>
      <c r="V1003">
        <v>1</v>
      </c>
      <c r="W1003">
        <f>IF(nba_draft[[#This Row],[years_played]]&gt;5,1,0)</f>
        <v>0</v>
      </c>
    </row>
    <row r="1004" spans="1:23" x14ac:dyDescent="0.25">
      <c r="A1004">
        <v>21</v>
      </c>
      <c r="B1004" t="s">
        <v>85</v>
      </c>
      <c r="C1004" t="s">
        <v>811</v>
      </c>
      <c r="D1004" t="s">
        <v>812</v>
      </c>
      <c r="E1004">
        <v>4</v>
      </c>
      <c r="F1004">
        <v>167</v>
      </c>
      <c r="G1004">
        <v>2060</v>
      </c>
      <c r="H1004">
        <v>691</v>
      </c>
      <c r="I1004">
        <v>385</v>
      </c>
      <c r="J1004">
        <v>105</v>
      </c>
      <c r="K1004">
        <v>0.45200000000000001</v>
      </c>
      <c r="L1004">
        <v>0.35699999999999998</v>
      </c>
      <c r="M1004">
        <v>0.60299999999999998</v>
      </c>
      <c r="N1004">
        <v>1.4</v>
      </c>
      <c r="O1004">
        <v>3.2000000000000001E-2</v>
      </c>
      <c r="P1004">
        <v>2002</v>
      </c>
      <c r="Q1004">
        <v>12.3</v>
      </c>
      <c r="R1004">
        <v>4.0999999999999996</v>
      </c>
      <c r="S1004">
        <v>2.2999999999999998</v>
      </c>
      <c r="T1004">
        <v>0.6</v>
      </c>
      <c r="U1004">
        <v>1</v>
      </c>
      <c r="V1004">
        <v>21</v>
      </c>
      <c r="W1004">
        <f>IF(nba_draft[[#This Row],[years_played]]&gt;5,1,0)</f>
        <v>0</v>
      </c>
    </row>
    <row r="1005" spans="1:23" x14ac:dyDescent="0.25">
      <c r="A1005">
        <v>31</v>
      </c>
      <c r="B1005" t="s">
        <v>40</v>
      </c>
      <c r="C1005" t="s">
        <v>1194</v>
      </c>
      <c r="D1005" t="s">
        <v>208</v>
      </c>
      <c r="E1005">
        <v>6</v>
      </c>
      <c r="F1005">
        <v>237</v>
      </c>
      <c r="G1005">
        <v>2322</v>
      </c>
      <c r="H1005">
        <v>690</v>
      </c>
      <c r="I1005">
        <v>632</v>
      </c>
      <c r="J1005">
        <v>99</v>
      </c>
      <c r="K1005">
        <v>0.55300000000000005</v>
      </c>
      <c r="L1005">
        <v>0.4</v>
      </c>
      <c r="M1005">
        <v>0.77600000000000002</v>
      </c>
      <c r="N1005">
        <v>6.3</v>
      </c>
      <c r="O1005">
        <v>0.13100000000000001</v>
      </c>
      <c r="P1005">
        <v>2009</v>
      </c>
      <c r="Q1005">
        <v>9.8000000000000007</v>
      </c>
      <c r="R1005">
        <v>2.9</v>
      </c>
      <c r="S1005">
        <v>2.7</v>
      </c>
      <c r="T1005">
        <v>0.4</v>
      </c>
      <c r="U1005">
        <v>2</v>
      </c>
      <c r="V1005">
        <v>1</v>
      </c>
      <c r="W1005">
        <f>IF(nba_draft[[#This Row],[years_played]]&gt;5,1,0)</f>
        <v>1</v>
      </c>
    </row>
    <row r="1006" spans="1:23" x14ac:dyDescent="0.25">
      <c r="A1006">
        <v>4</v>
      </c>
      <c r="B1006" t="s">
        <v>95</v>
      </c>
      <c r="C1006" t="s">
        <v>1775</v>
      </c>
      <c r="D1006" t="s">
        <v>298</v>
      </c>
      <c r="E1006">
        <v>2</v>
      </c>
      <c r="F1006">
        <v>76</v>
      </c>
      <c r="G1006">
        <v>2108</v>
      </c>
      <c r="H1006">
        <v>688</v>
      </c>
      <c r="I1006">
        <v>338</v>
      </c>
      <c r="J1006">
        <v>102</v>
      </c>
      <c r="K1006">
        <v>0.48599999999999999</v>
      </c>
      <c r="L1006">
        <v>0.39600000000000002</v>
      </c>
      <c r="M1006">
        <v>0.73599999999999999</v>
      </c>
      <c r="N1006">
        <v>2.7</v>
      </c>
      <c r="O1006">
        <v>6.0999999999999999E-2</v>
      </c>
      <c r="P1006">
        <v>2020</v>
      </c>
      <c r="Q1006">
        <v>27.7</v>
      </c>
      <c r="R1006">
        <v>9.1</v>
      </c>
      <c r="S1006">
        <v>4.4000000000000004</v>
      </c>
      <c r="T1006">
        <v>1.3</v>
      </c>
      <c r="U1006">
        <v>1</v>
      </c>
      <c r="V1006">
        <v>4</v>
      </c>
      <c r="W1006">
        <f>IF(nba_draft[[#This Row],[years_played]]&gt;5,1,0)</f>
        <v>0</v>
      </c>
    </row>
    <row r="1007" spans="1:23" x14ac:dyDescent="0.25">
      <c r="A1007">
        <v>45</v>
      </c>
      <c r="B1007" t="s">
        <v>102</v>
      </c>
      <c r="C1007" t="s">
        <v>1374</v>
      </c>
      <c r="D1007" t="s">
        <v>30</v>
      </c>
      <c r="E1007">
        <v>3</v>
      </c>
      <c r="F1007">
        <v>113</v>
      </c>
      <c r="G1007">
        <v>1961</v>
      </c>
      <c r="H1007">
        <v>687</v>
      </c>
      <c r="I1007">
        <v>403</v>
      </c>
      <c r="J1007">
        <v>91</v>
      </c>
      <c r="K1007">
        <v>0.46400000000000002</v>
      </c>
      <c r="L1007">
        <v>0.309</v>
      </c>
      <c r="M1007">
        <v>0.79800000000000004</v>
      </c>
      <c r="N1007">
        <v>3.7</v>
      </c>
      <c r="O1007">
        <v>9.0999999999999998E-2</v>
      </c>
      <c r="P1007">
        <v>2012</v>
      </c>
      <c r="Q1007">
        <v>17.399999999999999</v>
      </c>
      <c r="R1007">
        <v>6.1</v>
      </c>
      <c r="S1007">
        <v>3.6</v>
      </c>
      <c r="T1007">
        <v>0.8</v>
      </c>
      <c r="U1007">
        <v>2</v>
      </c>
      <c r="V1007">
        <v>15</v>
      </c>
      <c r="W1007">
        <f>IF(nba_draft[[#This Row],[years_played]]&gt;5,1,0)</f>
        <v>0</v>
      </c>
    </row>
    <row r="1008" spans="1:23" x14ac:dyDescent="0.25">
      <c r="A1008">
        <v>45</v>
      </c>
      <c r="B1008" t="s">
        <v>88</v>
      </c>
      <c r="C1008" t="s">
        <v>1757</v>
      </c>
      <c r="D1008" t="s">
        <v>162</v>
      </c>
      <c r="E1008">
        <v>3</v>
      </c>
      <c r="F1008">
        <v>86</v>
      </c>
      <c r="G1008">
        <v>1769</v>
      </c>
      <c r="H1008">
        <v>686</v>
      </c>
      <c r="I1008">
        <v>424</v>
      </c>
      <c r="J1008">
        <v>122</v>
      </c>
      <c r="K1008">
        <v>0.48799999999999999</v>
      </c>
      <c r="L1008">
        <v>0.31900000000000001</v>
      </c>
      <c r="M1008">
        <v>0.72899999999999998</v>
      </c>
      <c r="N1008">
        <v>2.1</v>
      </c>
      <c r="O1008">
        <v>5.6000000000000001E-2</v>
      </c>
      <c r="P1008">
        <v>2019</v>
      </c>
      <c r="Q1008">
        <v>20.6</v>
      </c>
      <c r="R1008">
        <v>8</v>
      </c>
      <c r="S1008">
        <v>4.9000000000000004</v>
      </c>
      <c r="T1008">
        <v>1.4</v>
      </c>
      <c r="U1008">
        <v>2</v>
      </c>
      <c r="V1008">
        <v>15</v>
      </c>
      <c r="W1008">
        <f>IF(nba_draft[[#This Row],[years_played]]&gt;5,1,0)</f>
        <v>0</v>
      </c>
    </row>
    <row r="1009" spans="1:23" x14ac:dyDescent="0.25">
      <c r="A1009">
        <v>23</v>
      </c>
      <c r="B1009" t="s">
        <v>70</v>
      </c>
      <c r="C1009" t="s">
        <v>1563</v>
      </c>
      <c r="D1009" t="s">
        <v>97</v>
      </c>
      <c r="E1009">
        <v>3</v>
      </c>
      <c r="F1009">
        <v>113</v>
      </c>
      <c r="G1009">
        <v>1517</v>
      </c>
      <c r="H1009">
        <v>674</v>
      </c>
      <c r="I1009">
        <v>446</v>
      </c>
      <c r="J1009">
        <v>64</v>
      </c>
      <c r="K1009">
        <v>0.58099999999999996</v>
      </c>
      <c r="L1009">
        <v>0</v>
      </c>
      <c r="M1009">
        <v>0.71099999999999997</v>
      </c>
      <c r="N1009">
        <v>3.5</v>
      </c>
      <c r="O1009">
        <v>0.11</v>
      </c>
      <c r="P1009">
        <v>2016</v>
      </c>
      <c r="Q1009">
        <v>13.4</v>
      </c>
      <c r="R1009">
        <v>6</v>
      </c>
      <c r="S1009">
        <v>3.9</v>
      </c>
      <c r="T1009">
        <v>0.6</v>
      </c>
      <c r="U1009">
        <v>1</v>
      </c>
      <c r="V1009">
        <v>23</v>
      </c>
      <c r="W1009">
        <f>IF(nba_draft[[#This Row],[years_played]]&gt;5,1,0)</f>
        <v>0</v>
      </c>
    </row>
    <row r="1010" spans="1:23" x14ac:dyDescent="0.25">
      <c r="A1010">
        <v>13</v>
      </c>
      <c r="B1010" t="s">
        <v>127</v>
      </c>
      <c r="C1010" t="s">
        <v>1844</v>
      </c>
      <c r="D1010" t="s">
        <v>158</v>
      </c>
      <c r="E1010">
        <v>1</v>
      </c>
      <c r="F1010">
        <v>50</v>
      </c>
      <c r="G1010">
        <v>1433</v>
      </c>
      <c r="H1010">
        <v>671</v>
      </c>
      <c r="I1010">
        <v>205</v>
      </c>
      <c r="J1010">
        <v>110</v>
      </c>
      <c r="K1010">
        <v>0.435</v>
      </c>
      <c r="L1010">
        <v>0.36399999999999999</v>
      </c>
      <c r="M1010">
        <v>0.79200000000000004</v>
      </c>
      <c r="N1010">
        <v>1.3</v>
      </c>
      <c r="O1010">
        <v>4.4999999999999998E-2</v>
      </c>
      <c r="P1010">
        <v>2021</v>
      </c>
      <c r="Q1010">
        <v>28.7</v>
      </c>
      <c r="R1010">
        <v>13.4</v>
      </c>
      <c r="S1010">
        <v>4.0999999999999996</v>
      </c>
      <c r="T1010">
        <v>2.2000000000000002</v>
      </c>
      <c r="U1010">
        <v>1</v>
      </c>
      <c r="V1010">
        <v>13</v>
      </c>
      <c r="W1010">
        <f>IF(nba_draft[[#This Row],[years_played]]&gt;5,1,0)</f>
        <v>0</v>
      </c>
    </row>
    <row r="1011" spans="1:23" x14ac:dyDescent="0.25">
      <c r="A1011">
        <v>48</v>
      </c>
      <c r="B1011" t="s">
        <v>25</v>
      </c>
      <c r="C1011" t="s">
        <v>991</v>
      </c>
      <c r="D1011" t="s">
        <v>97</v>
      </c>
      <c r="E1011">
        <v>3</v>
      </c>
      <c r="F1011">
        <v>145</v>
      </c>
      <c r="G1011">
        <v>2348</v>
      </c>
      <c r="H1011">
        <v>670</v>
      </c>
      <c r="I1011">
        <v>330</v>
      </c>
      <c r="J1011">
        <v>115</v>
      </c>
      <c r="K1011">
        <v>0.47</v>
      </c>
      <c r="L1011">
        <v>0.316</v>
      </c>
      <c r="M1011">
        <v>0.81499999999999995</v>
      </c>
      <c r="N1011">
        <v>3</v>
      </c>
      <c r="O1011">
        <v>6.2E-2</v>
      </c>
      <c r="P1011">
        <v>2005</v>
      </c>
      <c r="Q1011">
        <v>16.2</v>
      </c>
      <c r="R1011">
        <v>4.5999999999999996</v>
      </c>
      <c r="S1011">
        <v>2.2999999999999998</v>
      </c>
      <c r="T1011">
        <v>0.8</v>
      </c>
      <c r="U1011">
        <v>2</v>
      </c>
      <c r="V1011">
        <v>18</v>
      </c>
      <c r="W1011">
        <f>IF(nba_draft[[#This Row],[years_played]]&gt;5,1,0)</f>
        <v>0</v>
      </c>
    </row>
    <row r="1012" spans="1:23" x14ac:dyDescent="0.25">
      <c r="A1012">
        <v>39</v>
      </c>
      <c r="B1012" t="s">
        <v>85</v>
      </c>
      <c r="C1012" t="s">
        <v>1427</v>
      </c>
      <c r="D1012" t="s">
        <v>108</v>
      </c>
      <c r="E1012">
        <v>5</v>
      </c>
      <c r="F1012">
        <v>206</v>
      </c>
      <c r="G1012">
        <v>2072</v>
      </c>
      <c r="H1012">
        <v>666</v>
      </c>
      <c r="I1012">
        <v>518</v>
      </c>
      <c r="J1012">
        <v>64</v>
      </c>
      <c r="K1012">
        <v>0.52500000000000002</v>
      </c>
      <c r="L1012">
        <v>0.14299999999999999</v>
      </c>
      <c r="M1012">
        <v>0.71599999999999997</v>
      </c>
      <c r="N1012">
        <v>6.8</v>
      </c>
      <c r="O1012">
        <v>0.157</v>
      </c>
      <c r="P1012">
        <v>2013</v>
      </c>
      <c r="Q1012">
        <v>10.1</v>
      </c>
      <c r="R1012">
        <v>3.2</v>
      </c>
      <c r="S1012">
        <v>2.5</v>
      </c>
      <c r="T1012">
        <v>0.3</v>
      </c>
      <c r="U1012">
        <v>2</v>
      </c>
      <c r="V1012">
        <v>9</v>
      </c>
      <c r="W1012">
        <f>IF(nba_draft[[#This Row],[years_played]]&gt;5,1,0)</f>
        <v>0</v>
      </c>
    </row>
    <row r="1013" spans="1:23" x14ac:dyDescent="0.25">
      <c r="A1013">
        <v>26</v>
      </c>
      <c r="B1013" t="s">
        <v>46</v>
      </c>
      <c r="C1013" t="s">
        <v>1467</v>
      </c>
      <c r="D1013" t="s">
        <v>179</v>
      </c>
      <c r="E1013">
        <v>2</v>
      </c>
      <c r="F1013">
        <v>111</v>
      </c>
      <c r="G1013">
        <v>2000</v>
      </c>
      <c r="H1013">
        <v>664</v>
      </c>
      <c r="I1013">
        <v>266</v>
      </c>
      <c r="J1013">
        <v>59</v>
      </c>
      <c r="K1013">
        <v>0.34300000000000003</v>
      </c>
      <c r="L1013">
        <v>0.29499999999999998</v>
      </c>
      <c r="M1013">
        <v>0.81</v>
      </c>
      <c r="N1013">
        <v>0.9</v>
      </c>
      <c r="O1013">
        <v>2.1000000000000001E-2</v>
      </c>
      <c r="P1013">
        <v>2014</v>
      </c>
      <c r="Q1013">
        <v>18</v>
      </c>
      <c r="R1013">
        <v>6</v>
      </c>
      <c r="S1013">
        <v>2.4</v>
      </c>
      <c r="T1013">
        <v>0.5</v>
      </c>
      <c r="U1013">
        <v>1</v>
      </c>
      <c r="V1013">
        <v>26</v>
      </c>
      <c r="W1013">
        <f>IF(nba_draft[[#This Row],[years_played]]&gt;5,1,0)</f>
        <v>0</v>
      </c>
    </row>
    <row r="1014" spans="1:23" x14ac:dyDescent="0.25">
      <c r="A1014">
        <v>20</v>
      </c>
      <c r="B1014" t="s">
        <v>46</v>
      </c>
      <c r="C1014" t="s">
        <v>1791</v>
      </c>
      <c r="D1014" t="s">
        <v>196</v>
      </c>
      <c r="E1014">
        <v>2</v>
      </c>
      <c r="F1014">
        <v>109</v>
      </c>
      <c r="G1014">
        <v>1844</v>
      </c>
      <c r="H1014">
        <v>662</v>
      </c>
      <c r="I1014">
        <v>539</v>
      </c>
      <c r="J1014">
        <v>84</v>
      </c>
      <c r="K1014">
        <v>0.47099999999999997</v>
      </c>
      <c r="L1014">
        <v>0.3</v>
      </c>
      <c r="M1014">
        <v>0.53800000000000003</v>
      </c>
      <c r="N1014">
        <v>2.7</v>
      </c>
      <c r="O1014">
        <v>7.0000000000000007E-2</v>
      </c>
      <c r="P1014">
        <v>2020</v>
      </c>
      <c r="Q1014">
        <v>16.899999999999999</v>
      </c>
      <c r="R1014">
        <v>6.1</v>
      </c>
      <c r="S1014">
        <v>4.9000000000000004</v>
      </c>
      <c r="T1014">
        <v>0.8</v>
      </c>
      <c r="U1014">
        <v>1</v>
      </c>
      <c r="V1014">
        <v>20</v>
      </c>
      <c r="W1014">
        <f>IF(nba_draft[[#This Row],[years_played]]&gt;5,1,0)</f>
        <v>0</v>
      </c>
    </row>
    <row r="1015" spans="1:23" x14ac:dyDescent="0.25">
      <c r="A1015">
        <v>6</v>
      </c>
      <c r="B1015" t="s">
        <v>25</v>
      </c>
      <c r="C1015" t="s">
        <v>1837</v>
      </c>
      <c r="D1015" t="s">
        <v>97</v>
      </c>
      <c r="E1015">
        <v>1</v>
      </c>
      <c r="F1015">
        <v>53</v>
      </c>
      <c r="G1015">
        <v>1664</v>
      </c>
      <c r="H1015">
        <v>659</v>
      </c>
      <c r="I1015">
        <v>412</v>
      </c>
      <c r="J1015">
        <v>339</v>
      </c>
      <c r="K1015">
        <v>0.41799999999999998</v>
      </c>
      <c r="L1015">
        <v>0.26700000000000002</v>
      </c>
      <c r="M1015">
        <v>0.70499999999999996</v>
      </c>
      <c r="N1015">
        <v>0.9</v>
      </c>
      <c r="O1015">
        <v>2.7E-2</v>
      </c>
      <c r="P1015">
        <v>2021</v>
      </c>
      <c r="Q1015">
        <v>31.4</v>
      </c>
      <c r="R1015">
        <v>12.4</v>
      </c>
      <c r="S1015">
        <v>7.8</v>
      </c>
      <c r="T1015">
        <v>6.4</v>
      </c>
      <c r="U1015">
        <v>1</v>
      </c>
      <c r="V1015">
        <v>6</v>
      </c>
      <c r="W1015">
        <f>IF(nba_draft[[#This Row],[years_played]]&gt;5,1,0)</f>
        <v>0</v>
      </c>
    </row>
    <row r="1016" spans="1:23" x14ac:dyDescent="0.25">
      <c r="A1016">
        <v>1</v>
      </c>
      <c r="B1016" t="s">
        <v>138</v>
      </c>
      <c r="C1016" t="s">
        <v>1387</v>
      </c>
      <c r="D1016" t="s">
        <v>142</v>
      </c>
      <c r="E1016">
        <v>4</v>
      </c>
      <c r="F1016">
        <v>151</v>
      </c>
      <c r="G1016">
        <v>1905</v>
      </c>
      <c r="H1016">
        <v>658</v>
      </c>
      <c r="I1016">
        <v>472</v>
      </c>
      <c r="J1016">
        <v>77</v>
      </c>
      <c r="K1016">
        <v>0.39200000000000002</v>
      </c>
      <c r="L1016">
        <v>0.26100000000000001</v>
      </c>
      <c r="M1016">
        <v>0.67</v>
      </c>
      <c r="N1016">
        <v>0.5</v>
      </c>
      <c r="O1016">
        <v>1.2999999999999999E-2</v>
      </c>
      <c r="P1016">
        <v>2013</v>
      </c>
      <c r="Q1016">
        <v>12.6</v>
      </c>
      <c r="R1016">
        <v>4.4000000000000004</v>
      </c>
      <c r="S1016">
        <v>3.1</v>
      </c>
      <c r="T1016">
        <v>0.5</v>
      </c>
      <c r="U1016">
        <v>1</v>
      </c>
      <c r="V1016">
        <v>1</v>
      </c>
      <c r="W1016">
        <f>IF(nba_draft[[#This Row],[years_played]]&gt;5,1,0)</f>
        <v>0</v>
      </c>
    </row>
    <row r="1017" spans="1:23" x14ac:dyDescent="0.25">
      <c r="A1017">
        <v>24</v>
      </c>
      <c r="B1017" t="s">
        <v>63</v>
      </c>
      <c r="C1017" t="s">
        <v>1795</v>
      </c>
      <c r="D1017" t="s">
        <v>97</v>
      </c>
      <c r="E1017">
        <v>2</v>
      </c>
      <c r="F1017">
        <v>93</v>
      </c>
      <c r="G1017">
        <v>1703</v>
      </c>
      <c r="H1017">
        <v>655</v>
      </c>
      <c r="I1017">
        <v>301</v>
      </c>
      <c r="J1017">
        <v>189</v>
      </c>
      <c r="K1017">
        <v>0.41</v>
      </c>
      <c r="L1017">
        <v>0.34</v>
      </c>
      <c r="M1017">
        <v>0.64</v>
      </c>
      <c r="N1017">
        <v>0.2</v>
      </c>
      <c r="O1017">
        <v>7.0000000000000001E-3</v>
      </c>
      <c r="P1017">
        <v>2020</v>
      </c>
      <c r="Q1017">
        <v>18.3</v>
      </c>
      <c r="R1017">
        <v>7</v>
      </c>
      <c r="S1017">
        <v>3.2</v>
      </c>
      <c r="T1017">
        <v>2</v>
      </c>
      <c r="U1017">
        <v>1</v>
      </c>
      <c r="V1017">
        <v>24</v>
      </c>
      <c r="W1017">
        <f>IF(nba_draft[[#This Row],[years_played]]&gt;5,1,0)</f>
        <v>0</v>
      </c>
    </row>
    <row r="1018" spans="1:23" x14ac:dyDescent="0.25">
      <c r="A1018">
        <v>22</v>
      </c>
      <c r="B1018" t="s">
        <v>393</v>
      </c>
      <c r="C1018" t="s">
        <v>475</v>
      </c>
      <c r="D1018" t="s">
        <v>228</v>
      </c>
      <c r="E1018">
        <v>3</v>
      </c>
      <c r="F1018">
        <v>137</v>
      </c>
      <c r="G1018">
        <v>2309</v>
      </c>
      <c r="H1018">
        <v>652</v>
      </c>
      <c r="I1018">
        <v>483</v>
      </c>
      <c r="J1018">
        <v>57</v>
      </c>
      <c r="K1018">
        <v>0.48299999999999998</v>
      </c>
      <c r="L1018">
        <v>0.5</v>
      </c>
      <c r="M1018">
        <v>0.53200000000000003</v>
      </c>
      <c r="N1018">
        <v>1.7</v>
      </c>
      <c r="O1018">
        <v>3.5000000000000003E-2</v>
      </c>
      <c r="P1018">
        <v>1996</v>
      </c>
      <c r="Q1018">
        <v>16.899999999999999</v>
      </c>
      <c r="R1018">
        <v>4.8</v>
      </c>
      <c r="S1018">
        <v>3.5</v>
      </c>
      <c r="T1018">
        <v>0.4</v>
      </c>
      <c r="U1018">
        <v>1</v>
      </c>
      <c r="V1018">
        <v>22</v>
      </c>
      <c r="W1018">
        <f>IF(nba_draft[[#This Row],[years_played]]&gt;5,1,0)</f>
        <v>0</v>
      </c>
    </row>
    <row r="1019" spans="1:23" x14ac:dyDescent="0.25">
      <c r="A1019">
        <v>11</v>
      </c>
      <c r="B1019" t="s">
        <v>138</v>
      </c>
      <c r="C1019" t="s">
        <v>640</v>
      </c>
      <c r="D1019" t="s">
        <v>87</v>
      </c>
      <c r="E1019">
        <v>3</v>
      </c>
      <c r="F1019">
        <v>119</v>
      </c>
      <c r="G1019">
        <v>1738</v>
      </c>
      <c r="H1019">
        <v>647</v>
      </c>
      <c r="I1019">
        <v>159</v>
      </c>
      <c r="J1019">
        <v>152</v>
      </c>
      <c r="K1019">
        <v>0.41599999999999998</v>
      </c>
      <c r="L1019">
        <v>0.39600000000000002</v>
      </c>
      <c r="M1019">
        <v>0.91</v>
      </c>
      <c r="N1019">
        <v>2.9</v>
      </c>
      <c r="O1019">
        <v>7.9000000000000001E-2</v>
      </c>
      <c r="P1019">
        <v>1999</v>
      </c>
      <c r="Q1019">
        <v>14.6</v>
      </c>
      <c r="R1019">
        <v>5.4</v>
      </c>
      <c r="S1019">
        <v>1.3</v>
      </c>
      <c r="T1019">
        <v>1.3</v>
      </c>
      <c r="U1019">
        <v>1</v>
      </c>
      <c r="V1019">
        <v>11</v>
      </c>
      <c r="W1019">
        <f>IF(nba_draft[[#This Row],[years_played]]&gt;5,1,0)</f>
        <v>0</v>
      </c>
    </row>
    <row r="1020" spans="1:23" x14ac:dyDescent="0.25">
      <c r="A1020">
        <v>8</v>
      </c>
      <c r="B1020" t="s">
        <v>65</v>
      </c>
      <c r="C1020" t="s">
        <v>1779</v>
      </c>
      <c r="D1020" t="s">
        <v>101</v>
      </c>
      <c r="E1020">
        <v>2</v>
      </c>
      <c r="F1020">
        <v>116</v>
      </c>
      <c r="G1020">
        <v>1496</v>
      </c>
      <c r="H1020">
        <v>646</v>
      </c>
      <c r="I1020">
        <v>331</v>
      </c>
      <c r="J1020">
        <v>77</v>
      </c>
      <c r="K1020">
        <v>0.505</v>
      </c>
      <c r="L1020">
        <v>0.26400000000000001</v>
      </c>
      <c r="M1020">
        <v>0.746</v>
      </c>
      <c r="N1020">
        <v>3.6</v>
      </c>
      <c r="O1020">
        <v>0.115</v>
      </c>
      <c r="P1020">
        <v>2020</v>
      </c>
      <c r="Q1020">
        <v>12.9</v>
      </c>
      <c r="R1020">
        <v>5.6</v>
      </c>
      <c r="S1020">
        <v>2.9</v>
      </c>
      <c r="T1020">
        <v>0.7</v>
      </c>
      <c r="U1020">
        <v>1</v>
      </c>
      <c r="V1020">
        <v>8</v>
      </c>
      <c r="W1020">
        <f>IF(nba_draft[[#This Row],[years_played]]&gt;5,1,0)</f>
        <v>0</v>
      </c>
    </row>
    <row r="1021" spans="1:23" x14ac:dyDescent="0.25">
      <c r="A1021">
        <v>24</v>
      </c>
      <c r="B1021" t="s">
        <v>149</v>
      </c>
      <c r="C1021" t="s">
        <v>415</v>
      </c>
      <c r="D1021" t="s">
        <v>168</v>
      </c>
      <c r="E1021">
        <v>3</v>
      </c>
      <c r="F1021">
        <v>140</v>
      </c>
      <c r="G1021">
        <v>2044</v>
      </c>
      <c r="H1021">
        <v>645</v>
      </c>
      <c r="I1021">
        <v>480</v>
      </c>
      <c r="J1021">
        <v>77</v>
      </c>
      <c r="K1021">
        <v>0.432</v>
      </c>
      <c r="L1021">
        <v>0.34799999999999998</v>
      </c>
      <c r="M1021">
        <v>0.69599999999999995</v>
      </c>
      <c r="N1021">
        <v>0.5</v>
      </c>
      <c r="O1021">
        <v>1.2E-2</v>
      </c>
      <c r="P1021">
        <v>1995</v>
      </c>
      <c r="Q1021">
        <v>14.6</v>
      </c>
      <c r="R1021">
        <v>4.5999999999999996</v>
      </c>
      <c r="S1021">
        <v>3.4</v>
      </c>
      <c r="T1021">
        <v>0.6</v>
      </c>
      <c r="U1021">
        <v>1</v>
      </c>
      <c r="V1021">
        <v>24</v>
      </c>
      <c r="W1021">
        <f>IF(nba_draft[[#This Row],[years_played]]&gt;5,1,0)</f>
        <v>0</v>
      </c>
    </row>
    <row r="1022" spans="1:23" x14ac:dyDescent="0.25">
      <c r="A1022">
        <v>22</v>
      </c>
      <c r="B1022" t="s">
        <v>22</v>
      </c>
      <c r="C1022" t="s">
        <v>919</v>
      </c>
      <c r="D1022" t="s">
        <v>97</v>
      </c>
      <c r="E1022">
        <v>4</v>
      </c>
      <c r="F1022">
        <v>143</v>
      </c>
      <c r="G1022">
        <v>2351</v>
      </c>
      <c r="H1022">
        <v>643</v>
      </c>
      <c r="I1022">
        <v>492</v>
      </c>
      <c r="J1022">
        <v>142</v>
      </c>
      <c r="K1022">
        <v>0.443</v>
      </c>
      <c r="L1022">
        <v>0.29199999999999998</v>
      </c>
      <c r="M1022">
        <v>0.65800000000000003</v>
      </c>
      <c r="N1022">
        <v>2</v>
      </c>
      <c r="O1022">
        <v>4.1000000000000002E-2</v>
      </c>
      <c r="P1022">
        <v>2004</v>
      </c>
      <c r="Q1022">
        <v>16.399999999999999</v>
      </c>
      <c r="R1022">
        <v>4.5</v>
      </c>
      <c r="S1022">
        <v>3.4</v>
      </c>
      <c r="T1022">
        <v>1</v>
      </c>
      <c r="U1022">
        <v>1</v>
      </c>
      <c r="V1022">
        <v>22</v>
      </c>
      <c r="W1022">
        <f>IF(nba_draft[[#This Row],[years_played]]&gt;5,1,0)</f>
        <v>0</v>
      </c>
    </row>
    <row r="1023" spans="1:23" x14ac:dyDescent="0.25">
      <c r="A1023">
        <v>42</v>
      </c>
      <c r="B1023" t="s">
        <v>104</v>
      </c>
      <c r="C1023" t="s">
        <v>1580</v>
      </c>
      <c r="D1023" t="s">
        <v>164</v>
      </c>
      <c r="E1023">
        <v>2</v>
      </c>
      <c r="F1023">
        <v>89</v>
      </c>
      <c r="G1023">
        <v>1823</v>
      </c>
      <c r="H1023">
        <v>643</v>
      </c>
      <c r="I1023">
        <v>210</v>
      </c>
      <c r="J1023">
        <v>212</v>
      </c>
      <c r="K1023">
        <v>0.41099999999999998</v>
      </c>
      <c r="L1023">
        <v>0.30499999999999999</v>
      </c>
      <c r="M1023">
        <v>0.78800000000000003</v>
      </c>
      <c r="N1023">
        <v>-0.9</v>
      </c>
      <c r="O1023">
        <v>-2.5000000000000001E-2</v>
      </c>
      <c r="P1023">
        <v>2016</v>
      </c>
      <c r="Q1023">
        <v>20.5</v>
      </c>
      <c r="R1023">
        <v>7.2</v>
      </c>
      <c r="S1023">
        <v>2.4</v>
      </c>
      <c r="T1023">
        <v>2.4</v>
      </c>
      <c r="U1023">
        <v>2</v>
      </c>
      <c r="V1023">
        <v>12</v>
      </c>
      <c r="W1023">
        <f>IF(nba_draft[[#This Row],[years_played]]&gt;5,1,0)</f>
        <v>0</v>
      </c>
    </row>
    <row r="1024" spans="1:23" x14ac:dyDescent="0.25">
      <c r="A1024">
        <v>30</v>
      </c>
      <c r="B1024" t="s">
        <v>49</v>
      </c>
      <c r="C1024" t="s">
        <v>1682</v>
      </c>
      <c r="D1024" t="s">
        <v>458</v>
      </c>
      <c r="E1024">
        <v>2</v>
      </c>
      <c r="F1024">
        <v>95</v>
      </c>
      <c r="G1024">
        <v>1691</v>
      </c>
      <c r="H1024">
        <v>642</v>
      </c>
      <c r="I1024">
        <v>413</v>
      </c>
      <c r="J1024">
        <v>94</v>
      </c>
      <c r="K1024">
        <v>0.41699999999999998</v>
      </c>
      <c r="L1024">
        <v>0.36599999999999999</v>
      </c>
      <c r="M1024">
        <v>0.76600000000000001</v>
      </c>
      <c r="N1024">
        <v>2.4</v>
      </c>
      <c r="O1024">
        <v>6.8000000000000005E-2</v>
      </c>
      <c r="P1024">
        <v>2018</v>
      </c>
      <c r="Q1024">
        <v>17.8</v>
      </c>
      <c r="R1024">
        <v>6.8</v>
      </c>
      <c r="S1024">
        <v>4.3</v>
      </c>
      <c r="T1024">
        <v>1</v>
      </c>
      <c r="U1024">
        <v>1</v>
      </c>
      <c r="V1024">
        <v>30</v>
      </c>
      <c r="W1024">
        <f>IF(nba_draft[[#This Row],[years_played]]&gt;5,1,0)</f>
        <v>0</v>
      </c>
    </row>
    <row r="1025" spans="1:23" x14ac:dyDescent="0.25">
      <c r="A1025">
        <v>17</v>
      </c>
      <c r="B1025" t="s">
        <v>63</v>
      </c>
      <c r="C1025" t="s">
        <v>1612</v>
      </c>
      <c r="D1025" t="s">
        <v>51</v>
      </c>
      <c r="E1025">
        <v>5</v>
      </c>
      <c r="F1025">
        <v>145</v>
      </c>
      <c r="G1025">
        <v>1797</v>
      </c>
      <c r="H1025">
        <v>641</v>
      </c>
      <c r="I1025">
        <v>450</v>
      </c>
      <c r="J1025">
        <v>107</v>
      </c>
      <c r="K1025">
        <v>0.41699999999999998</v>
      </c>
      <c r="L1025">
        <v>0.32700000000000001</v>
      </c>
      <c r="M1025">
        <v>0.61799999999999999</v>
      </c>
      <c r="N1025">
        <v>2.8</v>
      </c>
      <c r="O1025">
        <v>7.2999999999999995E-2</v>
      </c>
      <c r="P1025">
        <v>2017</v>
      </c>
      <c r="Q1025">
        <v>12.4</v>
      </c>
      <c r="R1025">
        <v>4.4000000000000004</v>
      </c>
      <c r="S1025">
        <v>3.1</v>
      </c>
      <c r="T1025">
        <v>0.7</v>
      </c>
      <c r="U1025">
        <v>1</v>
      </c>
      <c r="V1025">
        <v>17</v>
      </c>
      <c r="W1025">
        <f>IF(nba_draft[[#This Row],[years_played]]&gt;5,1,0)</f>
        <v>0</v>
      </c>
    </row>
    <row r="1026" spans="1:23" x14ac:dyDescent="0.25">
      <c r="A1026">
        <v>17</v>
      </c>
      <c r="B1026" t="s">
        <v>75</v>
      </c>
      <c r="C1026" t="s">
        <v>862</v>
      </c>
      <c r="D1026" t="s">
        <v>97</v>
      </c>
      <c r="E1026">
        <v>3</v>
      </c>
      <c r="F1026">
        <v>150</v>
      </c>
      <c r="G1026">
        <v>1550</v>
      </c>
      <c r="H1026">
        <v>640</v>
      </c>
      <c r="I1026">
        <v>312</v>
      </c>
      <c r="J1026">
        <v>85</v>
      </c>
      <c r="K1026">
        <v>0.42699999999999999</v>
      </c>
      <c r="L1026">
        <v>0.27300000000000002</v>
      </c>
      <c r="M1026">
        <v>0.73299999999999998</v>
      </c>
      <c r="N1026">
        <v>1.1000000000000001</v>
      </c>
      <c r="O1026">
        <v>3.5000000000000003E-2</v>
      </c>
      <c r="P1026">
        <v>2003</v>
      </c>
      <c r="Q1026">
        <v>10.3</v>
      </c>
      <c r="R1026">
        <v>4.3</v>
      </c>
      <c r="S1026">
        <v>2.1</v>
      </c>
      <c r="T1026">
        <v>0.6</v>
      </c>
      <c r="U1026">
        <v>1</v>
      </c>
      <c r="V1026">
        <v>17</v>
      </c>
      <c r="W1026">
        <f>IF(nba_draft[[#This Row],[years_played]]&gt;5,1,0)</f>
        <v>0</v>
      </c>
    </row>
    <row r="1027" spans="1:23" x14ac:dyDescent="0.25">
      <c r="A1027">
        <v>44</v>
      </c>
      <c r="B1027" t="s">
        <v>65</v>
      </c>
      <c r="C1027" t="s">
        <v>615</v>
      </c>
      <c r="D1027" t="s">
        <v>336</v>
      </c>
      <c r="E1027">
        <v>11</v>
      </c>
      <c r="F1027">
        <v>230</v>
      </c>
      <c r="G1027">
        <v>2275</v>
      </c>
      <c r="H1027">
        <v>638</v>
      </c>
      <c r="I1027">
        <v>501</v>
      </c>
      <c r="J1027">
        <v>50</v>
      </c>
      <c r="K1027">
        <v>0.44800000000000001</v>
      </c>
      <c r="L1027">
        <v>0.2</v>
      </c>
      <c r="M1027">
        <v>0.66500000000000004</v>
      </c>
      <c r="N1027">
        <v>2.6</v>
      </c>
      <c r="O1027">
        <v>5.5E-2</v>
      </c>
      <c r="P1027">
        <v>1998</v>
      </c>
      <c r="Q1027">
        <v>9.9</v>
      </c>
      <c r="R1027">
        <v>2.8</v>
      </c>
      <c r="S1027">
        <v>2.2000000000000002</v>
      </c>
      <c r="T1027">
        <v>0.2</v>
      </c>
      <c r="U1027">
        <v>2</v>
      </c>
      <c r="V1027">
        <v>15</v>
      </c>
      <c r="W1027">
        <f>IF(nba_draft[[#This Row],[years_played]]&gt;5,1,0)</f>
        <v>1</v>
      </c>
    </row>
    <row r="1028" spans="1:23" x14ac:dyDescent="0.25">
      <c r="A1028">
        <v>44</v>
      </c>
      <c r="B1028" t="s">
        <v>95</v>
      </c>
      <c r="C1028" t="s">
        <v>832</v>
      </c>
      <c r="D1028" t="s">
        <v>67</v>
      </c>
      <c r="E1028">
        <v>4</v>
      </c>
      <c r="F1028">
        <v>162</v>
      </c>
      <c r="G1028">
        <v>1884</v>
      </c>
      <c r="H1028">
        <v>637</v>
      </c>
      <c r="I1028">
        <v>477</v>
      </c>
      <c r="J1028">
        <v>40</v>
      </c>
      <c r="K1028">
        <v>0.46600000000000003</v>
      </c>
      <c r="L1028">
        <v>0.2</v>
      </c>
      <c r="M1028">
        <v>0.65700000000000003</v>
      </c>
      <c r="N1028">
        <v>2.9</v>
      </c>
      <c r="O1028">
        <v>7.4999999999999997E-2</v>
      </c>
      <c r="P1028">
        <v>2002</v>
      </c>
      <c r="Q1028">
        <v>11.6</v>
      </c>
      <c r="R1028">
        <v>3.9</v>
      </c>
      <c r="S1028">
        <v>2.9</v>
      </c>
      <c r="T1028">
        <v>0.2</v>
      </c>
      <c r="U1028">
        <v>2</v>
      </c>
      <c r="V1028">
        <v>15</v>
      </c>
      <c r="W1028">
        <f>IF(nba_draft[[#This Row],[years_played]]&gt;5,1,0)</f>
        <v>0</v>
      </c>
    </row>
    <row r="1029" spans="1:23" x14ac:dyDescent="0.25">
      <c r="A1029">
        <v>9</v>
      </c>
      <c r="B1029" t="s">
        <v>22</v>
      </c>
      <c r="C1029" t="s">
        <v>398</v>
      </c>
      <c r="D1029" t="s">
        <v>113</v>
      </c>
      <c r="E1029">
        <v>2</v>
      </c>
      <c r="F1029">
        <v>128</v>
      </c>
      <c r="G1029">
        <v>2062</v>
      </c>
      <c r="H1029">
        <v>634</v>
      </c>
      <c r="I1029">
        <v>316</v>
      </c>
      <c r="J1029">
        <v>102</v>
      </c>
      <c r="K1029">
        <v>0.36699999999999999</v>
      </c>
      <c r="L1029">
        <v>0.222</v>
      </c>
      <c r="M1029">
        <v>0.755</v>
      </c>
      <c r="N1029">
        <v>1.1000000000000001</v>
      </c>
      <c r="O1029">
        <v>2.5000000000000001E-2</v>
      </c>
      <c r="P1029">
        <v>1995</v>
      </c>
      <c r="Q1029">
        <v>16.100000000000001</v>
      </c>
      <c r="R1029">
        <v>5</v>
      </c>
      <c r="S1029">
        <v>2.5</v>
      </c>
      <c r="T1029">
        <v>0.8</v>
      </c>
      <c r="U1029">
        <v>1</v>
      </c>
      <c r="V1029">
        <v>9</v>
      </c>
      <c r="W1029">
        <f>IF(nba_draft[[#This Row],[years_played]]&gt;5,1,0)</f>
        <v>0</v>
      </c>
    </row>
    <row r="1030" spans="1:23" x14ac:dyDescent="0.25">
      <c r="A1030">
        <v>2</v>
      </c>
      <c r="B1030" t="s">
        <v>55</v>
      </c>
      <c r="C1030" t="s">
        <v>1833</v>
      </c>
      <c r="D1030" t="s">
        <v>97</v>
      </c>
      <c r="E1030">
        <v>1</v>
      </c>
      <c r="F1030">
        <v>43</v>
      </c>
      <c r="G1030">
        <v>1307</v>
      </c>
      <c r="H1030">
        <v>627</v>
      </c>
      <c r="I1030">
        <v>134</v>
      </c>
      <c r="J1030">
        <v>100</v>
      </c>
      <c r="K1030">
        <v>0.38700000000000001</v>
      </c>
      <c r="L1030">
        <v>0.311</v>
      </c>
      <c r="M1030">
        <v>0.81799999999999995</v>
      </c>
      <c r="N1030">
        <v>-0.8</v>
      </c>
      <c r="O1030">
        <v>-0.03</v>
      </c>
      <c r="P1030">
        <v>2021</v>
      </c>
      <c r="Q1030">
        <v>30.4</v>
      </c>
      <c r="R1030">
        <v>14.6</v>
      </c>
      <c r="S1030">
        <v>3.1</v>
      </c>
      <c r="T1030">
        <v>2.2999999999999998</v>
      </c>
      <c r="U1030">
        <v>1</v>
      </c>
      <c r="V1030">
        <v>2</v>
      </c>
      <c r="W1030">
        <f>IF(nba_draft[[#This Row],[years_played]]&gt;5,1,0)</f>
        <v>0</v>
      </c>
    </row>
    <row r="1031" spans="1:23" x14ac:dyDescent="0.25">
      <c r="A1031">
        <v>52</v>
      </c>
      <c r="B1031" t="s">
        <v>863</v>
      </c>
      <c r="C1031" t="s">
        <v>1646</v>
      </c>
      <c r="D1031" t="s">
        <v>54</v>
      </c>
      <c r="E1031">
        <v>4</v>
      </c>
      <c r="F1031">
        <v>108</v>
      </c>
      <c r="G1031">
        <v>1520</v>
      </c>
      <c r="H1031">
        <v>619</v>
      </c>
      <c r="I1031">
        <v>165</v>
      </c>
      <c r="J1031">
        <v>114</v>
      </c>
      <c r="K1031">
        <v>0.47399999999999998</v>
      </c>
      <c r="L1031">
        <v>0.33300000000000002</v>
      </c>
      <c r="M1031">
        <v>0.72799999999999998</v>
      </c>
      <c r="N1031">
        <v>1.9</v>
      </c>
      <c r="O1031">
        <v>6.0999999999999999E-2</v>
      </c>
      <c r="P1031">
        <v>2017</v>
      </c>
      <c r="Q1031">
        <v>14.1</v>
      </c>
      <c r="R1031">
        <v>5.7</v>
      </c>
      <c r="S1031">
        <v>1.5</v>
      </c>
      <c r="T1031">
        <v>1.1000000000000001</v>
      </c>
      <c r="U1031">
        <v>2</v>
      </c>
      <c r="V1031">
        <v>22</v>
      </c>
      <c r="W1031">
        <f>IF(nba_draft[[#This Row],[years_played]]&gt;5,1,0)</f>
        <v>0</v>
      </c>
    </row>
    <row r="1032" spans="1:23" x14ac:dyDescent="0.25">
      <c r="A1032">
        <v>18</v>
      </c>
      <c r="B1032" t="s">
        <v>109</v>
      </c>
      <c r="C1032" t="s">
        <v>1286</v>
      </c>
      <c r="D1032" t="s">
        <v>298</v>
      </c>
      <c r="E1032">
        <v>3</v>
      </c>
      <c r="F1032">
        <v>148</v>
      </c>
      <c r="G1032">
        <v>2605</v>
      </c>
      <c r="H1032">
        <v>612</v>
      </c>
      <c r="I1032">
        <v>472</v>
      </c>
      <c r="J1032">
        <v>92</v>
      </c>
      <c r="K1032">
        <v>0.376</v>
      </c>
      <c r="L1032">
        <v>0.31900000000000001</v>
      </c>
      <c r="M1032">
        <v>0.63300000000000001</v>
      </c>
      <c r="N1032">
        <v>2.2999999999999998</v>
      </c>
      <c r="O1032">
        <v>4.2000000000000003E-2</v>
      </c>
      <c r="P1032">
        <v>2011</v>
      </c>
      <c r="Q1032">
        <v>17.600000000000001</v>
      </c>
      <c r="R1032">
        <v>4.0999999999999996</v>
      </c>
      <c r="S1032">
        <v>3.2</v>
      </c>
      <c r="T1032">
        <v>0.6</v>
      </c>
      <c r="U1032">
        <v>1</v>
      </c>
      <c r="V1032">
        <v>18</v>
      </c>
      <c r="W1032">
        <f>IF(nba_draft[[#This Row],[years_played]]&gt;5,1,0)</f>
        <v>0</v>
      </c>
    </row>
    <row r="1033" spans="1:23" x14ac:dyDescent="0.25">
      <c r="A1033">
        <v>14</v>
      </c>
      <c r="B1033" t="s">
        <v>88</v>
      </c>
      <c r="C1033" t="s">
        <v>696</v>
      </c>
      <c r="D1033" t="s">
        <v>148</v>
      </c>
      <c r="E1033">
        <v>6</v>
      </c>
      <c r="F1033">
        <v>167</v>
      </c>
      <c r="G1033">
        <v>1863</v>
      </c>
      <c r="H1033">
        <v>609</v>
      </c>
      <c r="I1033">
        <v>175</v>
      </c>
      <c r="J1033">
        <v>310</v>
      </c>
      <c r="K1033">
        <v>0.38900000000000001</v>
      </c>
      <c r="L1033">
        <v>0.26700000000000002</v>
      </c>
      <c r="M1033">
        <v>0.72799999999999998</v>
      </c>
      <c r="N1033">
        <v>-0.8</v>
      </c>
      <c r="O1033">
        <v>-2.1000000000000001E-2</v>
      </c>
      <c r="P1033">
        <v>2000</v>
      </c>
      <c r="Q1033">
        <v>11.2</v>
      </c>
      <c r="R1033">
        <v>3.6</v>
      </c>
      <c r="S1033">
        <v>1</v>
      </c>
      <c r="T1033">
        <v>1.9</v>
      </c>
      <c r="U1033">
        <v>1</v>
      </c>
      <c r="V1033">
        <v>14</v>
      </c>
      <c r="W1033">
        <f>IF(nba_draft[[#This Row],[years_played]]&gt;5,1,0)</f>
        <v>1</v>
      </c>
    </row>
    <row r="1034" spans="1:23" x14ac:dyDescent="0.25">
      <c r="A1034">
        <v>36</v>
      </c>
      <c r="B1034" t="s">
        <v>149</v>
      </c>
      <c r="C1034" t="s">
        <v>670</v>
      </c>
      <c r="D1034" t="s">
        <v>97</v>
      </c>
      <c r="E1034">
        <v>5</v>
      </c>
      <c r="F1034">
        <v>137</v>
      </c>
      <c r="G1034">
        <v>1256</v>
      </c>
      <c r="H1034">
        <v>604</v>
      </c>
      <c r="I1034">
        <v>231</v>
      </c>
      <c r="J1034">
        <v>39</v>
      </c>
      <c r="K1034">
        <v>0.41699999999999998</v>
      </c>
      <c r="L1034">
        <v>0.38500000000000001</v>
      </c>
      <c r="M1034">
        <v>0.73499999999999999</v>
      </c>
      <c r="N1034">
        <v>2.1</v>
      </c>
      <c r="O1034">
        <v>7.8E-2</v>
      </c>
      <c r="P1034">
        <v>1999</v>
      </c>
      <c r="Q1034">
        <v>9.1999999999999993</v>
      </c>
      <c r="R1034">
        <v>4.4000000000000004</v>
      </c>
      <c r="S1034">
        <v>1.7</v>
      </c>
      <c r="T1034">
        <v>0.3</v>
      </c>
      <c r="U1034">
        <v>2</v>
      </c>
      <c r="V1034">
        <v>7</v>
      </c>
      <c r="W1034">
        <f>IF(nba_draft[[#This Row],[years_played]]&gt;5,1,0)</f>
        <v>0</v>
      </c>
    </row>
    <row r="1035" spans="1:23" x14ac:dyDescent="0.25">
      <c r="A1035">
        <v>17</v>
      </c>
      <c r="B1035" t="s">
        <v>37</v>
      </c>
      <c r="C1035" t="s">
        <v>1788</v>
      </c>
      <c r="D1035" t="s">
        <v>97</v>
      </c>
      <c r="E1035">
        <v>2</v>
      </c>
      <c r="F1035">
        <v>87</v>
      </c>
      <c r="G1035">
        <v>1786</v>
      </c>
      <c r="H1035">
        <v>596</v>
      </c>
      <c r="I1035">
        <v>394</v>
      </c>
      <c r="J1035">
        <v>147</v>
      </c>
      <c r="K1035">
        <v>0.35799999999999998</v>
      </c>
      <c r="L1035">
        <v>0.27800000000000002</v>
      </c>
      <c r="M1035">
        <v>0.69</v>
      </c>
      <c r="N1035">
        <v>-1.9</v>
      </c>
      <c r="O1035">
        <v>-5.1999999999999998E-2</v>
      </c>
      <c r="P1035">
        <v>2020</v>
      </c>
      <c r="Q1035">
        <v>20.5</v>
      </c>
      <c r="R1035">
        <v>6.9</v>
      </c>
      <c r="S1035">
        <v>4.5</v>
      </c>
      <c r="T1035">
        <v>1.7</v>
      </c>
      <c r="U1035">
        <v>1</v>
      </c>
      <c r="V1035">
        <v>17</v>
      </c>
      <c r="W1035">
        <f>IF(nba_draft[[#This Row],[years_played]]&gt;5,1,0)</f>
        <v>0</v>
      </c>
    </row>
    <row r="1036" spans="1:23" x14ac:dyDescent="0.25">
      <c r="A1036">
        <v>19</v>
      </c>
      <c r="B1036" t="s">
        <v>90</v>
      </c>
      <c r="C1036" t="s">
        <v>1075</v>
      </c>
      <c r="D1036" t="s">
        <v>33</v>
      </c>
      <c r="E1036">
        <v>2</v>
      </c>
      <c r="F1036">
        <v>113</v>
      </c>
      <c r="G1036">
        <v>1853</v>
      </c>
      <c r="H1036">
        <v>595</v>
      </c>
      <c r="I1036">
        <v>276</v>
      </c>
      <c r="J1036">
        <v>201</v>
      </c>
      <c r="K1036">
        <v>0.442</v>
      </c>
      <c r="L1036">
        <v>0.23100000000000001</v>
      </c>
      <c r="M1036">
        <v>0.63800000000000001</v>
      </c>
      <c r="N1036">
        <v>0.1</v>
      </c>
      <c r="O1036">
        <v>2E-3</v>
      </c>
      <c r="P1036">
        <v>2007</v>
      </c>
      <c r="Q1036">
        <v>16.399999999999999</v>
      </c>
      <c r="R1036">
        <v>5.3</v>
      </c>
      <c r="S1036">
        <v>2.4</v>
      </c>
      <c r="T1036">
        <v>1.8</v>
      </c>
      <c r="U1036">
        <v>1</v>
      </c>
      <c r="V1036">
        <v>19</v>
      </c>
      <c r="W1036">
        <f>IF(nba_draft[[#This Row],[years_played]]&gt;5,1,0)</f>
        <v>0</v>
      </c>
    </row>
    <row r="1037" spans="1:23" x14ac:dyDescent="0.25">
      <c r="A1037">
        <v>38</v>
      </c>
      <c r="B1037" t="s">
        <v>95</v>
      </c>
      <c r="C1037" t="s">
        <v>1633</v>
      </c>
      <c r="D1037" t="s">
        <v>158</v>
      </c>
      <c r="E1037">
        <v>5</v>
      </c>
      <c r="F1037">
        <v>161</v>
      </c>
      <c r="G1037">
        <v>1937</v>
      </c>
      <c r="H1037">
        <v>593</v>
      </c>
      <c r="I1037">
        <v>497</v>
      </c>
      <c r="J1037">
        <v>201</v>
      </c>
      <c r="K1037">
        <v>0.55200000000000005</v>
      </c>
      <c r="L1037">
        <v>0.2</v>
      </c>
      <c r="M1037">
        <v>0.63600000000000001</v>
      </c>
      <c r="N1037">
        <v>4.9000000000000004</v>
      </c>
      <c r="O1037">
        <v>0.121</v>
      </c>
      <c r="P1037">
        <v>2017</v>
      </c>
      <c r="Q1037">
        <v>12</v>
      </c>
      <c r="R1037">
        <v>3.7</v>
      </c>
      <c r="S1037">
        <v>3.1</v>
      </c>
      <c r="T1037">
        <v>1.2</v>
      </c>
      <c r="U1037">
        <v>2</v>
      </c>
      <c r="V1037">
        <v>8</v>
      </c>
      <c r="W1037">
        <f>IF(nba_draft[[#This Row],[years_played]]&gt;5,1,0)</f>
        <v>0</v>
      </c>
    </row>
    <row r="1038" spans="1:23" x14ac:dyDescent="0.25">
      <c r="A1038">
        <v>36</v>
      </c>
      <c r="B1038" t="s">
        <v>49</v>
      </c>
      <c r="C1038" t="s">
        <v>112</v>
      </c>
      <c r="D1038" t="s">
        <v>113</v>
      </c>
      <c r="E1038">
        <v>4</v>
      </c>
      <c r="F1038">
        <v>103</v>
      </c>
      <c r="G1038">
        <v>1609</v>
      </c>
      <c r="H1038">
        <v>591</v>
      </c>
      <c r="I1038">
        <v>353</v>
      </c>
      <c r="J1038">
        <v>99</v>
      </c>
      <c r="K1038">
        <v>0.45600000000000002</v>
      </c>
      <c r="L1038">
        <v>0</v>
      </c>
      <c r="M1038">
        <v>0.56699999999999995</v>
      </c>
      <c r="N1038">
        <v>0.8</v>
      </c>
      <c r="O1038">
        <v>2.3E-2</v>
      </c>
      <c r="P1038">
        <v>1990</v>
      </c>
      <c r="Q1038">
        <v>15.6</v>
      </c>
      <c r="R1038">
        <v>5.7</v>
      </c>
      <c r="S1038">
        <v>3.4</v>
      </c>
      <c r="T1038">
        <v>1</v>
      </c>
      <c r="U1038">
        <v>2</v>
      </c>
      <c r="V1038">
        <v>9</v>
      </c>
      <c r="W1038">
        <f>IF(nba_draft[[#This Row],[years_played]]&gt;5,1,0)</f>
        <v>0</v>
      </c>
    </row>
    <row r="1039" spans="1:23" x14ac:dyDescent="0.25">
      <c r="A1039">
        <v>45</v>
      </c>
      <c r="B1039" t="s">
        <v>37</v>
      </c>
      <c r="C1039" t="s">
        <v>1208</v>
      </c>
      <c r="D1039" t="s">
        <v>84</v>
      </c>
      <c r="E1039">
        <v>2</v>
      </c>
      <c r="F1039">
        <v>129</v>
      </c>
      <c r="G1039">
        <v>2011</v>
      </c>
      <c r="H1039">
        <v>590</v>
      </c>
      <c r="I1039">
        <v>243</v>
      </c>
      <c r="J1039">
        <v>353</v>
      </c>
      <c r="K1039">
        <v>0.441</v>
      </c>
      <c r="L1039">
        <v>0.28799999999999998</v>
      </c>
      <c r="M1039">
        <v>0.58099999999999996</v>
      </c>
      <c r="N1039">
        <v>2.6</v>
      </c>
      <c r="O1039">
        <v>6.3E-2</v>
      </c>
      <c r="P1039">
        <v>2009</v>
      </c>
      <c r="Q1039">
        <v>15.6</v>
      </c>
      <c r="R1039">
        <v>4.5999999999999996</v>
      </c>
      <c r="S1039">
        <v>1.9</v>
      </c>
      <c r="T1039">
        <v>2.7</v>
      </c>
      <c r="U1039">
        <v>2</v>
      </c>
      <c r="V1039">
        <v>15</v>
      </c>
      <c r="W1039">
        <f>IF(nba_draft[[#This Row],[years_played]]&gt;5,1,0)</f>
        <v>0</v>
      </c>
    </row>
    <row r="1040" spans="1:23" x14ac:dyDescent="0.25">
      <c r="A1040">
        <v>6</v>
      </c>
      <c r="B1040" t="s">
        <v>109</v>
      </c>
      <c r="C1040" t="s">
        <v>1274</v>
      </c>
      <c r="D1040" t="s">
        <v>97</v>
      </c>
      <c r="E1040">
        <v>3</v>
      </c>
      <c r="F1040">
        <v>162</v>
      </c>
      <c r="G1040">
        <v>2455</v>
      </c>
      <c r="H1040">
        <v>590</v>
      </c>
      <c r="I1040">
        <v>562</v>
      </c>
      <c r="J1040">
        <v>96</v>
      </c>
      <c r="K1040">
        <v>0.52100000000000002</v>
      </c>
      <c r="L1040">
        <v>0</v>
      </c>
      <c r="M1040">
        <v>0.40799999999999997</v>
      </c>
      <c r="N1040">
        <v>4</v>
      </c>
      <c r="O1040">
        <v>7.8E-2</v>
      </c>
      <c r="P1040">
        <v>2011</v>
      </c>
      <c r="Q1040">
        <v>15.2</v>
      </c>
      <c r="R1040">
        <v>3.6</v>
      </c>
      <c r="S1040">
        <v>3.5</v>
      </c>
      <c r="T1040">
        <v>0.6</v>
      </c>
      <c r="U1040">
        <v>1</v>
      </c>
      <c r="V1040">
        <v>6</v>
      </c>
      <c r="W1040">
        <f>IF(nba_draft[[#This Row],[years_played]]&gt;5,1,0)</f>
        <v>0</v>
      </c>
    </row>
    <row r="1041" spans="1:23" x14ac:dyDescent="0.25">
      <c r="A1041">
        <v>19</v>
      </c>
      <c r="B1041" t="s">
        <v>40</v>
      </c>
      <c r="C1041" t="s">
        <v>1021</v>
      </c>
      <c r="D1041" t="s">
        <v>1022</v>
      </c>
      <c r="E1041">
        <v>3</v>
      </c>
      <c r="F1041">
        <v>143</v>
      </c>
      <c r="G1041">
        <v>1535</v>
      </c>
      <c r="H1041">
        <v>588</v>
      </c>
      <c r="I1041">
        <v>152</v>
      </c>
      <c r="J1041">
        <v>93</v>
      </c>
      <c r="K1041">
        <v>0.38900000000000001</v>
      </c>
      <c r="L1041">
        <v>0.312</v>
      </c>
      <c r="M1041">
        <v>0.88400000000000001</v>
      </c>
      <c r="N1041">
        <v>0</v>
      </c>
      <c r="O1041">
        <v>0</v>
      </c>
      <c r="P1041">
        <v>2006</v>
      </c>
      <c r="Q1041">
        <v>10.7</v>
      </c>
      <c r="R1041">
        <v>4.0999999999999996</v>
      </c>
      <c r="S1041">
        <v>1.1000000000000001</v>
      </c>
      <c r="T1041">
        <v>0.7</v>
      </c>
      <c r="U1041">
        <v>1</v>
      </c>
      <c r="V1041">
        <v>19</v>
      </c>
      <c r="W1041">
        <f>IF(nba_draft[[#This Row],[years_played]]&gt;5,1,0)</f>
        <v>0</v>
      </c>
    </row>
    <row r="1042" spans="1:23" x14ac:dyDescent="0.25">
      <c r="A1042">
        <v>24</v>
      </c>
      <c r="B1042" t="s">
        <v>82</v>
      </c>
      <c r="C1042" t="s">
        <v>83</v>
      </c>
      <c r="D1042" t="s">
        <v>84</v>
      </c>
      <c r="E1042">
        <v>8</v>
      </c>
      <c r="F1042">
        <v>217</v>
      </c>
      <c r="G1042">
        <v>1950</v>
      </c>
      <c r="H1042">
        <v>587</v>
      </c>
      <c r="I1042">
        <v>536</v>
      </c>
      <c r="J1042">
        <v>93</v>
      </c>
      <c r="K1042">
        <v>0.40400000000000003</v>
      </c>
      <c r="L1042">
        <v>0.125</v>
      </c>
      <c r="M1042">
        <v>0.63800000000000001</v>
      </c>
      <c r="N1042">
        <v>1</v>
      </c>
      <c r="O1042">
        <v>2.4E-2</v>
      </c>
      <c r="P1042">
        <v>1990</v>
      </c>
      <c r="Q1042">
        <v>9</v>
      </c>
      <c r="R1042">
        <v>2.7</v>
      </c>
      <c r="S1042">
        <v>2.5</v>
      </c>
      <c r="T1042">
        <v>0.4</v>
      </c>
      <c r="U1042">
        <v>1</v>
      </c>
      <c r="V1042">
        <v>24</v>
      </c>
      <c r="W1042">
        <f>IF(nba_draft[[#This Row],[years_played]]&gt;5,1,0)</f>
        <v>1</v>
      </c>
    </row>
    <row r="1043" spans="1:23" x14ac:dyDescent="0.25">
      <c r="A1043">
        <v>33</v>
      </c>
      <c r="B1043" t="s">
        <v>393</v>
      </c>
      <c r="C1043" t="s">
        <v>773</v>
      </c>
      <c r="D1043" t="s">
        <v>92</v>
      </c>
      <c r="E1043">
        <v>2</v>
      </c>
      <c r="F1043">
        <v>115</v>
      </c>
      <c r="G1043">
        <v>1584</v>
      </c>
      <c r="H1043">
        <v>584</v>
      </c>
      <c r="I1043">
        <v>132</v>
      </c>
      <c r="J1043">
        <v>225</v>
      </c>
      <c r="K1043">
        <v>0.378</v>
      </c>
      <c r="L1043">
        <v>0.29799999999999999</v>
      </c>
      <c r="M1043">
        <v>0.69199999999999995</v>
      </c>
      <c r="N1043">
        <v>0</v>
      </c>
      <c r="O1043">
        <v>0</v>
      </c>
      <c r="P1043">
        <v>2001</v>
      </c>
      <c r="Q1043">
        <v>13.8</v>
      </c>
      <c r="R1043">
        <v>5.0999999999999996</v>
      </c>
      <c r="S1043">
        <v>1.1000000000000001</v>
      </c>
      <c r="T1043">
        <v>2</v>
      </c>
      <c r="U1043">
        <v>2</v>
      </c>
      <c r="V1043">
        <v>4</v>
      </c>
      <c r="W1043">
        <f>IF(nba_draft[[#This Row],[years_played]]&gt;5,1,0)</f>
        <v>0</v>
      </c>
    </row>
    <row r="1044" spans="1:23" x14ac:dyDescent="0.25">
      <c r="A1044">
        <v>44</v>
      </c>
      <c r="B1044" t="s">
        <v>37</v>
      </c>
      <c r="C1044" t="s">
        <v>1485</v>
      </c>
      <c r="D1044" t="s">
        <v>206</v>
      </c>
      <c r="E1044">
        <v>3</v>
      </c>
      <c r="F1044">
        <v>113</v>
      </c>
      <c r="G1044">
        <v>1794</v>
      </c>
      <c r="H1044">
        <v>584</v>
      </c>
      <c r="I1044">
        <v>234</v>
      </c>
      <c r="J1044">
        <v>132</v>
      </c>
      <c r="K1044">
        <v>0.38</v>
      </c>
      <c r="L1044">
        <v>0.29499999999999998</v>
      </c>
      <c r="M1044">
        <v>0.78100000000000003</v>
      </c>
      <c r="N1044">
        <v>1.1000000000000001</v>
      </c>
      <c r="O1044">
        <v>2.9000000000000001E-2</v>
      </c>
      <c r="P1044">
        <v>2014</v>
      </c>
      <c r="Q1044">
        <v>15.9</v>
      </c>
      <c r="R1044">
        <v>5.2</v>
      </c>
      <c r="S1044">
        <v>2.1</v>
      </c>
      <c r="T1044">
        <v>1.2</v>
      </c>
      <c r="U1044">
        <v>2</v>
      </c>
      <c r="V1044">
        <v>14</v>
      </c>
      <c r="W1044">
        <f>IF(nba_draft[[#This Row],[years_played]]&gt;5,1,0)</f>
        <v>0</v>
      </c>
    </row>
    <row r="1045" spans="1:23" x14ac:dyDescent="0.25">
      <c r="A1045">
        <v>17</v>
      </c>
      <c r="B1045" t="s">
        <v>22</v>
      </c>
      <c r="C1045" t="s">
        <v>1073</v>
      </c>
      <c r="D1045" t="s">
        <v>360</v>
      </c>
      <c r="E1045">
        <v>4</v>
      </c>
      <c r="F1045">
        <v>137</v>
      </c>
      <c r="G1045">
        <v>1978</v>
      </c>
      <c r="H1045">
        <v>581</v>
      </c>
      <c r="I1045">
        <v>472</v>
      </c>
      <c r="J1045">
        <v>47</v>
      </c>
      <c r="K1045">
        <v>0.51100000000000001</v>
      </c>
      <c r="L1045">
        <v>0</v>
      </c>
      <c r="M1045">
        <v>0.624</v>
      </c>
      <c r="N1045">
        <v>3</v>
      </c>
      <c r="O1045">
        <v>7.2999999999999995E-2</v>
      </c>
      <c r="P1045">
        <v>2007</v>
      </c>
      <c r="Q1045">
        <v>14.4</v>
      </c>
      <c r="R1045">
        <v>4.2</v>
      </c>
      <c r="S1045">
        <v>3.4</v>
      </c>
      <c r="T1045">
        <v>0.3</v>
      </c>
      <c r="U1045">
        <v>1</v>
      </c>
      <c r="V1045">
        <v>17</v>
      </c>
      <c r="W1045">
        <f>IF(nba_draft[[#This Row],[years_played]]&gt;5,1,0)</f>
        <v>0</v>
      </c>
    </row>
    <row r="1046" spans="1:23" x14ac:dyDescent="0.25">
      <c r="A1046">
        <v>45</v>
      </c>
      <c r="B1046" t="s">
        <v>34</v>
      </c>
      <c r="C1046" t="s">
        <v>939</v>
      </c>
      <c r="D1046" t="s">
        <v>51</v>
      </c>
      <c r="E1046">
        <v>3</v>
      </c>
      <c r="F1046">
        <v>128</v>
      </c>
      <c r="G1046">
        <v>1909</v>
      </c>
      <c r="H1046">
        <v>576</v>
      </c>
      <c r="I1046">
        <v>315</v>
      </c>
      <c r="J1046">
        <v>126</v>
      </c>
      <c r="K1046">
        <v>0.41699999999999998</v>
      </c>
      <c r="L1046">
        <v>0.161</v>
      </c>
      <c r="M1046">
        <v>0.78600000000000003</v>
      </c>
      <c r="N1046">
        <v>2</v>
      </c>
      <c r="O1046">
        <v>4.9000000000000002E-2</v>
      </c>
      <c r="P1046">
        <v>2004</v>
      </c>
      <c r="Q1046">
        <v>14.9</v>
      </c>
      <c r="R1046">
        <v>4.5</v>
      </c>
      <c r="S1046">
        <v>2.5</v>
      </c>
      <c r="T1046">
        <v>1</v>
      </c>
      <c r="U1046">
        <v>2</v>
      </c>
      <c r="V1046">
        <v>16</v>
      </c>
      <c r="W1046">
        <f>IF(nba_draft[[#This Row],[years_played]]&gt;5,1,0)</f>
        <v>0</v>
      </c>
    </row>
    <row r="1047" spans="1:23" x14ac:dyDescent="0.25">
      <c r="A1047">
        <v>18</v>
      </c>
      <c r="B1047" t="s">
        <v>127</v>
      </c>
      <c r="C1047" t="s">
        <v>1729</v>
      </c>
      <c r="D1047" t="s">
        <v>97</v>
      </c>
      <c r="E1047">
        <v>3</v>
      </c>
      <c r="F1047">
        <v>134</v>
      </c>
      <c r="G1047">
        <v>1445</v>
      </c>
      <c r="H1047">
        <v>575</v>
      </c>
      <c r="I1047">
        <v>357</v>
      </c>
      <c r="J1047">
        <v>87</v>
      </c>
      <c r="K1047">
        <v>0.44600000000000001</v>
      </c>
      <c r="L1047">
        <v>0.214</v>
      </c>
      <c r="M1047">
        <v>0.68700000000000006</v>
      </c>
      <c r="N1047">
        <v>2.7</v>
      </c>
      <c r="O1047">
        <v>8.8999999999999996E-2</v>
      </c>
      <c r="P1047">
        <v>2019</v>
      </c>
      <c r="Q1047">
        <v>10.8</v>
      </c>
      <c r="R1047">
        <v>4.3</v>
      </c>
      <c r="S1047">
        <v>2.7</v>
      </c>
      <c r="T1047">
        <v>0.6</v>
      </c>
      <c r="U1047">
        <v>1</v>
      </c>
      <c r="V1047">
        <v>18</v>
      </c>
      <c r="W1047">
        <f>IF(nba_draft[[#This Row],[years_played]]&gt;5,1,0)</f>
        <v>0</v>
      </c>
    </row>
    <row r="1048" spans="1:23" x14ac:dyDescent="0.25">
      <c r="A1048">
        <v>8</v>
      </c>
      <c r="B1048" t="s">
        <v>43</v>
      </c>
      <c r="C1048" t="s">
        <v>44</v>
      </c>
      <c r="D1048" t="s">
        <v>45</v>
      </c>
      <c r="E1048">
        <v>3</v>
      </c>
      <c r="F1048">
        <v>105</v>
      </c>
      <c r="G1048">
        <v>1336</v>
      </c>
      <c r="H1048">
        <v>574</v>
      </c>
      <c r="I1048">
        <v>162</v>
      </c>
      <c r="J1048">
        <v>98</v>
      </c>
      <c r="K1048">
        <v>0.38600000000000001</v>
      </c>
      <c r="L1048">
        <v>0.29099999999999998</v>
      </c>
      <c r="M1048">
        <v>0.72799999999999998</v>
      </c>
      <c r="N1048">
        <v>0.1</v>
      </c>
      <c r="O1048">
        <v>4.0000000000000001E-3</v>
      </c>
      <c r="P1048">
        <v>1990</v>
      </c>
      <c r="Q1048">
        <v>12.7</v>
      </c>
      <c r="R1048">
        <v>5.5</v>
      </c>
      <c r="S1048">
        <v>1.5</v>
      </c>
      <c r="T1048">
        <v>0.9</v>
      </c>
      <c r="U1048">
        <v>1</v>
      </c>
      <c r="V1048">
        <v>8</v>
      </c>
      <c r="W1048">
        <f>IF(nba_draft[[#This Row],[years_played]]&gt;5,1,0)</f>
        <v>0</v>
      </c>
    </row>
    <row r="1049" spans="1:23" x14ac:dyDescent="0.25">
      <c r="A1049">
        <v>33</v>
      </c>
      <c r="B1049" t="s">
        <v>149</v>
      </c>
      <c r="C1049" t="s">
        <v>319</v>
      </c>
      <c r="D1049" t="s">
        <v>51</v>
      </c>
      <c r="E1049">
        <v>5</v>
      </c>
      <c r="F1049">
        <v>186</v>
      </c>
      <c r="G1049">
        <v>1844</v>
      </c>
      <c r="H1049">
        <v>574</v>
      </c>
      <c r="I1049">
        <v>479</v>
      </c>
      <c r="J1049">
        <v>60</v>
      </c>
      <c r="K1049">
        <v>0.45600000000000002</v>
      </c>
      <c r="L1049">
        <v>0</v>
      </c>
      <c r="M1049">
        <v>0.70399999999999996</v>
      </c>
      <c r="N1049">
        <v>2.5</v>
      </c>
      <c r="O1049">
        <v>6.6000000000000003E-2</v>
      </c>
      <c r="P1049">
        <v>1993</v>
      </c>
      <c r="Q1049">
        <v>9.9</v>
      </c>
      <c r="R1049">
        <v>3.1</v>
      </c>
      <c r="S1049">
        <v>2.6</v>
      </c>
      <c r="T1049">
        <v>0.3</v>
      </c>
      <c r="U1049">
        <v>2</v>
      </c>
      <c r="V1049">
        <v>6</v>
      </c>
      <c r="W1049">
        <f>IF(nba_draft[[#This Row],[years_played]]&gt;5,1,0)</f>
        <v>0</v>
      </c>
    </row>
    <row r="1050" spans="1:23" x14ac:dyDescent="0.25">
      <c r="A1050">
        <v>19</v>
      </c>
      <c r="B1050" t="s">
        <v>104</v>
      </c>
      <c r="C1050" t="s">
        <v>648</v>
      </c>
      <c r="D1050" t="s">
        <v>48</v>
      </c>
      <c r="E1050">
        <v>4</v>
      </c>
      <c r="F1050">
        <v>159</v>
      </c>
      <c r="G1050">
        <v>1853</v>
      </c>
      <c r="H1050">
        <v>567</v>
      </c>
      <c r="I1050">
        <v>210</v>
      </c>
      <c r="J1050">
        <v>96</v>
      </c>
      <c r="K1050">
        <v>0.39700000000000002</v>
      </c>
      <c r="L1050">
        <v>0.33300000000000002</v>
      </c>
      <c r="M1050">
        <v>0.71</v>
      </c>
      <c r="N1050">
        <v>0.8</v>
      </c>
      <c r="O1050">
        <v>0.02</v>
      </c>
      <c r="P1050">
        <v>1999</v>
      </c>
      <c r="Q1050">
        <v>11.7</v>
      </c>
      <c r="R1050">
        <v>3.6</v>
      </c>
      <c r="S1050">
        <v>1.3</v>
      </c>
      <c r="T1050">
        <v>0.6</v>
      </c>
      <c r="U1050">
        <v>1</v>
      </c>
      <c r="V1050">
        <v>19</v>
      </c>
      <c r="W1050">
        <f>IF(nba_draft[[#This Row],[years_played]]&gt;5,1,0)</f>
        <v>0</v>
      </c>
    </row>
    <row r="1051" spans="1:23" x14ac:dyDescent="0.25">
      <c r="A1051">
        <v>35</v>
      </c>
      <c r="B1051" t="s">
        <v>40</v>
      </c>
      <c r="C1051" t="s">
        <v>1806</v>
      </c>
      <c r="D1051" t="s">
        <v>148</v>
      </c>
      <c r="E1051">
        <v>2</v>
      </c>
      <c r="F1051">
        <v>98</v>
      </c>
      <c r="G1051">
        <v>1595</v>
      </c>
      <c r="H1051">
        <v>566</v>
      </c>
      <c r="I1051">
        <v>372</v>
      </c>
      <c r="J1051">
        <v>115</v>
      </c>
      <c r="K1051">
        <v>0.52200000000000002</v>
      </c>
      <c r="L1051">
        <v>0.28999999999999998</v>
      </c>
      <c r="M1051">
        <v>0.64400000000000002</v>
      </c>
      <c r="N1051">
        <v>4.0999999999999996</v>
      </c>
      <c r="O1051">
        <v>0.123</v>
      </c>
      <c r="P1051">
        <v>2020</v>
      </c>
      <c r="Q1051">
        <v>16.3</v>
      </c>
      <c r="R1051">
        <v>5.8</v>
      </c>
      <c r="S1051">
        <v>3.8</v>
      </c>
      <c r="T1051">
        <v>1.2</v>
      </c>
      <c r="U1051">
        <v>2</v>
      </c>
      <c r="V1051">
        <v>5</v>
      </c>
      <c r="W1051">
        <f>IF(nba_draft[[#This Row],[years_played]]&gt;5,1,0)</f>
        <v>0</v>
      </c>
    </row>
    <row r="1052" spans="1:23" x14ac:dyDescent="0.25">
      <c r="A1052">
        <v>22</v>
      </c>
      <c r="B1052" t="s">
        <v>22</v>
      </c>
      <c r="C1052" t="s">
        <v>868</v>
      </c>
      <c r="D1052" t="s">
        <v>97</v>
      </c>
      <c r="E1052">
        <v>3</v>
      </c>
      <c r="F1052">
        <v>148</v>
      </c>
      <c r="G1052">
        <v>1584</v>
      </c>
      <c r="H1052">
        <v>561</v>
      </c>
      <c r="I1052">
        <v>198</v>
      </c>
      <c r="J1052">
        <v>165</v>
      </c>
      <c r="K1052">
        <v>0.40500000000000003</v>
      </c>
      <c r="L1052">
        <v>0.28899999999999998</v>
      </c>
      <c r="M1052">
        <v>0.67700000000000005</v>
      </c>
      <c r="N1052">
        <v>1.5</v>
      </c>
      <c r="O1052">
        <v>4.5999999999999999E-2</v>
      </c>
      <c r="P1052">
        <v>2003</v>
      </c>
      <c r="Q1052">
        <v>10.7</v>
      </c>
      <c r="R1052">
        <v>3.8</v>
      </c>
      <c r="S1052">
        <v>1.3</v>
      </c>
      <c r="T1052">
        <v>1.1000000000000001</v>
      </c>
      <c r="U1052">
        <v>1</v>
      </c>
      <c r="V1052">
        <v>22</v>
      </c>
      <c r="W1052">
        <f>IF(nba_draft[[#This Row],[years_played]]&gt;5,1,0)</f>
        <v>0</v>
      </c>
    </row>
    <row r="1053" spans="1:23" x14ac:dyDescent="0.25">
      <c r="A1053">
        <v>25</v>
      </c>
      <c r="B1053" t="s">
        <v>65</v>
      </c>
      <c r="C1053" t="s">
        <v>535</v>
      </c>
      <c r="D1053" t="s">
        <v>48</v>
      </c>
      <c r="E1053">
        <v>5</v>
      </c>
      <c r="F1053">
        <v>208</v>
      </c>
      <c r="G1053">
        <v>2253</v>
      </c>
      <c r="H1053">
        <v>560</v>
      </c>
      <c r="I1053">
        <v>432</v>
      </c>
      <c r="J1053">
        <v>60</v>
      </c>
      <c r="K1053">
        <v>0.502</v>
      </c>
      <c r="L1053">
        <v>0</v>
      </c>
      <c r="M1053">
        <v>0.59099999999999997</v>
      </c>
      <c r="N1053">
        <v>3.2</v>
      </c>
      <c r="O1053">
        <v>6.7000000000000004E-2</v>
      </c>
      <c r="P1053">
        <v>1997</v>
      </c>
      <c r="Q1053">
        <v>10.8</v>
      </c>
      <c r="R1053">
        <v>2.7</v>
      </c>
      <c r="S1053">
        <v>2.1</v>
      </c>
      <c r="T1053">
        <v>0.3</v>
      </c>
      <c r="U1053">
        <v>1</v>
      </c>
      <c r="V1053">
        <v>25</v>
      </c>
      <c r="W1053">
        <f>IF(nba_draft[[#This Row],[years_played]]&gt;5,1,0)</f>
        <v>0</v>
      </c>
    </row>
    <row r="1054" spans="1:23" x14ac:dyDescent="0.25">
      <c r="A1054">
        <v>22</v>
      </c>
      <c r="B1054" t="s">
        <v>95</v>
      </c>
      <c r="C1054" t="s">
        <v>1673</v>
      </c>
      <c r="D1054" t="s">
        <v>1674</v>
      </c>
      <c r="E1054">
        <v>4</v>
      </c>
      <c r="F1054">
        <v>103</v>
      </c>
      <c r="G1054">
        <v>1790</v>
      </c>
      <c r="H1054">
        <v>558</v>
      </c>
      <c r="I1054">
        <v>376</v>
      </c>
      <c r="J1054">
        <v>79</v>
      </c>
      <c r="K1054">
        <v>0.442</v>
      </c>
      <c r="L1054">
        <v>0.309</v>
      </c>
      <c r="M1054">
        <v>0.64300000000000002</v>
      </c>
      <c r="N1054">
        <v>1.1000000000000001</v>
      </c>
      <c r="O1054">
        <v>0.03</v>
      </c>
      <c r="P1054">
        <v>2018</v>
      </c>
      <c r="Q1054">
        <v>17.399999999999999</v>
      </c>
      <c r="R1054">
        <v>5.4</v>
      </c>
      <c r="S1054">
        <v>3.7</v>
      </c>
      <c r="T1054">
        <v>0.8</v>
      </c>
      <c r="U1054">
        <v>1</v>
      </c>
      <c r="V1054">
        <v>22</v>
      </c>
      <c r="W1054">
        <f>IF(nba_draft[[#This Row],[years_played]]&gt;5,1,0)</f>
        <v>0</v>
      </c>
    </row>
    <row r="1055" spans="1:23" x14ac:dyDescent="0.25">
      <c r="A1055">
        <v>46</v>
      </c>
      <c r="B1055" t="s">
        <v>37</v>
      </c>
      <c r="C1055" t="s">
        <v>783</v>
      </c>
      <c r="D1055" t="s">
        <v>117</v>
      </c>
      <c r="E1055">
        <v>6</v>
      </c>
      <c r="F1055">
        <v>215</v>
      </c>
      <c r="G1055">
        <v>2428</v>
      </c>
      <c r="H1055">
        <v>555</v>
      </c>
      <c r="I1055">
        <v>682</v>
      </c>
      <c r="J1055">
        <v>74</v>
      </c>
      <c r="K1055">
        <v>0.41899999999999998</v>
      </c>
      <c r="L1055">
        <v>0.14299999999999999</v>
      </c>
      <c r="M1055">
        <v>0.64200000000000002</v>
      </c>
      <c r="N1055">
        <v>3.1</v>
      </c>
      <c r="O1055">
        <v>6.2E-2</v>
      </c>
      <c r="P1055">
        <v>2001</v>
      </c>
      <c r="Q1055">
        <v>11.3</v>
      </c>
      <c r="R1055">
        <v>2.6</v>
      </c>
      <c r="S1055">
        <v>3.2</v>
      </c>
      <c r="T1055">
        <v>0.3</v>
      </c>
      <c r="U1055">
        <v>2</v>
      </c>
      <c r="V1055">
        <v>17</v>
      </c>
      <c r="W1055">
        <f>IF(nba_draft[[#This Row],[years_played]]&gt;5,1,0)</f>
        <v>1</v>
      </c>
    </row>
    <row r="1056" spans="1:23" x14ac:dyDescent="0.25">
      <c r="A1056">
        <v>45</v>
      </c>
      <c r="B1056" t="s">
        <v>63</v>
      </c>
      <c r="C1056" t="s">
        <v>1816</v>
      </c>
      <c r="D1056" t="s">
        <v>39</v>
      </c>
      <c r="E1056">
        <v>2</v>
      </c>
      <c r="F1056">
        <v>76</v>
      </c>
      <c r="G1056">
        <v>1178</v>
      </c>
      <c r="H1056">
        <v>552</v>
      </c>
      <c r="I1056">
        <v>230</v>
      </c>
      <c r="J1056">
        <v>53</v>
      </c>
      <c r="K1056">
        <v>0.42299999999999999</v>
      </c>
      <c r="L1056">
        <v>0.38900000000000001</v>
      </c>
      <c r="M1056">
        <v>0.77100000000000002</v>
      </c>
      <c r="N1056">
        <v>1.1000000000000001</v>
      </c>
      <c r="O1056">
        <v>4.4999999999999998E-2</v>
      </c>
      <c r="P1056">
        <v>2020</v>
      </c>
      <c r="Q1056">
        <v>15.5</v>
      </c>
      <c r="R1056">
        <v>7.3</v>
      </c>
      <c r="S1056">
        <v>3</v>
      </c>
      <c r="T1056">
        <v>0.7</v>
      </c>
      <c r="U1056">
        <v>2</v>
      </c>
      <c r="V1056">
        <v>15</v>
      </c>
      <c r="W1056">
        <f>IF(nba_draft[[#This Row],[years_played]]&gt;5,1,0)</f>
        <v>0</v>
      </c>
    </row>
    <row r="1057" spans="1:23" x14ac:dyDescent="0.25">
      <c r="A1057">
        <v>9</v>
      </c>
      <c r="B1057" t="s">
        <v>40</v>
      </c>
      <c r="C1057" t="s">
        <v>1840</v>
      </c>
      <c r="D1057" t="s">
        <v>588</v>
      </c>
      <c r="E1057">
        <v>1</v>
      </c>
      <c r="F1057">
        <v>53</v>
      </c>
      <c r="G1057">
        <v>1376</v>
      </c>
      <c r="H1057">
        <v>551</v>
      </c>
      <c r="I1057">
        <v>125</v>
      </c>
      <c r="J1057">
        <v>183</v>
      </c>
      <c r="K1057">
        <v>0.40600000000000003</v>
      </c>
      <c r="L1057">
        <v>0.32600000000000001</v>
      </c>
      <c r="M1057">
        <v>0.55800000000000005</v>
      </c>
      <c r="N1057">
        <v>0.2</v>
      </c>
      <c r="O1057">
        <v>6.0000000000000001E-3</v>
      </c>
      <c r="P1057">
        <v>2021</v>
      </c>
      <c r="Q1057">
        <v>26</v>
      </c>
      <c r="R1057">
        <v>10.4</v>
      </c>
      <c r="S1057">
        <v>2.4</v>
      </c>
      <c r="T1057">
        <v>3.5</v>
      </c>
      <c r="U1057">
        <v>1</v>
      </c>
      <c r="V1057">
        <v>9</v>
      </c>
      <c r="W1057">
        <f>IF(nba_draft[[#This Row],[years_played]]&gt;5,1,0)</f>
        <v>0</v>
      </c>
    </row>
    <row r="1058" spans="1:23" x14ac:dyDescent="0.25">
      <c r="A1058">
        <v>60</v>
      </c>
      <c r="B1058" t="s">
        <v>104</v>
      </c>
      <c r="C1058" t="s">
        <v>1595</v>
      </c>
      <c r="D1058" t="s">
        <v>336</v>
      </c>
      <c r="E1058">
        <v>3</v>
      </c>
      <c r="F1058">
        <v>106</v>
      </c>
      <c r="G1058">
        <v>1639</v>
      </c>
      <c r="H1058">
        <v>549</v>
      </c>
      <c r="I1058">
        <v>228</v>
      </c>
      <c r="J1058">
        <v>126</v>
      </c>
      <c r="K1058">
        <v>0.42499999999999999</v>
      </c>
      <c r="L1058">
        <v>0.20300000000000001</v>
      </c>
      <c r="M1058">
        <v>0.67100000000000004</v>
      </c>
      <c r="N1058">
        <v>0.2</v>
      </c>
      <c r="O1058">
        <v>6.0000000000000001E-3</v>
      </c>
      <c r="P1058">
        <v>2016</v>
      </c>
      <c r="Q1058">
        <v>15.5</v>
      </c>
      <c r="R1058">
        <v>5.2</v>
      </c>
      <c r="S1058">
        <v>2.2000000000000002</v>
      </c>
      <c r="T1058">
        <v>1.2</v>
      </c>
      <c r="U1058">
        <v>2</v>
      </c>
      <c r="V1058">
        <v>30</v>
      </c>
      <c r="W1058">
        <f>IF(nba_draft[[#This Row],[years_played]]&gt;5,1,0)</f>
        <v>0</v>
      </c>
    </row>
    <row r="1059" spans="1:23" x14ac:dyDescent="0.25">
      <c r="A1059">
        <v>15</v>
      </c>
      <c r="B1059" t="s">
        <v>88</v>
      </c>
      <c r="C1059" t="s">
        <v>1726</v>
      </c>
      <c r="D1059" t="s">
        <v>97</v>
      </c>
      <c r="E1059">
        <v>3</v>
      </c>
      <c r="F1059">
        <v>96</v>
      </c>
      <c r="G1059">
        <v>1639</v>
      </c>
      <c r="H1059">
        <v>542</v>
      </c>
      <c r="I1059">
        <v>267</v>
      </c>
      <c r="J1059">
        <v>66</v>
      </c>
      <c r="K1059">
        <v>0.38800000000000001</v>
      </c>
      <c r="L1059">
        <v>0.25600000000000001</v>
      </c>
      <c r="M1059">
        <v>0.69299999999999995</v>
      </c>
      <c r="N1059">
        <v>-0.4</v>
      </c>
      <c r="O1059">
        <v>-1.2E-2</v>
      </c>
      <c r="P1059">
        <v>2019</v>
      </c>
      <c r="Q1059">
        <v>17.100000000000001</v>
      </c>
      <c r="R1059">
        <v>5.6</v>
      </c>
      <c r="S1059">
        <v>2.8</v>
      </c>
      <c r="T1059">
        <v>0.7</v>
      </c>
      <c r="U1059">
        <v>1</v>
      </c>
      <c r="V1059">
        <v>15</v>
      </c>
      <c r="W1059">
        <f>IF(nba_draft[[#This Row],[years_played]]&gt;5,1,0)</f>
        <v>0</v>
      </c>
    </row>
    <row r="1060" spans="1:23" x14ac:dyDescent="0.25">
      <c r="A1060">
        <v>35</v>
      </c>
      <c r="B1060" t="s">
        <v>34</v>
      </c>
      <c r="C1060" t="s">
        <v>258</v>
      </c>
      <c r="D1060" t="s">
        <v>259</v>
      </c>
      <c r="E1060">
        <v>3</v>
      </c>
      <c r="F1060">
        <v>152</v>
      </c>
      <c r="G1060">
        <v>1886</v>
      </c>
      <c r="H1060">
        <v>538</v>
      </c>
      <c r="I1060">
        <v>155</v>
      </c>
      <c r="J1060">
        <v>303</v>
      </c>
      <c r="K1060">
        <v>0.41199999999999998</v>
      </c>
      <c r="L1060">
        <v>0.33500000000000002</v>
      </c>
      <c r="M1060">
        <v>0.73199999999999998</v>
      </c>
      <c r="N1060">
        <v>1.6</v>
      </c>
      <c r="O1060">
        <v>4.1000000000000002E-2</v>
      </c>
      <c r="P1060">
        <v>1992</v>
      </c>
      <c r="Q1060">
        <v>12.4</v>
      </c>
      <c r="R1060">
        <v>3.5</v>
      </c>
      <c r="S1060">
        <v>1</v>
      </c>
      <c r="T1060">
        <v>2</v>
      </c>
      <c r="U1060">
        <v>2</v>
      </c>
      <c r="V1060">
        <v>8</v>
      </c>
      <c r="W1060">
        <f>IF(nba_draft[[#This Row],[years_played]]&gt;5,1,0)</f>
        <v>0</v>
      </c>
    </row>
    <row r="1061" spans="1:23" x14ac:dyDescent="0.25">
      <c r="A1061">
        <v>22</v>
      </c>
      <c r="B1061" t="s">
        <v>85</v>
      </c>
      <c r="C1061" t="s">
        <v>1239</v>
      </c>
      <c r="D1061" t="s">
        <v>196</v>
      </c>
      <c r="E1061">
        <v>4</v>
      </c>
      <c r="F1061">
        <v>109</v>
      </c>
      <c r="G1061">
        <v>1470</v>
      </c>
      <c r="H1061">
        <v>537</v>
      </c>
      <c r="I1061">
        <v>161</v>
      </c>
      <c r="J1061">
        <v>94</v>
      </c>
      <c r="K1061">
        <v>0.42099999999999999</v>
      </c>
      <c r="L1061">
        <v>0.31</v>
      </c>
      <c r="M1061">
        <v>0.66900000000000004</v>
      </c>
      <c r="N1061">
        <v>0.7</v>
      </c>
      <c r="O1061">
        <v>2.4E-2</v>
      </c>
      <c r="P1061">
        <v>2010</v>
      </c>
      <c r="Q1061">
        <v>13.5</v>
      </c>
      <c r="R1061">
        <v>4.9000000000000004</v>
      </c>
      <c r="S1061">
        <v>1.5</v>
      </c>
      <c r="T1061">
        <v>0.9</v>
      </c>
      <c r="U1061">
        <v>1</v>
      </c>
      <c r="V1061">
        <v>22</v>
      </c>
      <c r="W1061">
        <f>IF(nba_draft[[#This Row],[years_played]]&gt;5,1,0)</f>
        <v>0</v>
      </c>
    </row>
    <row r="1062" spans="1:23" x14ac:dyDescent="0.25">
      <c r="A1062">
        <v>35</v>
      </c>
      <c r="B1062" t="s">
        <v>863</v>
      </c>
      <c r="C1062" t="s">
        <v>1865</v>
      </c>
      <c r="D1062" t="s">
        <v>228</v>
      </c>
      <c r="E1062">
        <v>1</v>
      </c>
      <c r="F1062">
        <v>56</v>
      </c>
      <c r="G1062">
        <v>1677</v>
      </c>
      <c r="H1062">
        <v>536</v>
      </c>
      <c r="I1062">
        <v>218</v>
      </c>
      <c r="J1062">
        <v>118</v>
      </c>
      <c r="K1062">
        <v>0.499</v>
      </c>
      <c r="L1062">
        <v>0.35799999999999998</v>
      </c>
      <c r="M1062">
        <v>0.85499999999999998</v>
      </c>
      <c r="N1062">
        <v>3.5</v>
      </c>
      <c r="O1062">
        <v>9.9000000000000005E-2</v>
      </c>
      <c r="P1062">
        <v>2021</v>
      </c>
      <c r="Q1062">
        <v>29.9</v>
      </c>
      <c r="R1062">
        <v>9.6</v>
      </c>
      <c r="S1062">
        <v>3.9</v>
      </c>
      <c r="T1062">
        <v>2.1</v>
      </c>
      <c r="U1062">
        <v>2</v>
      </c>
      <c r="V1062">
        <v>5</v>
      </c>
      <c r="W1062">
        <f>IF(nba_draft[[#This Row],[years_played]]&gt;5,1,0)</f>
        <v>0</v>
      </c>
    </row>
    <row r="1063" spans="1:23" x14ac:dyDescent="0.25">
      <c r="A1063">
        <v>31</v>
      </c>
      <c r="B1063" t="s">
        <v>75</v>
      </c>
      <c r="C1063" t="s">
        <v>1683</v>
      </c>
      <c r="D1063" t="s">
        <v>97</v>
      </c>
      <c r="E1063">
        <v>2</v>
      </c>
      <c r="F1063">
        <v>108</v>
      </c>
      <c r="G1063">
        <v>1677</v>
      </c>
      <c r="H1063">
        <v>523</v>
      </c>
      <c r="I1063">
        <v>188</v>
      </c>
      <c r="J1063">
        <v>242</v>
      </c>
      <c r="K1063">
        <v>0.39500000000000002</v>
      </c>
      <c r="L1063">
        <v>0.315</v>
      </c>
      <c r="M1063">
        <v>0.73699999999999999</v>
      </c>
      <c r="N1063">
        <v>0.5</v>
      </c>
      <c r="O1063">
        <v>1.4E-2</v>
      </c>
      <c r="P1063">
        <v>2018</v>
      </c>
      <c r="Q1063">
        <v>15.5</v>
      </c>
      <c r="R1063">
        <v>4.8</v>
      </c>
      <c r="S1063">
        <v>1.7</v>
      </c>
      <c r="T1063">
        <v>2.2000000000000002</v>
      </c>
      <c r="U1063">
        <v>2</v>
      </c>
      <c r="V1063">
        <v>1</v>
      </c>
      <c r="W1063">
        <f>IF(nba_draft[[#This Row],[years_played]]&gt;5,1,0)</f>
        <v>0</v>
      </c>
    </row>
    <row r="1064" spans="1:23" x14ac:dyDescent="0.25">
      <c r="A1064">
        <v>13</v>
      </c>
      <c r="B1064" t="s">
        <v>43</v>
      </c>
      <c r="C1064" t="s">
        <v>1664</v>
      </c>
      <c r="D1064" t="s">
        <v>360</v>
      </c>
      <c r="E1064">
        <v>3</v>
      </c>
      <c r="F1064">
        <v>113</v>
      </c>
      <c r="G1064">
        <v>1604</v>
      </c>
      <c r="H1064">
        <v>514</v>
      </c>
      <c r="I1064">
        <v>208</v>
      </c>
      <c r="J1064">
        <v>131</v>
      </c>
      <c r="K1064">
        <v>0.36299999999999999</v>
      </c>
      <c r="L1064">
        <v>0.31</v>
      </c>
      <c r="M1064">
        <v>0.72099999999999997</v>
      </c>
      <c r="N1064">
        <v>-0.1</v>
      </c>
      <c r="O1064">
        <v>-3.0000000000000001E-3</v>
      </c>
      <c r="P1064">
        <v>2018</v>
      </c>
      <c r="Q1064">
        <v>14.2</v>
      </c>
      <c r="R1064">
        <v>4.5</v>
      </c>
      <c r="S1064">
        <v>1.8</v>
      </c>
      <c r="T1064">
        <v>1.2</v>
      </c>
      <c r="U1064">
        <v>1</v>
      </c>
      <c r="V1064">
        <v>13</v>
      </c>
      <c r="W1064">
        <f>IF(nba_draft[[#This Row],[years_played]]&gt;5,1,0)</f>
        <v>0</v>
      </c>
    </row>
    <row r="1065" spans="1:23" x14ac:dyDescent="0.25">
      <c r="A1065">
        <v>39</v>
      </c>
      <c r="B1065" t="s">
        <v>52</v>
      </c>
      <c r="C1065" t="s">
        <v>377</v>
      </c>
      <c r="D1065" t="s">
        <v>148</v>
      </c>
      <c r="E1065">
        <v>8</v>
      </c>
      <c r="F1065">
        <v>181</v>
      </c>
      <c r="G1065">
        <v>1637</v>
      </c>
      <c r="H1065">
        <v>510</v>
      </c>
      <c r="I1065">
        <v>488</v>
      </c>
      <c r="J1065">
        <v>66</v>
      </c>
      <c r="K1065">
        <v>0.51</v>
      </c>
      <c r="L1065">
        <v>0.25</v>
      </c>
      <c r="M1065">
        <v>0.57599999999999996</v>
      </c>
      <c r="N1065">
        <v>3.8</v>
      </c>
      <c r="O1065">
        <v>0.11</v>
      </c>
      <c r="P1065">
        <v>1994</v>
      </c>
      <c r="Q1065">
        <v>9</v>
      </c>
      <c r="R1065">
        <v>2.8</v>
      </c>
      <c r="S1065">
        <v>2.7</v>
      </c>
      <c r="T1065">
        <v>0.4</v>
      </c>
      <c r="U1065">
        <v>2</v>
      </c>
      <c r="V1065">
        <v>12</v>
      </c>
      <c r="W1065">
        <f>IF(nba_draft[[#This Row],[years_played]]&gt;5,1,0)</f>
        <v>1</v>
      </c>
    </row>
    <row r="1066" spans="1:23" x14ac:dyDescent="0.25">
      <c r="A1066">
        <v>37</v>
      </c>
      <c r="B1066" t="s">
        <v>393</v>
      </c>
      <c r="C1066" t="s">
        <v>671</v>
      </c>
      <c r="D1066" t="s">
        <v>67</v>
      </c>
      <c r="E1066">
        <v>4</v>
      </c>
      <c r="F1066">
        <v>143</v>
      </c>
      <c r="G1066">
        <v>1516</v>
      </c>
      <c r="H1066">
        <v>510</v>
      </c>
      <c r="I1066">
        <v>383</v>
      </c>
      <c r="J1066">
        <v>31</v>
      </c>
      <c r="K1066">
        <v>0.42299999999999999</v>
      </c>
      <c r="L1066">
        <v>0</v>
      </c>
      <c r="M1066">
        <v>0.72</v>
      </c>
      <c r="N1066">
        <v>1.7</v>
      </c>
      <c r="O1066">
        <v>5.3999999999999999E-2</v>
      </c>
      <c r="P1066">
        <v>1999</v>
      </c>
      <c r="Q1066">
        <v>10.6</v>
      </c>
      <c r="R1066">
        <v>3.6</v>
      </c>
      <c r="S1066">
        <v>2.7</v>
      </c>
      <c r="T1066">
        <v>0.2</v>
      </c>
      <c r="U1066">
        <v>2</v>
      </c>
      <c r="V1066">
        <v>8</v>
      </c>
      <c r="W1066">
        <f>IF(nba_draft[[#This Row],[years_played]]&gt;5,1,0)</f>
        <v>0</v>
      </c>
    </row>
    <row r="1067" spans="1:23" x14ac:dyDescent="0.25">
      <c r="A1067">
        <v>11</v>
      </c>
      <c r="B1067" t="s">
        <v>70</v>
      </c>
      <c r="C1067" t="s">
        <v>750</v>
      </c>
      <c r="D1067" t="s">
        <v>751</v>
      </c>
      <c r="E1067">
        <v>4</v>
      </c>
      <c r="F1067">
        <v>143</v>
      </c>
      <c r="G1067">
        <v>1935</v>
      </c>
      <c r="H1067">
        <v>509</v>
      </c>
      <c r="I1067">
        <v>347</v>
      </c>
      <c r="J1067">
        <v>103</v>
      </c>
      <c r="K1067">
        <v>0.40500000000000003</v>
      </c>
      <c r="L1067">
        <v>0.27400000000000002</v>
      </c>
      <c r="M1067">
        <v>0.64</v>
      </c>
      <c r="N1067">
        <v>3</v>
      </c>
      <c r="O1067">
        <v>7.3999999999999996E-2</v>
      </c>
      <c r="P1067">
        <v>2001</v>
      </c>
      <c r="Q1067">
        <v>13.5</v>
      </c>
      <c r="R1067">
        <v>3.6</v>
      </c>
      <c r="S1067">
        <v>2.4</v>
      </c>
      <c r="T1067">
        <v>0.7</v>
      </c>
      <c r="U1067">
        <v>1</v>
      </c>
      <c r="V1067">
        <v>11</v>
      </c>
      <c r="W1067">
        <f>IF(nba_draft[[#This Row],[years_played]]&gt;5,1,0)</f>
        <v>0</v>
      </c>
    </row>
    <row r="1068" spans="1:23" x14ac:dyDescent="0.25">
      <c r="A1068">
        <v>36</v>
      </c>
      <c r="B1068" t="s">
        <v>63</v>
      </c>
      <c r="C1068" t="s">
        <v>1478</v>
      </c>
      <c r="D1068" t="s">
        <v>30</v>
      </c>
      <c r="E1068">
        <v>4</v>
      </c>
      <c r="F1068">
        <v>147</v>
      </c>
      <c r="G1068">
        <v>1684</v>
      </c>
      <c r="H1068">
        <v>509</v>
      </c>
      <c r="I1068">
        <v>352</v>
      </c>
      <c r="J1068">
        <v>69</v>
      </c>
      <c r="K1068">
        <v>0.40200000000000002</v>
      </c>
      <c r="L1068">
        <v>0.36</v>
      </c>
      <c r="M1068">
        <v>0.66300000000000003</v>
      </c>
      <c r="N1068">
        <v>0.2</v>
      </c>
      <c r="O1068">
        <v>6.0000000000000001E-3</v>
      </c>
      <c r="P1068">
        <v>2014</v>
      </c>
      <c r="Q1068">
        <v>11.5</v>
      </c>
      <c r="R1068">
        <v>3.5</v>
      </c>
      <c r="S1068">
        <v>2.4</v>
      </c>
      <c r="T1068">
        <v>0.5</v>
      </c>
      <c r="U1068">
        <v>2</v>
      </c>
      <c r="V1068">
        <v>6</v>
      </c>
      <c r="W1068">
        <f>IF(nba_draft[[#This Row],[years_played]]&gt;5,1,0)</f>
        <v>0</v>
      </c>
    </row>
    <row r="1069" spans="1:23" x14ac:dyDescent="0.25">
      <c r="A1069">
        <v>5</v>
      </c>
      <c r="B1069" t="s">
        <v>28</v>
      </c>
      <c r="C1069" t="s">
        <v>795</v>
      </c>
      <c r="D1069" t="s">
        <v>97</v>
      </c>
      <c r="E1069">
        <v>4</v>
      </c>
      <c r="F1069">
        <v>172</v>
      </c>
      <c r="G1069">
        <v>1946</v>
      </c>
      <c r="H1069">
        <v>507</v>
      </c>
      <c r="I1069">
        <v>307</v>
      </c>
      <c r="J1069">
        <v>114</v>
      </c>
      <c r="K1069">
        <v>0.30399999999999999</v>
      </c>
      <c r="L1069">
        <v>0.23499999999999999</v>
      </c>
      <c r="M1069">
        <v>0.73</v>
      </c>
      <c r="N1069">
        <v>-1.6</v>
      </c>
      <c r="O1069">
        <v>-3.9E-2</v>
      </c>
      <c r="P1069">
        <v>2002</v>
      </c>
      <c r="Q1069">
        <v>11.3</v>
      </c>
      <c r="R1069">
        <v>2.9</v>
      </c>
      <c r="S1069">
        <v>1.8</v>
      </c>
      <c r="T1069">
        <v>0.7</v>
      </c>
      <c r="U1069">
        <v>1</v>
      </c>
      <c r="V1069">
        <v>5</v>
      </c>
      <c r="W1069">
        <f>IF(nba_draft[[#This Row],[years_played]]&gt;5,1,0)</f>
        <v>0</v>
      </c>
    </row>
    <row r="1070" spans="1:23" x14ac:dyDescent="0.25">
      <c r="A1070">
        <v>31</v>
      </c>
      <c r="B1070" t="s">
        <v>22</v>
      </c>
      <c r="C1070" t="s">
        <v>1743</v>
      </c>
      <c r="D1070" t="s">
        <v>57</v>
      </c>
      <c r="E1070">
        <v>3</v>
      </c>
      <c r="F1070">
        <v>72</v>
      </c>
      <c r="G1070">
        <v>1311</v>
      </c>
      <c r="H1070">
        <v>506</v>
      </c>
      <c r="I1070">
        <v>350</v>
      </c>
      <c r="J1070">
        <v>65</v>
      </c>
      <c r="K1070">
        <v>0.621</v>
      </c>
      <c r="L1070">
        <v>0.16700000000000001</v>
      </c>
      <c r="M1070">
        <v>0.52200000000000002</v>
      </c>
      <c r="N1070">
        <v>4.2</v>
      </c>
      <c r="O1070">
        <v>0.154</v>
      </c>
      <c r="P1070">
        <v>2019</v>
      </c>
      <c r="Q1070">
        <v>18.2</v>
      </c>
      <c r="R1070">
        <v>7</v>
      </c>
      <c r="S1070">
        <v>4.9000000000000004</v>
      </c>
      <c r="T1070">
        <v>0.9</v>
      </c>
      <c r="U1070">
        <v>2</v>
      </c>
      <c r="V1070">
        <v>1</v>
      </c>
      <c r="W1070">
        <f>IF(nba_draft[[#This Row],[years_played]]&gt;5,1,0)</f>
        <v>0</v>
      </c>
    </row>
    <row r="1071" spans="1:23" x14ac:dyDescent="0.25">
      <c r="A1071">
        <v>37</v>
      </c>
      <c r="B1071" t="s">
        <v>49</v>
      </c>
      <c r="C1071" t="s">
        <v>826</v>
      </c>
      <c r="D1071" t="s">
        <v>97</v>
      </c>
      <c r="E1071">
        <v>2</v>
      </c>
      <c r="F1071">
        <v>103</v>
      </c>
      <c r="G1071">
        <v>1264</v>
      </c>
      <c r="H1071">
        <v>501</v>
      </c>
      <c r="I1071">
        <v>292</v>
      </c>
      <c r="J1071">
        <v>57</v>
      </c>
      <c r="K1071">
        <v>0.44</v>
      </c>
      <c r="L1071">
        <v>0.34699999999999998</v>
      </c>
      <c r="M1071">
        <v>0.67400000000000004</v>
      </c>
      <c r="N1071">
        <v>1.5</v>
      </c>
      <c r="O1071">
        <v>5.8999999999999997E-2</v>
      </c>
      <c r="P1071">
        <v>2002</v>
      </c>
      <c r="Q1071">
        <v>12.3</v>
      </c>
      <c r="R1071">
        <v>4.9000000000000004</v>
      </c>
      <c r="S1071">
        <v>2.8</v>
      </c>
      <c r="T1071">
        <v>0.6</v>
      </c>
      <c r="U1071">
        <v>2</v>
      </c>
      <c r="V1071">
        <v>8</v>
      </c>
      <c r="W1071">
        <f>IF(nba_draft[[#This Row],[years_played]]&gt;5,1,0)</f>
        <v>0</v>
      </c>
    </row>
    <row r="1072" spans="1:23" x14ac:dyDescent="0.25">
      <c r="A1072">
        <v>5</v>
      </c>
      <c r="B1072" t="s">
        <v>31</v>
      </c>
      <c r="C1072" t="s">
        <v>1836</v>
      </c>
      <c r="D1072" t="s">
        <v>820</v>
      </c>
      <c r="E1072">
        <v>1</v>
      </c>
      <c r="F1072">
        <v>39</v>
      </c>
      <c r="G1072">
        <v>1100</v>
      </c>
      <c r="H1072">
        <v>492</v>
      </c>
      <c r="I1072">
        <v>146</v>
      </c>
      <c r="J1072">
        <v>170</v>
      </c>
      <c r="K1072">
        <v>0.36699999999999999</v>
      </c>
      <c r="L1072">
        <v>0.22800000000000001</v>
      </c>
      <c r="M1072">
        <v>0.77600000000000002</v>
      </c>
      <c r="N1072">
        <v>-1.2</v>
      </c>
      <c r="O1072">
        <v>-5.1999999999999998E-2</v>
      </c>
      <c r="P1072">
        <v>2021</v>
      </c>
      <c r="Q1072">
        <v>28.2</v>
      </c>
      <c r="R1072">
        <v>12.6</v>
      </c>
      <c r="S1072">
        <v>3.7</v>
      </c>
      <c r="T1072">
        <v>4.4000000000000004</v>
      </c>
      <c r="U1072">
        <v>1</v>
      </c>
      <c r="V1072">
        <v>5</v>
      </c>
      <c r="W1072">
        <f>IF(nba_draft[[#This Row],[years_played]]&gt;5,1,0)</f>
        <v>0</v>
      </c>
    </row>
    <row r="1073" spans="1:23" x14ac:dyDescent="0.25">
      <c r="A1073">
        <v>28</v>
      </c>
      <c r="B1073" t="s">
        <v>25</v>
      </c>
      <c r="C1073" t="s">
        <v>1356</v>
      </c>
      <c r="D1073" t="s">
        <v>588</v>
      </c>
      <c r="E1073">
        <v>3</v>
      </c>
      <c r="F1073">
        <v>143</v>
      </c>
      <c r="G1073">
        <v>1675</v>
      </c>
      <c r="H1073">
        <v>488</v>
      </c>
      <c r="I1073">
        <v>252</v>
      </c>
      <c r="J1073">
        <v>54</v>
      </c>
      <c r="K1073">
        <v>0.42</v>
      </c>
      <c r="L1073">
        <v>0.29299999999999998</v>
      </c>
      <c r="M1073">
        <v>0.66</v>
      </c>
      <c r="N1073">
        <v>1.7</v>
      </c>
      <c r="O1073">
        <v>4.8000000000000001E-2</v>
      </c>
      <c r="P1073">
        <v>2012</v>
      </c>
      <c r="Q1073">
        <v>11.7</v>
      </c>
      <c r="R1073">
        <v>3.4</v>
      </c>
      <c r="S1073">
        <v>1.8</v>
      </c>
      <c r="T1073">
        <v>0.4</v>
      </c>
      <c r="U1073">
        <v>1</v>
      </c>
      <c r="V1073">
        <v>28</v>
      </c>
      <c r="W1073">
        <f>IF(nba_draft[[#This Row],[years_played]]&gt;5,1,0)</f>
        <v>0</v>
      </c>
    </row>
    <row r="1074" spans="1:23" x14ac:dyDescent="0.25">
      <c r="A1074">
        <v>35</v>
      </c>
      <c r="B1074" t="s">
        <v>31</v>
      </c>
      <c r="C1074" t="s">
        <v>1630</v>
      </c>
      <c r="D1074" t="s">
        <v>336</v>
      </c>
      <c r="E1074">
        <v>2</v>
      </c>
      <c r="F1074">
        <v>85</v>
      </c>
      <c r="G1074">
        <v>1237</v>
      </c>
      <c r="H1074">
        <v>485</v>
      </c>
      <c r="I1074">
        <v>364</v>
      </c>
      <c r="J1074">
        <v>86</v>
      </c>
      <c r="K1074">
        <v>0.55500000000000005</v>
      </c>
      <c r="L1074">
        <v>0.2</v>
      </c>
      <c r="M1074">
        <v>0.74299999999999999</v>
      </c>
      <c r="N1074">
        <v>3.2</v>
      </c>
      <c r="O1074">
        <v>0.125</v>
      </c>
      <c r="P1074">
        <v>2017</v>
      </c>
      <c r="Q1074">
        <v>14.6</v>
      </c>
      <c r="R1074">
        <v>5.7</v>
      </c>
      <c r="S1074">
        <v>4.3</v>
      </c>
      <c r="T1074">
        <v>1</v>
      </c>
      <c r="U1074">
        <v>2</v>
      </c>
      <c r="V1074">
        <v>5</v>
      </c>
      <c r="W1074">
        <f>IF(nba_draft[[#This Row],[years_played]]&gt;5,1,0)</f>
        <v>0</v>
      </c>
    </row>
    <row r="1075" spans="1:23" x14ac:dyDescent="0.25">
      <c r="A1075">
        <v>13</v>
      </c>
      <c r="B1075" t="s">
        <v>863</v>
      </c>
      <c r="C1075" t="s">
        <v>1784</v>
      </c>
      <c r="D1075" t="s">
        <v>228</v>
      </c>
      <c r="E1075">
        <v>2</v>
      </c>
      <c r="F1075">
        <v>78</v>
      </c>
      <c r="G1075">
        <v>1245</v>
      </c>
      <c r="H1075">
        <v>484</v>
      </c>
      <c r="I1075">
        <v>110</v>
      </c>
      <c r="J1075">
        <v>173</v>
      </c>
      <c r="K1075">
        <v>0.39100000000000001</v>
      </c>
      <c r="L1075">
        <v>0.29799999999999999</v>
      </c>
      <c r="M1075">
        <v>0.84099999999999997</v>
      </c>
      <c r="N1075">
        <v>0.7</v>
      </c>
      <c r="O1075">
        <v>2.7E-2</v>
      </c>
      <c r="P1075">
        <v>2020</v>
      </c>
      <c r="Q1075">
        <v>16</v>
      </c>
      <c r="R1075">
        <v>6.2</v>
      </c>
      <c r="S1075">
        <v>1.4</v>
      </c>
      <c r="T1075">
        <v>2.2000000000000002</v>
      </c>
      <c r="U1075">
        <v>1</v>
      </c>
      <c r="V1075">
        <v>13</v>
      </c>
      <c r="W1075">
        <f>IF(nba_draft[[#This Row],[years_played]]&gt;5,1,0)</f>
        <v>0</v>
      </c>
    </row>
    <row r="1076" spans="1:23" x14ac:dyDescent="0.25">
      <c r="A1076">
        <v>17</v>
      </c>
      <c r="B1076" t="s">
        <v>395</v>
      </c>
      <c r="C1076" t="s">
        <v>757</v>
      </c>
      <c r="D1076" t="s">
        <v>458</v>
      </c>
      <c r="E1076">
        <v>5</v>
      </c>
      <c r="F1076">
        <v>173</v>
      </c>
      <c r="G1076">
        <v>2016</v>
      </c>
      <c r="H1076">
        <v>483</v>
      </c>
      <c r="I1076">
        <v>591</v>
      </c>
      <c r="J1076">
        <v>93</v>
      </c>
      <c r="K1076">
        <v>0.47699999999999998</v>
      </c>
      <c r="L1076">
        <v>0.14299999999999999</v>
      </c>
      <c r="M1076">
        <v>0.51100000000000001</v>
      </c>
      <c r="N1076">
        <v>2</v>
      </c>
      <c r="O1076">
        <v>4.7E-2</v>
      </c>
      <c r="P1076">
        <v>2001</v>
      </c>
      <c r="Q1076">
        <v>11.7</v>
      </c>
      <c r="R1076">
        <v>2.8</v>
      </c>
      <c r="S1076">
        <v>3.4</v>
      </c>
      <c r="T1076">
        <v>0.5</v>
      </c>
      <c r="U1076">
        <v>1</v>
      </c>
      <c r="V1076">
        <v>17</v>
      </c>
      <c r="W1076">
        <f>IF(nba_draft[[#This Row],[years_played]]&gt;5,1,0)</f>
        <v>0</v>
      </c>
    </row>
    <row r="1077" spans="1:23" x14ac:dyDescent="0.25">
      <c r="A1077">
        <v>2</v>
      </c>
      <c r="B1077" t="s">
        <v>393</v>
      </c>
      <c r="C1077" t="s">
        <v>1163</v>
      </c>
      <c r="D1077" t="s">
        <v>79</v>
      </c>
      <c r="E1077">
        <v>5</v>
      </c>
      <c r="F1077">
        <v>224</v>
      </c>
      <c r="G1077">
        <v>2357</v>
      </c>
      <c r="H1077">
        <v>483</v>
      </c>
      <c r="I1077">
        <v>595</v>
      </c>
      <c r="J1077">
        <v>27</v>
      </c>
      <c r="K1077">
        <v>0.56699999999999995</v>
      </c>
      <c r="L1077">
        <v>0</v>
      </c>
      <c r="M1077">
        <v>0.57799999999999996</v>
      </c>
      <c r="N1077">
        <v>4.8</v>
      </c>
      <c r="O1077">
        <v>9.9000000000000005E-2</v>
      </c>
      <c r="P1077">
        <v>2009</v>
      </c>
      <c r="Q1077">
        <v>10.5</v>
      </c>
      <c r="R1077">
        <v>2.2000000000000002</v>
      </c>
      <c r="S1077">
        <v>2.7</v>
      </c>
      <c r="T1077">
        <v>0.1</v>
      </c>
      <c r="U1077">
        <v>1</v>
      </c>
      <c r="V1077">
        <v>2</v>
      </c>
      <c r="W1077">
        <f>IF(nba_draft[[#This Row],[years_played]]&gt;5,1,0)</f>
        <v>0</v>
      </c>
    </row>
    <row r="1078" spans="1:23" x14ac:dyDescent="0.25">
      <c r="A1078">
        <v>28</v>
      </c>
      <c r="B1078" t="s">
        <v>37</v>
      </c>
      <c r="C1078" t="s">
        <v>248</v>
      </c>
      <c r="D1078" t="s">
        <v>111</v>
      </c>
      <c r="E1078">
        <v>2</v>
      </c>
      <c r="F1078">
        <v>98</v>
      </c>
      <c r="G1078">
        <v>1146</v>
      </c>
      <c r="H1078">
        <v>479</v>
      </c>
      <c r="I1078">
        <v>363</v>
      </c>
      <c r="J1078">
        <v>22</v>
      </c>
      <c r="K1078">
        <v>0.54200000000000004</v>
      </c>
      <c r="L1078">
        <v>0</v>
      </c>
      <c r="M1078">
        <v>0.68500000000000005</v>
      </c>
      <c r="N1078">
        <v>2.6</v>
      </c>
      <c r="O1078">
        <v>0.109</v>
      </c>
      <c r="P1078">
        <v>1992</v>
      </c>
      <c r="Q1078">
        <v>11.7</v>
      </c>
      <c r="R1078">
        <v>4.9000000000000004</v>
      </c>
      <c r="S1078">
        <v>3.7</v>
      </c>
      <c r="T1078">
        <v>0.2</v>
      </c>
      <c r="U1078">
        <v>2</v>
      </c>
      <c r="V1078">
        <v>1</v>
      </c>
      <c r="W1078">
        <f>IF(nba_draft[[#This Row],[years_played]]&gt;5,1,0)</f>
        <v>0</v>
      </c>
    </row>
    <row r="1079" spans="1:23" x14ac:dyDescent="0.25">
      <c r="A1079">
        <v>30</v>
      </c>
      <c r="B1079" t="s">
        <v>85</v>
      </c>
      <c r="C1079" t="s">
        <v>1033</v>
      </c>
      <c r="D1079" t="s">
        <v>97</v>
      </c>
      <c r="E1079">
        <v>3</v>
      </c>
      <c r="F1079">
        <v>151</v>
      </c>
      <c r="G1079">
        <v>1821</v>
      </c>
      <c r="H1079">
        <v>477</v>
      </c>
      <c r="I1079">
        <v>518</v>
      </c>
      <c r="J1079">
        <v>65</v>
      </c>
      <c r="K1079">
        <v>0.45900000000000002</v>
      </c>
      <c r="L1079">
        <v>0</v>
      </c>
      <c r="M1079">
        <v>0.72799999999999998</v>
      </c>
      <c r="N1079">
        <v>3.2</v>
      </c>
      <c r="O1079">
        <v>8.4000000000000005E-2</v>
      </c>
      <c r="P1079">
        <v>2006</v>
      </c>
      <c r="Q1079">
        <v>12.1</v>
      </c>
      <c r="R1079">
        <v>3.2</v>
      </c>
      <c r="S1079">
        <v>3.4</v>
      </c>
      <c r="T1079">
        <v>0.4</v>
      </c>
      <c r="U1079">
        <v>1</v>
      </c>
      <c r="V1079">
        <v>30</v>
      </c>
      <c r="W1079">
        <f>IF(nba_draft[[#This Row],[years_played]]&gt;5,1,0)</f>
        <v>0</v>
      </c>
    </row>
    <row r="1080" spans="1:23" x14ac:dyDescent="0.25">
      <c r="A1080">
        <v>18</v>
      </c>
      <c r="B1080" t="s">
        <v>127</v>
      </c>
      <c r="C1080" t="s">
        <v>1613</v>
      </c>
      <c r="D1080" t="s">
        <v>113</v>
      </c>
      <c r="E1080">
        <v>4</v>
      </c>
      <c r="F1080">
        <v>146</v>
      </c>
      <c r="G1080">
        <v>1238</v>
      </c>
      <c r="H1080">
        <v>477</v>
      </c>
      <c r="I1080">
        <v>283</v>
      </c>
      <c r="J1080">
        <v>43</v>
      </c>
      <c r="K1080">
        <v>0.49199999999999999</v>
      </c>
      <c r="L1080">
        <v>0.34100000000000003</v>
      </c>
      <c r="M1080">
        <v>0.58499999999999996</v>
      </c>
      <c r="N1080">
        <v>2.7</v>
      </c>
      <c r="O1080">
        <v>0.104</v>
      </c>
      <c r="P1080">
        <v>2017</v>
      </c>
      <c r="Q1080">
        <v>8.5</v>
      </c>
      <c r="R1080">
        <v>3.3</v>
      </c>
      <c r="S1080">
        <v>1.9</v>
      </c>
      <c r="T1080">
        <v>0.3</v>
      </c>
      <c r="U1080">
        <v>1</v>
      </c>
      <c r="V1080">
        <v>18</v>
      </c>
      <c r="W1080">
        <f>IF(nba_draft[[#This Row],[years_played]]&gt;5,1,0)</f>
        <v>0</v>
      </c>
    </row>
    <row r="1081" spans="1:23" x14ac:dyDescent="0.25">
      <c r="A1081">
        <v>34</v>
      </c>
      <c r="B1081" t="s">
        <v>49</v>
      </c>
      <c r="C1081" t="s">
        <v>774</v>
      </c>
      <c r="D1081" t="s">
        <v>67</v>
      </c>
      <c r="E1081">
        <v>3</v>
      </c>
      <c r="F1081">
        <v>139</v>
      </c>
      <c r="G1081">
        <v>1934</v>
      </c>
      <c r="H1081">
        <v>472</v>
      </c>
      <c r="I1081">
        <v>377</v>
      </c>
      <c r="J1081">
        <v>93</v>
      </c>
      <c r="K1081">
        <v>0.40699999999999997</v>
      </c>
      <c r="L1081">
        <v>0.19600000000000001</v>
      </c>
      <c r="M1081">
        <v>0.71099999999999997</v>
      </c>
      <c r="N1081">
        <v>1</v>
      </c>
      <c r="O1081">
        <v>2.5000000000000001E-2</v>
      </c>
      <c r="P1081">
        <v>2001</v>
      </c>
      <c r="Q1081">
        <v>13.9</v>
      </c>
      <c r="R1081">
        <v>3.4</v>
      </c>
      <c r="S1081">
        <v>2.7</v>
      </c>
      <c r="T1081">
        <v>0.7</v>
      </c>
      <c r="U1081">
        <v>2</v>
      </c>
      <c r="V1081">
        <v>5</v>
      </c>
      <c r="W1081">
        <f>IF(nba_draft[[#This Row],[years_played]]&gt;5,1,0)</f>
        <v>0</v>
      </c>
    </row>
    <row r="1082" spans="1:23" x14ac:dyDescent="0.25">
      <c r="A1082">
        <v>40</v>
      </c>
      <c r="B1082" t="s">
        <v>70</v>
      </c>
      <c r="C1082" t="s">
        <v>937</v>
      </c>
      <c r="D1082" t="s">
        <v>74</v>
      </c>
      <c r="E1082">
        <v>3</v>
      </c>
      <c r="F1082">
        <v>136</v>
      </c>
      <c r="G1082">
        <v>1436</v>
      </c>
      <c r="H1082">
        <v>472</v>
      </c>
      <c r="I1082">
        <v>186</v>
      </c>
      <c r="J1082">
        <v>68</v>
      </c>
      <c r="K1082">
        <v>0.40400000000000003</v>
      </c>
      <c r="L1082">
        <v>0</v>
      </c>
      <c r="M1082">
        <v>0.752</v>
      </c>
      <c r="N1082">
        <v>0.5</v>
      </c>
      <c r="O1082">
        <v>1.6E-2</v>
      </c>
      <c r="P1082">
        <v>2004</v>
      </c>
      <c r="Q1082">
        <v>10.6</v>
      </c>
      <c r="R1082">
        <v>3.5</v>
      </c>
      <c r="S1082">
        <v>1.4</v>
      </c>
      <c r="T1082">
        <v>0.5</v>
      </c>
      <c r="U1082">
        <v>2</v>
      </c>
      <c r="V1082">
        <v>11</v>
      </c>
      <c r="W1082">
        <f>IF(nba_draft[[#This Row],[years_played]]&gt;5,1,0)</f>
        <v>0</v>
      </c>
    </row>
    <row r="1083" spans="1:23" x14ac:dyDescent="0.25">
      <c r="A1083">
        <v>27</v>
      </c>
      <c r="B1083" t="s">
        <v>22</v>
      </c>
      <c r="C1083" t="s">
        <v>1858</v>
      </c>
      <c r="D1083" t="s">
        <v>30</v>
      </c>
      <c r="E1083">
        <v>1</v>
      </c>
      <c r="F1083">
        <v>48</v>
      </c>
      <c r="G1083">
        <v>939</v>
      </c>
      <c r="H1083">
        <v>470</v>
      </c>
      <c r="I1083">
        <v>125</v>
      </c>
      <c r="J1083">
        <v>62</v>
      </c>
      <c r="K1083">
        <v>0.44500000000000001</v>
      </c>
      <c r="L1083">
        <v>0.27300000000000002</v>
      </c>
      <c r="M1083">
        <v>0.80800000000000005</v>
      </c>
      <c r="N1083">
        <v>0.9</v>
      </c>
      <c r="O1083">
        <v>4.5999999999999999E-2</v>
      </c>
      <c r="P1083">
        <v>2021</v>
      </c>
      <c r="Q1083">
        <v>19.600000000000001</v>
      </c>
      <c r="R1083">
        <v>9.8000000000000007</v>
      </c>
      <c r="S1083">
        <v>2.6</v>
      </c>
      <c r="T1083">
        <v>1.3</v>
      </c>
      <c r="U1083">
        <v>1</v>
      </c>
      <c r="V1083">
        <v>27</v>
      </c>
      <c r="W1083">
        <f>IF(nba_draft[[#This Row],[years_played]]&gt;5,1,0)</f>
        <v>0</v>
      </c>
    </row>
    <row r="1084" spans="1:23" x14ac:dyDescent="0.25">
      <c r="A1084">
        <v>38</v>
      </c>
      <c r="B1084" t="s">
        <v>34</v>
      </c>
      <c r="C1084" t="s">
        <v>376</v>
      </c>
      <c r="D1084" t="s">
        <v>108</v>
      </c>
      <c r="E1084">
        <v>3</v>
      </c>
      <c r="F1084">
        <v>133</v>
      </c>
      <c r="G1084">
        <v>1395</v>
      </c>
      <c r="H1084">
        <v>467</v>
      </c>
      <c r="I1084">
        <v>169</v>
      </c>
      <c r="J1084">
        <v>89</v>
      </c>
      <c r="K1084">
        <v>0.53</v>
      </c>
      <c r="L1084">
        <v>0.33300000000000002</v>
      </c>
      <c r="M1084">
        <v>0.57899999999999996</v>
      </c>
      <c r="N1084">
        <v>1.1000000000000001</v>
      </c>
      <c r="O1084">
        <v>3.7999999999999999E-2</v>
      </c>
      <c r="P1084">
        <v>1994</v>
      </c>
      <c r="Q1084">
        <v>10.5</v>
      </c>
      <c r="R1084">
        <v>3.5</v>
      </c>
      <c r="S1084">
        <v>1.3</v>
      </c>
      <c r="T1084">
        <v>0.7</v>
      </c>
      <c r="U1084">
        <v>2</v>
      </c>
      <c r="V1084">
        <v>11</v>
      </c>
      <c r="W1084">
        <f>IF(nba_draft[[#This Row],[years_played]]&gt;5,1,0)</f>
        <v>0</v>
      </c>
    </row>
    <row r="1085" spans="1:23" x14ac:dyDescent="0.25">
      <c r="A1085">
        <v>38</v>
      </c>
      <c r="B1085" t="s">
        <v>109</v>
      </c>
      <c r="C1085" t="s">
        <v>1425</v>
      </c>
      <c r="D1085" t="s">
        <v>1426</v>
      </c>
      <c r="E1085">
        <v>3</v>
      </c>
      <c r="F1085">
        <v>84</v>
      </c>
      <c r="G1085">
        <v>1575</v>
      </c>
      <c r="H1085">
        <v>461</v>
      </c>
      <c r="I1085">
        <v>185</v>
      </c>
      <c r="J1085">
        <v>209</v>
      </c>
      <c r="K1085">
        <v>0.42299999999999999</v>
      </c>
      <c r="L1085">
        <v>0.26100000000000001</v>
      </c>
      <c r="M1085">
        <v>0.63500000000000001</v>
      </c>
      <c r="N1085">
        <v>0.9</v>
      </c>
      <c r="O1085">
        <v>2.8000000000000001E-2</v>
      </c>
      <c r="P1085">
        <v>2013</v>
      </c>
      <c r="Q1085">
        <v>18.8</v>
      </c>
      <c r="R1085">
        <v>5.5</v>
      </c>
      <c r="S1085">
        <v>2.2000000000000002</v>
      </c>
      <c r="T1085">
        <v>2.5</v>
      </c>
      <c r="U1085">
        <v>2</v>
      </c>
      <c r="V1085">
        <v>8</v>
      </c>
      <c r="W1085">
        <f>IF(nba_draft[[#This Row],[years_played]]&gt;5,1,0)</f>
        <v>0</v>
      </c>
    </row>
    <row r="1086" spans="1:23" x14ac:dyDescent="0.25">
      <c r="A1086">
        <v>7</v>
      </c>
      <c r="B1086" t="s">
        <v>88</v>
      </c>
      <c r="C1086" t="s">
        <v>1778</v>
      </c>
      <c r="D1086" t="s">
        <v>97</v>
      </c>
      <c r="E1086">
        <v>2</v>
      </c>
      <c r="F1086">
        <v>72</v>
      </c>
      <c r="G1086">
        <v>1793</v>
      </c>
      <c r="H1086">
        <v>461</v>
      </c>
      <c r="I1086">
        <v>202</v>
      </c>
      <c r="J1086">
        <v>325</v>
      </c>
      <c r="K1086">
        <v>0.35799999999999998</v>
      </c>
      <c r="L1086">
        <v>0.27600000000000002</v>
      </c>
      <c r="M1086">
        <v>0.81799999999999995</v>
      </c>
      <c r="N1086">
        <v>-1.2</v>
      </c>
      <c r="O1086">
        <v>-3.3000000000000002E-2</v>
      </c>
      <c r="P1086">
        <v>2020</v>
      </c>
      <c r="Q1086">
        <v>24.9</v>
      </c>
      <c r="R1086">
        <v>6.4</v>
      </c>
      <c r="S1086">
        <v>2.8</v>
      </c>
      <c r="T1086">
        <v>4.5</v>
      </c>
      <c r="U1086">
        <v>1</v>
      </c>
      <c r="V1086">
        <v>7</v>
      </c>
      <c r="W1086">
        <f>IF(nba_draft[[#This Row],[years_played]]&gt;5,1,0)</f>
        <v>0</v>
      </c>
    </row>
    <row r="1087" spans="1:23" x14ac:dyDescent="0.25">
      <c r="A1087">
        <v>48</v>
      </c>
      <c r="B1087" t="s">
        <v>95</v>
      </c>
      <c r="C1087" t="s">
        <v>1585</v>
      </c>
      <c r="D1087" t="s">
        <v>97</v>
      </c>
      <c r="E1087">
        <v>2</v>
      </c>
      <c r="F1087">
        <v>98</v>
      </c>
      <c r="G1087">
        <v>1667</v>
      </c>
      <c r="H1087">
        <v>458</v>
      </c>
      <c r="I1087">
        <v>256</v>
      </c>
      <c r="J1087">
        <v>82</v>
      </c>
      <c r="K1087">
        <v>0.371</v>
      </c>
      <c r="L1087">
        <v>0.33500000000000002</v>
      </c>
      <c r="M1087">
        <v>0.76900000000000002</v>
      </c>
      <c r="N1087">
        <v>0</v>
      </c>
      <c r="O1087">
        <v>-1E-3</v>
      </c>
      <c r="P1087">
        <v>2016</v>
      </c>
      <c r="Q1087">
        <v>17</v>
      </c>
      <c r="R1087">
        <v>4.7</v>
      </c>
      <c r="S1087">
        <v>2.6</v>
      </c>
      <c r="T1087">
        <v>0.8</v>
      </c>
      <c r="U1087">
        <v>2</v>
      </c>
      <c r="V1087">
        <v>18</v>
      </c>
      <c r="W1087">
        <f>IF(nba_draft[[#This Row],[years_played]]&gt;5,1,0)</f>
        <v>0</v>
      </c>
    </row>
    <row r="1088" spans="1:23" x14ac:dyDescent="0.25">
      <c r="A1088">
        <v>31</v>
      </c>
      <c r="B1088" t="s">
        <v>70</v>
      </c>
      <c r="C1088" t="s">
        <v>1571</v>
      </c>
      <c r="D1088" t="s">
        <v>148</v>
      </c>
      <c r="E1088">
        <v>3</v>
      </c>
      <c r="F1088">
        <v>107</v>
      </c>
      <c r="G1088">
        <v>1299</v>
      </c>
      <c r="H1088">
        <v>454</v>
      </c>
      <c r="I1088">
        <v>346</v>
      </c>
      <c r="J1088">
        <v>47</v>
      </c>
      <c r="K1088">
        <v>0.59899999999999998</v>
      </c>
      <c r="L1088">
        <v>0</v>
      </c>
      <c r="M1088">
        <v>0.63500000000000001</v>
      </c>
      <c r="N1088">
        <v>3.6</v>
      </c>
      <c r="O1088">
        <v>0.13100000000000001</v>
      </c>
      <c r="P1088">
        <v>2016</v>
      </c>
      <c r="Q1088">
        <v>12.1</v>
      </c>
      <c r="R1088">
        <v>4.2</v>
      </c>
      <c r="S1088">
        <v>3.2</v>
      </c>
      <c r="T1088">
        <v>0.4</v>
      </c>
      <c r="U1088">
        <v>2</v>
      </c>
      <c r="V1088">
        <v>1</v>
      </c>
      <c r="W1088">
        <f>IF(nba_draft[[#This Row],[years_played]]&gt;5,1,0)</f>
        <v>0</v>
      </c>
    </row>
    <row r="1089" spans="1:23" x14ac:dyDescent="0.25">
      <c r="A1089">
        <v>22</v>
      </c>
      <c r="B1089" t="s">
        <v>34</v>
      </c>
      <c r="C1089" t="s">
        <v>413</v>
      </c>
      <c r="D1089" t="s">
        <v>113</v>
      </c>
      <c r="E1089">
        <v>3</v>
      </c>
      <c r="F1089">
        <v>135</v>
      </c>
      <c r="G1089">
        <v>1328</v>
      </c>
      <c r="H1089">
        <v>453</v>
      </c>
      <c r="I1089">
        <v>286</v>
      </c>
      <c r="J1089">
        <v>32</v>
      </c>
      <c r="K1089">
        <v>0.40799999999999997</v>
      </c>
      <c r="L1089">
        <v>0.25</v>
      </c>
      <c r="M1089">
        <v>0.78300000000000003</v>
      </c>
      <c r="N1089">
        <v>0.8</v>
      </c>
      <c r="O1089">
        <v>2.9000000000000001E-2</v>
      </c>
      <c r="P1089">
        <v>1995</v>
      </c>
      <c r="Q1089">
        <v>9.8000000000000007</v>
      </c>
      <c r="R1089">
        <v>3.4</v>
      </c>
      <c r="S1089">
        <v>2.1</v>
      </c>
      <c r="T1089">
        <v>0.2</v>
      </c>
      <c r="U1089">
        <v>1</v>
      </c>
      <c r="V1089">
        <v>22</v>
      </c>
      <c r="W1089">
        <f>IF(nba_draft[[#This Row],[years_played]]&gt;5,1,0)</f>
        <v>0</v>
      </c>
    </row>
    <row r="1090" spans="1:23" x14ac:dyDescent="0.25">
      <c r="A1090">
        <v>53</v>
      </c>
      <c r="B1090" t="s">
        <v>82</v>
      </c>
      <c r="C1090" t="s">
        <v>1212</v>
      </c>
      <c r="D1090" t="s">
        <v>97</v>
      </c>
      <c r="E1090">
        <v>2</v>
      </c>
      <c r="F1090">
        <v>119</v>
      </c>
      <c r="G1090">
        <v>1414</v>
      </c>
      <c r="H1090">
        <v>453</v>
      </c>
      <c r="I1090">
        <v>211</v>
      </c>
      <c r="J1090">
        <v>203</v>
      </c>
      <c r="K1090">
        <v>0.42899999999999999</v>
      </c>
      <c r="L1090">
        <v>0.36299999999999999</v>
      </c>
      <c r="M1090">
        <v>0.83499999999999996</v>
      </c>
      <c r="N1090">
        <v>2.4</v>
      </c>
      <c r="O1090">
        <v>8.1000000000000003E-2</v>
      </c>
      <c r="P1090">
        <v>2009</v>
      </c>
      <c r="Q1090">
        <v>11.9</v>
      </c>
      <c r="R1090">
        <v>3.8</v>
      </c>
      <c r="S1090">
        <v>1.8</v>
      </c>
      <c r="T1090">
        <v>1.7</v>
      </c>
      <c r="U1090">
        <v>2</v>
      </c>
      <c r="V1090">
        <v>23</v>
      </c>
      <c r="W1090">
        <f>IF(nba_draft[[#This Row],[years_played]]&gt;5,1,0)</f>
        <v>0</v>
      </c>
    </row>
    <row r="1091" spans="1:23" x14ac:dyDescent="0.25">
      <c r="A1091">
        <v>6</v>
      </c>
      <c r="B1091" t="s">
        <v>49</v>
      </c>
      <c r="C1091" t="s">
        <v>1777</v>
      </c>
      <c r="D1091" t="s">
        <v>230</v>
      </c>
      <c r="E1091">
        <v>2</v>
      </c>
      <c r="F1091">
        <v>76</v>
      </c>
      <c r="G1091">
        <v>1159</v>
      </c>
      <c r="H1091">
        <v>453</v>
      </c>
      <c r="I1091">
        <v>306</v>
      </c>
      <c r="J1091">
        <v>46</v>
      </c>
      <c r="K1091">
        <v>0.67900000000000005</v>
      </c>
      <c r="L1091">
        <v>0</v>
      </c>
      <c r="M1091">
        <v>0.68100000000000005</v>
      </c>
      <c r="N1091">
        <v>4.0999999999999996</v>
      </c>
      <c r="O1091">
        <v>0.17</v>
      </c>
      <c r="P1091">
        <v>2020</v>
      </c>
      <c r="Q1091">
        <v>15.3</v>
      </c>
      <c r="R1091">
        <v>6</v>
      </c>
      <c r="S1091">
        <v>4</v>
      </c>
      <c r="T1091">
        <v>0.6</v>
      </c>
      <c r="U1091">
        <v>1</v>
      </c>
      <c r="V1091">
        <v>6</v>
      </c>
      <c r="W1091">
        <f>IF(nba_draft[[#This Row],[years_played]]&gt;5,1,0)</f>
        <v>0</v>
      </c>
    </row>
    <row r="1092" spans="1:23" x14ac:dyDescent="0.25">
      <c r="A1092">
        <v>29</v>
      </c>
      <c r="B1092" t="s">
        <v>395</v>
      </c>
      <c r="C1092" t="s">
        <v>1800</v>
      </c>
      <c r="D1092" t="s">
        <v>842</v>
      </c>
      <c r="E1092">
        <v>2</v>
      </c>
      <c r="F1092">
        <v>81</v>
      </c>
      <c r="G1092">
        <v>1233</v>
      </c>
      <c r="H1092">
        <v>451</v>
      </c>
      <c r="I1092">
        <v>154</v>
      </c>
      <c r="J1092">
        <v>173</v>
      </c>
      <c r="K1092">
        <v>0.36899999999999999</v>
      </c>
      <c r="L1092">
        <v>0.314</v>
      </c>
      <c r="M1092">
        <v>0.78500000000000003</v>
      </c>
      <c r="N1092">
        <v>1.1000000000000001</v>
      </c>
      <c r="O1092">
        <v>4.2999999999999997E-2</v>
      </c>
      <c r="P1092">
        <v>2020</v>
      </c>
      <c r="Q1092">
        <v>15.2</v>
      </c>
      <c r="R1092">
        <v>5.6</v>
      </c>
      <c r="S1092">
        <v>1.9</v>
      </c>
      <c r="T1092">
        <v>2.1</v>
      </c>
      <c r="U1092">
        <v>1</v>
      </c>
      <c r="V1092">
        <v>29</v>
      </c>
      <c r="W1092">
        <f>IF(nba_draft[[#This Row],[years_played]]&gt;5,1,0)</f>
        <v>0</v>
      </c>
    </row>
    <row r="1093" spans="1:23" x14ac:dyDescent="0.25">
      <c r="A1093">
        <v>2</v>
      </c>
      <c r="B1093" t="s">
        <v>52</v>
      </c>
      <c r="C1093" t="s">
        <v>1773</v>
      </c>
      <c r="D1093" t="s">
        <v>196</v>
      </c>
      <c r="E1093">
        <v>1</v>
      </c>
      <c r="F1093">
        <v>39</v>
      </c>
      <c r="G1093">
        <v>836</v>
      </c>
      <c r="H1093">
        <v>448</v>
      </c>
      <c r="I1093">
        <v>226</v>
      </c>
      <c r="J1093">
        <v>26</v>
      </c>
      <c r="K1093">
        <v>0.51900000000000002</v>
      </c>
      <c r="L1093">
        <v>0.316</v>
      </c>
      <c r="M1093">
        <v>0.628</v>
      </c>
      <c r="N1093">
        <v>0.7</v>
      </c>
      <c r="O1093">
        <v>4.2000000000000003E-2</v>
      </c>
      <c r="P1093">
        <v>2020</v>
      </c>
      <c r="Q1093">
        <v>21.4</v>
      </c>
      <c r="R1093">
        <v>11.5</v>
      </c>
      <c r="S1093">
        <v>5.8</v>
      </c>
      <c r="T1093">
        <v>0.7</v>
      </c>
      <c r="U1093">
        <v>1</v>
      </c>
      <c r="V1093">
        <v>2</v>
      </c>
      <c r="W1093">
        <f>IF(nba_draft[[#This Row],[years_played]]&gt;5,1,0)</f>
        <v>0</v>
      </c>
    </row>
    <row r="1094" spans="1:23" x14ac:dyDescent="0.25">
      <c r="A1094">
        <v>16</v>
      </c>
      <c r="B1094" t="s">
        <v>70</v>
      </c>
      <c r="C1094" t="s">
        <v>1403</v>
      </c>
      <c r="D1094" t="s">
        <v>97</v>
      </c>
      <c r="E1094">
        <v>4</v>
      </c>
      <c r="F1094">
        <v>141</v>
      </c>
      <c r="G1094">
        <v>1754</v>
      </c>
      <c r="H1094">
        <v>446</v>
      </c>
      <c r="I1094">
        <v>388</v>
      </c>
      <c r="J1094">
        <v>72</v>
      </c>
      <c r="K1094">
        <v>0.63200000000000001</v>
      </c>
      <c r="L1094">
        <v>0.26500000000000001</v>
      </c>
      <c r="M1094">
        <v>0.64</v>
      </c>
      <c r="N1094">
        <v>6</v>
      </c>
      <c r="O1094">
        <v>0.16500000000000001</v>
      </c>
      <c r="P1094">
        <v>2013</v>
      </c>
      <c r="Q1094">
        <v>12.4</v>
      </c>
      <c r="R1094">
        <v>3.2</v>
      </c>
      <c r="S1094">
        <v>2.8</v>
      </c>
      <c r="T1094">
        <v>0.5</v>
      </c>
      <c r="U1094">
        <v>1</v>
      </c>
      <c r="V1094">
        <v>16</v>
      </c>
      <c r="W1094">
        <f>IF(nba_draft[[#This Row],[years_played]]&gt;5,1,0)</f>
        <v>0</v>
      </c>
    </row>
    <row r="1095" spans="1:23" x14ac:dyDescent="0.25">
      <c r="A1095">
        <v>32</v>
      </c>
      <c r="B1095" t="s">
        <v>95</v>
      </c>
      <c r="C1095" t="s">
        <v>717</v>
      </c>
      <c r="D1095" t="s">
        <v>285</v>
      </c>
      <c r="E1095">
        <v>3</v>
      </c>
      <c r="F1095">
        <v>80</v>
      </c>
      <c r="G1095">
        <v>1246</v>
      </c>
      <c r="H1095">
        <v>442</v>
      </c>
      <c r="I1095">
        <v>80</v>
      </c>
      <c r="J1095">
        <v>147</v>
      </c>
      <c r="K1095">
        <v>0.377</v>
      </c>
      <c r="L1095">
        <v>0.378</v>
      </c>
      <c r="M1095">
        <v>0.82199999999999995</v>
      </c>
      <c r="N1095">
        <v>0.3</v>
      </c>
      <c r="O1095">
        <v>0.01</v>
      </c>
      <c r="P1095">
        <v>2000</v>
      </c>
      <c r="Q1095">
        <v>15.6</v>
      </c>
      <c r="R1095">
        <v>5.5</v>
      </c>
      <c r="S1095">
        <v>1</v>
      </c>
      <c r="T1095">
        <v>1.8</v>
      </c>
      <c r="U1095">
        <v>2</v>
      </c>
      <c r="V1095">
        <v>3</v>
      </c>
      <c r="W1095">
        <f>IF(nba_draft[[#This Row],[years_played]]&gt;5,1,0)</f>
        <v>0</v>
      </c>
    </row>
    <row r="1096" spans="1:23" x14ac:dyDescent="0.25">
      <c r="A1096">
        <v>20</v>
      </c>
      <c r="B1096" t="s">
        <v>395</v>
      </c>
      <c r="C1096" t="s">
        <v>1461</v>
      </c>
      <c r="D1096" t="s">
        <v>97</v>
      </c>
      <c r="E1096">
        <v>7</v>
      </c>
      <c r="F1096">
        <v>105</v>
      </c>
      <c r="G1096">
        <v>1293</v>
      </c>
      <c r="H1096">
        <v>442</v>
      </c>
      <c r="I1096">
        <v>268</v>
      </c>
      <c r="J1096">
        <v>72</v>
      </c>
      <c r="K1096">
        <v>0.40300000000000002</v>
      </c>
      <c r="L1096">
        <v>0.308</v>
      </c>
      <c r="M1096">
        <v>0.83599999999999997</v>
      </c>
      <c r="N1096">
        <v>1.5</v>
      </c>
      <c r="O1096">
        <v>5.3999999999999999E-2</v>
      </c>
      <c r="P1096">
        <v>2014</v>
      </c>
      <c r="Q1096">
        <v>12.3</v>
      </c>
      <c r="R1096">
        <v>4.2</v>
      </c>
      <c r="S1096">
        <v>2.6</v>
      </c>
      <c r="T1096">
        <v>0.7</v>
      </c>
      <c r="U1096">
        <v>1</v>
      </c>
      <c r="V1096">
        <v>20</v>
      </c>
      <c r="W1096">
        <f>IF(nba_draft[[#This Row],[years_played]]&gt;5,1,0)</f>
        <v>1</v>
      </c>
    </row>
    <row r="1097" spans="1:23" x14ac:dyDescent="0.25">
      <c r="A1097">
        <v>38</v>
      </c>
      <c r="B1097" t="s">
        <v>31</v>
      </c>
      <c r="C1097" t="s">
        <v>672</v>
      </c>
      <c r="D1097" t="s">
        <v>67</v>
      </c>
      <c r="E1097">
        <v>4</v>
      </c>
      <c r="F1097">
        <v>135</v>
      </c>
      <c r="G1097">
        <v>1537</v>
      </c>
      <c r="H1097">
        <v>441</v>
      </c>
      <c r="I1097">
        <v>209</v>
      </c>
      <c r="J1097">
        <v>166</v>
      </c>
      <c r="K1097">
        <v>0.41899999999999998</v>
      </c>
      <c r="L1097">
        <v>0.23599999999999999</v>
      </c>
      <c r="M1097">
        <v>0.71199999999999997</v>
      </c>
      <c r="N1097">
        <v>0.7</v>
      </c>
      <c r="O1097">
        <v>2.1000000000000001E-2</v>
      </c>
      <c r="P1097">
        <v>1999</v>
      </c>
      <c r="Q1097">
        <v>11.4</v>
      </c>
      <c r="R1097">
        <v>3.3</v>
      </c>
      <c r="S1097">
        <v>1.5</v>
      </c>
      <c r="T1097">
        <v>1.2</v>
      </c>
      <c r="U1097">
        <v>2</v>
      </c>
      <c r="V1097">
        <v>9</v>
      </c>
      <c r="W1097">
        <f>IF(nba_draft[[#This Row],[years_played]]&gt;5,1,0)</f>
        <v>0</v>
      </c>
    </row>
    <row r="1098" spans="1:23" x14ac:dyDescent="0.25">
      <c r="A1098">
        <v>18</v>
      </c>
      <c r="B1098" t="s">
        <v>63</v>
      </c>
      <c r="C1098" t="s">
        <v>354</v>
      </c>
      <c r="D1098" t="s">
        <v>272</v>
      </c>
      <c r="E1098">
        <v>3</v>
      </c>
      <c r="F1098">
        <v>113</v>
      </c>
      <c r="G1098">
        <v>1570</v>
      </c>
      <c r="H1098">
        <v>440</v>
      </c>
      <c r="I1098">
        <v>351</v>
      </c>
      <c r="J1098">
        <v>57</v>
      </c>
      <c r="K1098">
        <v>0.54100000000000004</v>
      </c>
      <c r="L1098">
        <v>0.75</v>
      </c>
      <c r="M1098">
        <v>0.47499999999999998</v>
      </c>
      <c r="N1098">
        <v>1.1000000000000001</v>
      </c>
      <c r="O1098">
        <v>3.4000000000000002E-2</v>
      </c>
      <c r="P1098">
        <v>1994</v>
      </c>
      <c r="Q1098">
        <v>13.9</v>
      </c>
      <c r="R1098">
        <v>3.9</v>
      </c>
      <c r="S1098">
        <v>3.1</v>
      </c>
      <c r="T1098">
        <v>0.5</v>
      </c>
      <c r="U1098">
        <v>1</v>
      </c>
      <c r="V1098">
        <v>18</v>
      </c>
      <c r="W1098">
        <f>IF(nba_draft[[#This Row],[years_played]]&gt;5,1,0)</f>
        <v>0</v>
      </c>
    </row>
    <row r="1099" spans="1:23" x14ac:dyDescent="0.25">
      <c r="A1099">
        <v>55</v>
      </c>
      <c r="B1099" t="s">
        <v>52</v>
      </c>
      <c r="C1099" t="s">
        <v>739</v>
      </c>
      <c r="D1099" t="s">
        <v>362</v>
      </c>
      <c r="E1099">
        <v>1</v>
      </c>
      <c r="F1099">
        <v>51</v>
      </c>
      <c r="G1099">
        <v>1147</v>
      </c>
      <c r="H1099">
        <v>440</v>
      </c>
      <c r="I1099">
        <v>189</v>
      </c>
      <c r="J1099">
        <v>61</v>
      </c>
      <c r="K1099">
        <v>0.38900000000000001</v>
      </c>
      <c r="L1099">
        <v>0</v>
      </c>
      <c r="M1099">
        <v>0.66700000000000004</v>
      </c>
      <c r="N1099">
        <v>0.2</v>
      </c>
      <c r="O1099">
        <v>8.0000000000000002E-3</v>
      </c>
      <c r="P1099">
        <v>2000</v>
      </c>
      <c r="Q1099">
        <v>22.5</v>
      </c>
      <c r="R1099">
        <v>8.6</v>
      </c>
      <c r="S1099">
        <v>3.7</v>
      </c>
      <c r="T1099">
        <v>1.2</v>
      </c>
      <c r="U1099">
        <v>2</v>
      </c>
      <c r="V1099">
        <v>26</v>
      </c>
      <c r="W1099">
        <f>IF(nba_draft[[#This Row],[years_played]]&gt;5,1,0)</f>
        <v>0</v>
      </c>
    </row>
    <row r="1100" spans="1:23" x14ac:dyDescent="0.25">
      <c r="A1100">
        <v>38</v>
      </c>
      <c r="B1100" t="s">
        <v>95</v>
      </c>
      <c r="C1100" t="s">
        <v>1868</v>
      </c>
      <c r="D1100" t="s">
        <v>36</v>
      </c>
      <c r="E1100">
        <v>1</v>
      </c>
      <c r="F1100">
        <v>54</v>
      </c>
      <c r="G1100">
        <v>1398</v>
      </c>
      <c r="H1100">
        <v>440</v>
      </c>
      <c r="I1100">
        <v>151</v>
      </c>
      <c r="J1100">
        <v>166</v>
      </c>
      <c r="K1100">
        <v>0.52300000000000002</v>
      </c>
      <c r="L1100">
        <v>0.40699999999999997</v>
      </c>
      <c r="M1100">
        <v>0.67700000000000005</v>
      </c>
      <c r="N1100">
        <v>2.5</v>
      </c>
      <c r="O1100">
        <v>8.6999999999999994E-2</v>
      </c>
      <c r="P1100">
        <v>2021</v>
      </c>
      <c r="Q1100">
        <v>25.9</v>
      </c>
      <c r="R1100">
        <v>8.1</v>
      </c>
      <c r="S1100">
        <v>2.8</v>
      </c>
      <c r="T1100">
        <v>3.1</v>
      </c>
      <c r="U1100">
        <v>2</v>
      </c>
      <c r="V1100">
        <v>8</v>
      </c>
      <c r="W1100">
        <f>IF(nba_draft[[#This Row],[years_played]]&gt;5,1,0)</f>
        <v>0</v>
      </c>
    </row>
    <row r="1101" spans="1:23" x14ac:dyDescent="0.25">
      <c r="A1101">
        <v>45</v>
      </c>
      <c r="B1101" t="s">
        <v>127</v>
      </c>
      <c r="C1101" t="s">
        <v>1047</v>
      </c>
      <c r="D1101" t="s">
        <v>298</v>
      </c>
      <c r="E1101">
        <v>2</v>
      </c>
      <c r="F1101">
        <v>102</v>
      </c>
      <c r="G1101">
        <v>1302</v>
      </c>
      <c r="H1101">
        <v>439</v>
      </c>
      <c r="I1101">
        <v>275</v>
      </c>
      <c r="J1101">
        <v>30</v>
      </c>
      <c r="K1101">
        <v>0.51700000000000002</v>
      </c>
      <c r="L1101">
        <v>0</v>
      </c>
      <c r="M1101">
        <v>0.67200000000000004</v>
      </c>
      <c r="N1101">
        <v>1.5</v>
      </c>
      <c r="O1101">
        <v>5.6000000000000001E-2</v>
      </c>
      <c r="P1101">
        <v>2006</v>
      </c>
      <c r="Q1101">
        <v>12.8</v>
      </c>
      <c r="R1101">
        <v>4.3</v>
      </c>
      <c r="S1101">
        <v>2.7</v>
      </c>
      <c r="T1101">
        <v>0.3</v>
      </c>
      <c r="U1101">
        <v>2</v>
      </c>
      <c r="V1101">
        <v>15</v>
      </c>
      <c r="W1101">
        <f>IF(nba_draft[[#This Row],[years_played]]&gt;5,1,0)</f>
        <v>0</v>
      </c>
    </row>
    <row r="1102" spans="1:23" x14ac:dyDescent="0.25">
      <c r="A1102">
        <v>18</v>
      </c>
      <c r="B1102" t="s">
        <v>109</v>
      </c>
      <c r="C1102" t="s">
        <v>1020</v>
      </c>
      <c r="D1102" t="s">
        <v>97</v>
      </c>
      <c r="E1102">
        <v>3</v>
      </c>
      <c r="F1102">
        <v>111</v>
      </c>
      <c r="G1102">
        <v>1044</v>
      </c>
      <c r="H1102">
        <v>438</v>
      </c>
      <c r="I1102">
        <v>266</v>
      </c>
      <c r="J1102">
        <v>20</v>
      </c>
      <c r="K1102">
        <v>0.38600000000000001</v>
      </c>
      <c r="L1102">
        <v>0.28999999999999998</v>
      </c>
      <c r="M1102">
        <v>0.79300000000000004</v>
      </c>
      <c r="N1102">
        <v>0.5</v>
      </c>
      <c r="O1102">
        <v>2.5000000000000001E-2</v>
      </c>
      <c r="P1102">
        <v>2006</v>
      </c>
      <c r="Q1102">
        <v>9.4</v>
      </c>
      <c r="R1102">
        <v>3.9</v>
      </c>
      <c r="S1102">
        <v>2.4</v>
      </c>
      <c r="T1102">
        <v>0.2</v>
      </c>
      <c r="U1102">
        <v>1</v>
      </c>
      <c r="V1102">
        <v>18</v>
      </c>
      <c r="W1102">
        <f>IF(nba_draft[[#This Row],[years_played]]&gt;5,1,0)</f>
        <v>0</v>
      </c>
    </row>
    <row r="1103" spans="1:23" x14ac:dyDescent="0.25">
      <c r="A1103">
        <v>39</v>
      </c>
      <c r="B1103" t="s">
        <v>102</v>
      </c>
      <c r="C1103" t="s">
        <v>1691</v>
      </c>
      <c r="D1103" t="s">
        <v>97</v>
      </c>
      <c r="E1103">
        <v>4</v>
      </c>
      <c r="F1103">
        <v>141</v>
      </c>
      <c r="G1103">
        <v>1868</v>
      </c>
      <c r="H1103">
        <v>438</v>
      </c>
      <c r="I1103">
        <v>320</v>
      </c>
      <c r="J1103">
        <v>117</v>
      </c>
      <c r="K1103">
        <v>0.432</v>
      </c>
      <c r="L1103">
        <v>0.3</v>
      </c>
      <c r="M1103">
        <v>0.76300000000000001</v>
      </c>
      <c r="N1103">
        <v>1.7</v>
      </c>
      <c r="O1103">
        <v>4.2999999999999997E-2</v>
      </c>
      <c r="P1103">
        <v>2018</v>
      </c>
      <c r="Q1103">
        <v>13.2</v>
      </c>
      <c r="R1103">
        <v>3.1</v>
      </c>
      <c r="S1103">
        <v>2.2999999999999998</v>
      </c>
      <c r="T1103">
        <v>0.8</v>
      </c>
      <c r="U1103">
        <v>2</v>
      </c>
      <c r="V1103">
        <v>9</v>
      </c>
      <c r="W1103">
        <f>IF(nba_draft[[#This Row],[years_played]]&gt;5,1,0)</f>
        <v>0</v>
      </c>
    </row>
    <row r="1104" spans="1:23" x14ac:dyDescent="0.25">
      <c r="A1104">
        <v>16</v>
      </c>
      <c r="B1104" t="s">
        <v>25</v>
      </c>
      <c r="C1104" t="s">
        <v>1847</v>
      </c>
      <c r="D1104" t="s">
        <v>97</v>
      </c>
      <c r="E1104">
        <v>1</v>
      </c>
      <c r="F1104">
        <v>50</v>
      </c>
      <c r="G1104">
        <v>937</v>
      </c>
      <c r="H1104">
        <v>437</v>
      </c>
      <c r="I1104">
        <v>240</v>
      </c>
      <c r="J1104">
        <v>125</v>
      </c>
      <c r="K1104">
        <v>0.48099999999999998</v>
      </c>
      <c r="L1104">
        <v>0.27700000000000002</v>
      </c>
      <c r="M1104">
        <v>0.69799999999999995</v>
      </c>
      <c r="N1104">
        <v>1.3</v>
      </c>
      <c r="O1104">
        <v>6.5000000000000002E-2</v>
      </c>
      <c r="P1104">
        <v>2021</v>
      </c>
      <c r="Q1104">
        <v>18.7</v>
      </c>
      <c r="R1104">
        <v>8.6999999999999993</v>
      </c>
      <c r="S1104">
        <v>4.8</v>
      </c>
      <c r="T1104">
        <v>2.5</v>
      </c>
      <c r="U1104">
        <v>1</v>
      </c>
      <c r="V1104">
        <v>16</v>
      </c>
      <c r="W1104">
        <f>IF(nba_draft[[#This Row],[years_played]]&gt;5,1,0)</f>
        <v>0</v>
      </c>
    </row>
    <row r="1105" spans="1:23" x14ac:dyDescent="0.25">
      <c r="A1105">
        <v>32</v>
      </c>
      <c r="B1105" t="s">
        <v>43</v>
      </c>
      <c r="C1105" t="s">
        <v>977</v>
      </c>
      <c r="D1105" t="s">
        <v>87</v>
      </c>
      <c r="E1105">
        <v>2</v>
      </c>
      <c r="F1105">
        <v>127</v>
      </c>
      <c r="G1105">
        <v>1683</v>
      </c>
      <c r="H1105">
        <v>431</v>
      </c>
      <c r="I1105">
        <v>158</v>
      </c>
      <c r="J1105">
        <v>174</v>
      </c>
      <c r="K1105">
        <v>0.38900000000000001</v>
      </c>
      <c r="L1105">
        <v>0.29499999999999998</v>
      </c>
      <c r="M1105">
        <v>0.78</v>
      </c>
      <c r="N1105">
        <v>0.8</v>
      </c>
      <c r="O1105">
        <v>2.4E-2</v>
      </c>
      <c r="P1105">
        <v>2005</v>
      </c>
      <c r="Q1105">
        <v>13.3</v>
      </c>
      <c r="R1105">
        <v>3.4</v>
      </c>
      <c r="S1105">
        <v>1.2</v>
      </c>
      <c r="T1105">
        <v>1.4</v>
      </c>
      <c r="U1105">
        <v>2</v>
      </c>
      <c r="V1105">
        <v>2</v>
      </c>
      <c r="W1105">
        <f>IF(nba_draft[[#This Row],[years_played]]&gt;5,1,0)</f>
        <v>0</v>
      </c>
    </row>
    <row r="1106" spans="1:23" x14ac:dyDescent="0.25">
      <c r="A1106">
        <v>41</v>
      </c>
      <c r="B1106" t="s">
        <v>90</v>
      </c>
      <c r="C1106" t="s">
        <v>1312</v>
      </c>
      <c r="D1106" t="s">
        <v>51</v>
      </c>
      <c r="E1106">
        <v>4</v>
      </c>
      <c r="F1106">
        <v>132</v>
      </c>
      <c r="G1106">
        <v>1464</v>
      </c>
      <c r="H1106">
        <v>430</v>
      </c>
      <c r="I1106">
        <v>126</v>
      </c>
      <c r="J1106">
        <v>189</v>
      </c>
      <c r="K1106">
        <v>0.38400000000000001</v>
      </c>
      <c r="L1106">
        <v>0.32200000000000001</v>
      </c>
      <c r="M1106">
        <v>0.63</v>
      </c>
      <c r="N1106">
        <v>-0.3</v>
      </c>
      <c r="O1106">
        <v>-0.01</v>
      </c>
      <c r="P1106">
        <v>2011</v>
      </c>
      <c r="Q1106">
        <v>11.1</v>
      </c>
      <c r="R1106">
        <v>3.3</v>
      </c>
      <c r="S1106">
        <v>1</v>
      </c>
      <c r="T1106">
        <v>1.4</v>
      </c>
      <c r="U1106">
        <v>2</v>
      </c>
      <c r="V1106">
        <v>11</v>
      </c>
      <c r="W1106">
        <f>IF(nba_draft[[#This Row],[years_played]]&gt;5,1,0)</f>
        <v>0</v>
      </c>
    </row>
    <row r="1107" spans="1:23" x14ac:dyDescent="0.25">
      <c r="A1107">
        <v>15</v>
      </c>
      <c r="B1107" t="s">
        <v>49</v>
      </c>
      <c r="C1107" t="s">
        <v>1456</v>
      </c>
      <c r="D1107" t="s">
        <v>148</v>
      </c>
      <c r="E1107">
        <v>4</v>
      </c>
      <c r="F1107">
        <v>107</v>
      </c>
      <c r="G1107">
        <v>1403</v>
      </c>
      <c r="H1107">
        <v>429</v>
      </c>
      <c r="I1107">
        <v>315</v>
      </c>
      <c r="J1107">
        <v>66</v>
      </c>
      <c r="K1107">
        <v>0.40600000000000003</v>
      </c>
      <c r="L1107">
        <v>0.254</v>
      </c>
      <c r="M1107">
        <v>0.68</v>
      </c>
      <c r="N1107">
        <v>-0.6</v>
      </c>
      <c r="O1107">
        <v>-1.9E-2</v>
      </c>
      <c r="P1107">
        <v>2014</v>
      </c>
      <c r="Q1107">
        <v>13.1</v>
      </c>
      <c r="R1107">
        <v>4</v>
      </c>
      <c r="S1107">
        <v>2.9</v>
      </c>
      <c r="T1107">
        <v>0.6</v>
      </c>
      <c r="U1107">
        <v>1</v>
      </c>
      <c r="V1107">
        <v>15</v>
      </c>
      <c r="W1107">
        <f>IF(nba_draft[[#This Row],[years_played]]&gt;5,1,0)</f>
        <v>0</v>
      </c>
    </row>
    <row r="1108" spans="1:23" x14ac:dyDescent="0.25">
      <c r="A1108">
        <v>43</v>
      </c>
      <c r="B1108" t="s">
        <v>127</v>
      </c>
      <c r="C1108" t="s">
        <v>1536</v>
      </c>
      <c r="D1108" t="s">
        <v>158</v>
      </c>
      <c r="E1108">
        <v>3</v>
      </c>
      <c r="F1108">
        <v>127</v>
      </c>
      <c r="G1108">
        <v>1077</v>
      </c>
      <c r="H1108">
        <v>429</v>
      </c>
      <c r="I1108">
        <v>130</v>
      </c>
      <c r="J1108">
        <v>119</v>
      </c>
      <c r="K1108">
        <v>0.39300000000000002</v>
      </c>
      <c r="L1108">
        <v>0.29599999999999999</v>
      </c>
      <c r="M1108">
        <v>0.76800000000000002</v>
      </c>
      <c r="N1108">
        <v>0.4</v>
      </c>
      <c r="O1108">
        <v>1.6E-2</v>
      </c>
      <c r="P1108">
        <v>2015</v>
      </c>
      <c r="Q1108">
        <v>8.5</v>
      </c>
      <c r="R1108">
        <v>3.4</v>
      </c>
      <c r="S1108">
        <v>1</v>
      </c>
      <c r="T1108">
        <v>0.9</v>
      </c>
      <c r="U1108">
        <v>2</v>
      </c>
      <c r="V1108">
        <v>13</v>
      </c>
      <c r="W1108">
        <f>IF(nba_draft[[#This Row],[years_played]]&gt;5,1,0)</f>
        <v>0</v>
      </c>
    </row>
    <row r="1109" spans="1:23" x14ac:dyDescent="0.25">
      <c r="A1109">
        <v>17</v>
      </c>
      <c r="B1109" t="s">
        <v>49</v>
      </c>
      <c r="C1109" t="s">
        <v>646</v>
      </c>
      <c r="D1109" t="s">
        <v>166</v>
      </c>
      <c r="E1109">
        <v>3</v>
      </c>
      <c r="F1109">
        <v>142</v>
      </c>
      <c r="G1109">
        <v>1383</v>
      </c>
      <c r="H1109">
        <v>424</v>
      </c>
      <c r="I1109">
        <v>272</v>
      </c>
      <c r="J1109">
        <v>29</v>
      </c>
      <c r="K1109">
        <v>0.40400000000000003</v>
      </c>
      <c r="L1109">
        <v>0.182</v>
      </c>
      <c r="M1109">
        <v>0.76800000000000002</v>
      </c>
      <c r="N1109">
        <v>1.8</v>
      </c>
      <c r="O1109">
        <v>6.0999999999999999E-2</v>
      </c>
      <c r="P1109">
        <v>1999</v>
      </c>
      <c r="Q1109">
        <v>9.6999999999999993</v>
      </c>
      <c r="R1109">
        <v>3</v>
      </c>
      <c r="S1109">
        <v>1.9</v>
      </c>
      <c r="T1109">
        <v>0.2</v>
      </c>
      <c r="U1109">
        <v>1</v>
      </c>
      <c r="V1109">
        <v>17</v>
      </c>
      <c r="W1109">
        <f>IF(nba_draft[[#This Row],[years_played]]&gt;5,1,0)</f>
        <v>0</v>
      </c>
    </row>
    <row r="1110" spans="1:23" x14ac:dyDescent="0.25">
      <c r="A1110">
        <v>39</v>
      </c>
      <c r="B1110" t="s">
        <v>95</v>
      </c>
      <c r="C1110" t="s">
        <v>263</v>
      </c>
      <c r="D1110" t="s">
        <v>57</v>
      </c>
      <c r="E1110">
        <v>5</v>
      </c>
      <c r="F1110">
        <v>148</v>
      </c>
      <c r="G1110">
        <v>1189</v>
      </c>
      <c r="H1110">
        <v>423</v>
      </c>
      <c r="I1110">
        <v>75</v>
      </c>
      <c r="J1110">
        <v>182</v>
      </c>
      <c r="K1110">
        <v>0.42</v>
      </c>
      <c r="L1110">
        <v>7.6999999999999999E-2</v>
      </c>
      <c r="M1110">
        <v>0.66500000000000004</v>
      </c>
      <c r="N1110">
        <v>1.6</v>
      </c>
      <c r="O1110">
        <v>6.6000000000000003E-2</v>
      </c>
      <c r="P1110">
        <v>1992</v>
      </c>
      <c r="Q1110">
        <v>8</v>
      </c>
      <c r="R1110">
        <v>2.9</v>
      </c>
      <c r="S1110">
        <v>0.5</v>
      </c>
      <c r="T1110">
        <v>1.2</v>
      </c>
      <c r="U1110">
        <v>2</v>
      </c>
      <c r="V1110">
        <v>12</v>
      </c>
      <c r="W1110">
        <f>IF(nba_draft[[#This Row],[years_played]]&gt;5,1,0)</f>
        <v>0</v>
      </c>
    </row>
    <row r="1111" spans="1:23" x14ac:dyDescent="0.25">
      <c r="A1111">
        <v>37</v>
      </c>
      <c r="B1111" t="s">
        <v>25</v>
      </c>
      <c r="C1111" t="s">
        <v>375</v>
      </c>
      <c r="D1111" t="s">
        <v>310</v>
      </c>
      <c r="E1111">
        <v>4</v>
      </c>
      <c r="F1111">
        <v>114</v>
      </c>
      <c r="G1111">
        <v>1146</v>
      </c>
      <c r="H1111">
        <v>423</v>
      </c>
      <c r="I1111">
        <v>275</v>
      </c>
      <c r="J1111">
        <v>76</v>
      </c>
      <c r="K1111">
        <v>0.38900000000000001</v>
      </c>
      <c r="L1111">
        <v>0.309</v>
      </c>
      <c r="M1111">
        <v>0.72099999999999997</v>
      </c>
      <c r="N1111">
        <v>1.8</v>
      </c>
      <c r="O1111">
        <v>7.3999999999999996E-2</v>
      </c>
      <c r="P1111">
        <v>1994</v>
      </c>
      <c r="Q1111">
        <v>10.1</v>
      </c>
      <c r="R1111">
        <v>3.7</v>
      </c>
      <c r="S1111">
        <v>2.4</v>
      </c>
      <c r="T1111">
        <v>0.7</v>
      </c>
      <c r="U1111">
        <v>2</v>
      </c>
      <c r="V1111">
        <v>10</v>
      </c>
      <c r="W1111">
        <f>IF(nba_draft[[#This Row],[years_played]]&gt;5,1,0)</f>
        <v>0</v>
      </c>
    </row>
    <row r="1112" spans="1:23" x14ac:dyDescent="0.25">
      <c r="A1112">
        <v>17</v>
      </c>
      <c r="B1112" t="s">
        <v>63</v>
      </c>
      <c r="C1112" t="s">
        <v>1512</v>
      </c>
      <c r="D1112" t="s">
        <v>142</v>
      </c>
      <c r="E1112">
        <v>3</v>
      </c>
      <c r="F1112">
        <v>139</v>
      </c>
      <c r="G1112">
        <v>1671</v>
      </c>
      <c r="H1112">
        <v>423</v>
      </c>
      <c r="I1112">
        <v>158</v>
      </c>
      <c r="J1112">
        <v>75</v>
      </c>
      <c r="K1112">
        <v>0.33700000000000002</v>
      </c>
      <c r="L1112">
        <v>0.313</v>
      </c>
      <c r="M1112">
        <v>0.69199999999999995</v>
      </c>
      <c r="N1112">
        <v>-0.6</v>
      </c>
      <c r="O1112">
        <v>-1.7000000000000001E-2</v>
      </c>
      <c r="P1112">
        <v>2015</v>
      </c>
      <c r="Q1112">
        <v>12</v>
      </c>
      <c r="R1112">
        <v>3</v>
      </c>
      <c r="S1112">
        <v>1.1000000000000001</v>
      </c>
      <c r="T1112">
        <v>0.5</v>
      </c>
      <c r="U1112">
        <v>1</v>
      </c>
      <c r="V1112">
        <v>17</v>
      </c>
      <c r="W1112">
        <f>IF(nba_draft[[#This Row],[years_played]]&gt;5,1,0)</f>
        <v>0</v>
      </c>
    </row>
    <row r="1113" spans="1:23" x14ac:dyDescent="0.25">
      <c r="A1113">
        <v>34</v>
      </c>
      <c r="B1113" t="s">
        <v>22</v>
      </c>
      <c r="C1113" t="s">
        <v>666</v>
      </c>
      <c r="D1113" t="s">
        <v>667</v>
      </c>
      <c r="E1113">
        <v>4</v>
      </c>
      <c r="F1113">
        <v>153</v>
      </c>
      <c r="G1113">
        <v>2138</v>
      </c>
      <c r="H1113">
        <v>421</v>
      </c>
      <c r="I1113">
        <v>601</v>
      </c>
      <c r="J1113">
        <v>76</v>
      </c>
      <c r="K1113">
        <v>0.46300000000000002</v>
      </c>
      <c r="L1113">
        <v>0</v>
      </c>
      <c r="M1113">
        <v>0.621</v>
      </c>
      <c r="N1113">
        <v>4</v>
      </c>
      <c r="O1113">
        <v>0.09</v>
      </c>
      <c r="P1113">
        <v>1999</v>
      </c>
      <c r="Q1113">
        <v>14</v>
      </c>
      <c r="R1113">
        <v>2.8</v>
      </c>
      <c r="S1113">
        <v>3.9</v>
      </c>
      <c r="T1113">
        <v>0.5</v>
      </c>
      <c r="U1113">
        <v>2</v>
      </c>
      <c r="V1113">
        <v>5</v>
      </c>
      <c r="W1113">
        <f>IF(nba_draft[[#This Row],[years_played]]&gt;5,1,0)</f>
        <v>0</v>
      </c>
    </row>
    <row r="1114" spans="1:23" x14ac:dyDescent="0.25">
      <c r="A1114">
        <v>18</v>
      </c>
      <c r="B1114" t="s">
        <v>63</v>
      </c>
      <c r="C1114" t="s">
        <v>169</v>
      </c>
      <c r="D1114" t="s">
        <v>170</v>
      </c>
      <c r="E1114">
        <v>3</v>
      </c>
      <c r="F1114">
        <v>126</v>
      </c>
      <c r="G1114">
        <v>1031</v>
      </c>
      <c r="H1114">
        <v>417</v>
      </c>
      <c r="I1114">
        <v>141</v>
      </c>
      <c r="J1114">
        <v>48</v>
      </c>
      <c r="K1114">
        <v>0.40100000000000002</v>
      </c>
      <c r="L1114">
        <v>0.2</v>
      </c>
      <c r="M1114">
        <v>0.85899999999999999</v>
      </c>
      <c r="N1114">
        <v>-0.1</v>
      </c>
      <c r="O1114">
        <v>-4.0000000000000001E-3</v>
      </c>
      <c r="P1114">
        <v>1991</v>
      </c>
      <c r="Q1114">
        <v>8.1999999999999993</v>
      </c>
      <c r="R1114">
        <v>3.3</v>
      </c>
      <c r="S1114">
        <v>1.1000000000000001</v>
      </c>
      <c r="T1114">
        <v>0.4</v>
      </c>
      <c r="U1114">
        <v>1</v>
      </c>
      <c r="V1114">
        <v>18</v>
      </c>
      <c r="W1114">
        <f>IF(nba_draft[[#This Row],[years_played]]&gt;5,1,0)</f>
        <v>0</v>
      </c>
    </row>
    <row r="1115" spans="1:23" x14ac:dyDescent="0.25">
      <c r="A1115">
        <v>36</v>
      </c>
      <c r="B1115" t="s">
        <v>31</v>
      </c>
      <c r="C1115" t="s">
        <v>194</v>
      </c>
      <c r="D1115" t="s">
        <v>184</v>
      </c>
      <c r="E1115">
        <v>3</v>
      </c>
      <c r="F1115">
        <v>112</v>
      </c>
      <c r="G1115">
        <v>1313</v>
      </c>
      <c r="H1115">
        <v>416</v>
      </c>
      <c r="I1115">
        <v>129</v>
      </c>
      <c r="J1115">
        <v>243</v>
      </c>
      <c r="K1115">
        <v>0.42099999999999999</v>
      </c>
      <c r="L1115">
        <v>0.26900000000000002</v>
      </c>
      <c r="M1115">
        <v>0.81599999999999995</v>
      </c>
      <c r="N1115">
        <v>1.6</v>
      </c>
      <c r="O1115">
        <v>5.8000000000000003E-2</v>
      </c>
      <c r="P1115">
        <v>1991</v>
      </c>
      <c r="Q1115">
        <v>11.7</v>
      </c>
      <c r="R1115">
        <v>3.7</v>
      </c>
      <c r="S1115">
        <v>1.2</v>
      </c>
      <c r="T1115">
        <v>2.2000000000000002</v>
      </c>
      <c r="U1115">
        <v>2</v>
      </c>
      <c r="V1115">
        <v>9</v>
      </c>
      <c r="W1115">
        <f>IF(nba_draft[[#This Row],[years_played]]&gt;5,1,0)</f>
        <v>0</v>
      </c>
    </row>
    <row r="1116" spans="1:23" x14ac:dyDescent="0.25">
      <c r="A1116">
        <v>12</v>
      </c>
      <c r="B1116" t="s">
        <v>25</v>
      </c>
      <c r="C1116" t="s">
        <v>907</v>
      </c>
      <c r="D1116" t="s">
        <v>97</v>
      </c>
      <c r="E1116">
        <v>4</v>
      </c>
      <c r="F1116">
        <v>97</v>
      </c>
      <c r="G1116">
        <v>1500</v>
      </c>
      <c r="H1116">
        <v>416</v>
      </c>
      <c r="I1116">
        <v>376</v>
      </c>
      <c r="J1116">
        <v>20</v>
      </c>
      <c r="K1116">
        <v>0.50600000000000001</v>
      </c>
      <c r="L1116">
        <v>0</v>
      </c>
      <c r="M1116">
        <v>0.61</v>
      </c>
      <c r="N1116">
        <v>1.7</v>
      </c>
      <c r="O1116">
        <v>5.3999999999999999E-2</v>
      </c>
      <c r="P1116">
        <v>2004</v>
      </c>
      <c r="Q1116">
        <v>15.5</v>
      </c>
      <c r="R1116">
        <v>4.3</v>
      </c>
      <c r="S1116">
        <v>3.9</v>
      </c>
      <c r="T1116">
        <v>0.2</v>
      </c>
      <c r="U1116">
        <v>1</v>
      </c>
      <c r="V1116">
        <v>12</v>
      </c>
      <c r="W1116">
        <f>IF(nba_draft[[#This Row],[years_played]]&gt;5,1,0)</f>
        <v>0</v>
      </c>
    </row>
    <row r="1117" spans="1:23" x14ac:dyDescent="0.25">
      <c r="A1117">
        <v>44</v>
      </c>
      <c r="B1117" t="s">
        <v>52</v>
      </c>
      <c r="C1117" t="s">
        <v>1315</v>
      </c>
      <c r="D1117" t="s">
        <v>704</v>
      </c>
      <c r="E1117">
        <v>2</v>
      </c>
      <c r="F1117">
        <v>110</v>
      </c>
      <c r="G1117">
        <v>1334</v>
      </c>
      <c r="H1117">
        <v>408</v>
      </c>
      <c r="I1117">
        <v>100</v>
      </c>
      <c r="J1117">
        <v>214</v>
      </c>
      <c r="K1117">
        <v>0.434</v>
      </c>
      <c r="L1117">
        <v>0.182</v>
      </c>
      <c r="M1117">
        <v>0.754</v>
      </c>
      <c r="N1117">
        <v>0.5</v>
      </c>
      <c r="O1117">
        <v>1.7000000000000001E-2</v>
      </c>
      <c r="P1117">
        <v>2011</v>
      </c>
      <c r="Q1117">
        <v>12.1</v>
      </c>
      <c r="R1117">
        <v>3.7</v>
      </c>
      <c r="S1117">
        <v>0.9</v>
      </c>
      <c r="T1117">
        <v>1.9</v>
      </c>
      <c r="U1117">
        <v>2</v>
      </c>
      <c r="V1117">
        <v>14</v>
      </c>
      <c r="W1117">
        <f>IF(nba_draft[[#This Row],[years_played]]&gt;5,1,0)</f>
        <v>0</v>
      </c>
    </row>
    <row r="1118" spans="1:23" x14ac:dyDescent="0.25">
      <c r="A1118">
        <v>33</v>
      </c>
      <c r="B1118" t="s">
        <v>28</v>
      </c>
      <c r="C1118" t="s">
        <v>823</v>
      </c>
      <c r="D1118" t="s">
        <v>293</v>
      </c>
      <c r="E1118">
        <v>1</v>
      </c>
      <c r="F1118">
        <v>59</v>
      </c>
      <c r="G1118">
        <v>1381</v>
      </c>
      <c r="H1118">
        <v>406</v>
      </c>
      <c r="I1118">
        <v>162</v>
      </c>
      <c r="J1118">
        <v>130</v>
      </c>
      <c r="K1118">
        <v>0.39300000000000002</v>
      </c>
      <c r="L1118">
        <v>0.26900000000000002</v>
      </c>
      <c r="M1118">
        <v>0.79</v>
      </c>
      <c r="N1118">
        <v>1</v>
      </c>
      <c r="O1118">
        <v>3.5000000000000003E-2</v>
      </c>
      <c r="P1118">
        <v>2002</v>
      </c>
      <c r="Q1118">
        <v>23.4</v>
      </c>
      <c r="R1118">
        <v>6.9</v>
      </c>
      <c r="S1118">
        <v>2.7</v>
      </c>
      <c r="T1118">
        <v>2.2000000000000002</v>
      </c>
      <c r="U1118">
        <v>2</v>
      </c>
      <c r="V1118">
        <v>4</v>
      </c>
      <c r="W1118">
        <f>IF(nba_draft[[#This Row],[years_played]]&gt;5,1,0)</f>
        <v>0</v>
      </c>
    </row>
    <row r="1119" spans="1:23" x14ac:dyDescent="0.25">
      <c r="A1119">
        <v>38</v>
      </c>
      <c r="B1119" t="s">
        <v>104</v>
      </c>
      <c r="C1119" t="s">
        <v>1809</v>
      </c>
      <c r="D1119" t="s">
        <v>716</v>
      </c>
      <c r="E1119">
        <v>2</v>
      </c>
      <c r="F1119">
        <v>76</v>
      </c>
      <c r="G1119">
        <v>1188</v>
      </c>
      <c r="H1119">
        <v>404</v>
      </c>
      <c r="I1119">
        <v>163</v>
      </c>
      <c r="J1119">
        <v>238</v>
      </c>
      <c r="K1119">
        <v>0.437</v>
      </c>
      <c r="L1119">
        <v>0.29899999999999999</v>
      </c>
      <c r="M1119">
        <v>0.71199999999999997</v>
      </c>
      <c r="N1119">
        <v>1.9</v>
      </c>
      <c r="O1119">
        <v>7.8E-2</v>
      </c>
      <c r="P1119">
        <v>2020</v>
      </c>
      <c r="Q1119">
        <v>15.6</v>
      </c>
      <c r="R1119">
        <v>5.3</v>
      </c>
      <c r="S1119">
        <v>2.1</v>
      </c>
      <c r="T1119">
        <v>3.1</v>
      </c>
      <c r="U1119">
        <v>2</v>
      </c>
      <c r="V1119">
        <v>8</v>
      </c>
      <c r="W1119">
        <f>IF(nba_draft[[#This Row],[years_played]]&gt;5,1,0)</f>
        <v>0</v>
      </c>
    </row>
    <row r="1120" spans="1:23" x14ac:dyDescent="0.25">
      <c r="A1120">
        <v>26</v>
      </c>
      <c r="B1120" t="s">
        <v>28</v>
      </c>
      <c r="C1120" t="s">
        <v>1857</v>
      </c>
      <c r="D1120" t="s">
        <v>1183</v>
      </c>
      <c r="E1120">
        <v>1</v>
      </c>
      <c r="F1120">
        <v>46</v>
      </c>
      <c r="G1120">
        <v>829</v>
      </c>
      <c r="H1120">
        <v>403</v>
      </c>
      <c r="I1120">
        <v>126</v>
      </c>
      <c r="J1120">
        <v>93</v>
      </c>
      <c r="K1120">
        <v>0.36899999999999999</v>
      </c>
      <c r="L1120">
        <v>0.34599999999999997</v>
      </c>
      <c r="M1120">
        <v>0.88100000000000001</v>
      </c>
      <c r="N1120">
        <v>0.5</v>
      </c>
      <c r="O1120">
        <v>2.7E-2</v>
      </c>
      <c r="P1120">
        <v>2021</v>
      </c>
      <c r="Q1120">
        <v>18</v>
      </c>
      <c r="R1120">
        <v>8.8000000000000007</v>
      </c>
      <c r="S1120">
        <v>2.7</v>
      </c>
      <c r="T1120">
        <v>2</v>
      </c>
      <c r="U1120">
        <v>1</v>
      </c>
      <c r="V1120">
        <v>26</v>
      </c>
      <c r="W1120">
        <f>IF(nba_draft[[#This Row],[years_played]]&gt;5,1,0)</f>
        <v>0</v>
      </c>
    </row>
    <row r="1121" spans="1:23" x14ac:dyDescent="0.25">
      <c r="A1121">
        <v>30</v>
      </c>
      <c r="B1121" t="s">
        <v>149</v>
      </c>
      <c r="C1121" t="s">
        <v>596</v>
      </c>
      <c r="D1121" t="s">
        <v>74</v>
      </c>
      <c r="E1121">
        <v>4</v>
      </c>
      <c r="F1121">
        <v>127</v>
      </c>
      <c r="G1121">
        <v>1301</v>
      </c>
      <c r="H1121">
        <v>401</v>
      </c>
      <c r="I1121">
        <v>223</v>
      </c>
      <c r="J1121">
        <v>62</v>
      </c>
      <c r="K1121">
        <v>0.434</v>
      </c>
      <c r="L1121">
        <v>0.27600000000000002</v>
      </c>
      <c r="M1121">
        <v>0.64</v>
      </c>
      <c r="N1121">
        <v>1.4</v>
      </c>
      <c r="O1121">
        <v>5.0999999999999997E-2</v>
      </c>
      <c r="P1121">
        <v>1998</v>
      </c>
      <c r="Q1121">
        <v>10.199999999999999</v>
      </c>
      <c r="R1121">
        <v>3.2</v>
      </c>
      <c r="S1121">
        <v>1.8</v>
      </c>
      <c r="T1121">
        <v>0.5</v>
      </c>
      <c r="U1121">
        <v>2</v>
      </c>
      <c r="V1121">
        <v>1</v>
      </c>
      <c r="W1121">
        <f>IF(nba_draft[[#This Row],[years_played]]&gt;5,1,0)</f>
        <v>0</v>
      </c>
    </row>
    <row r="1122" spans="1:23" x14ac:dyDescent="0.25">
      <c r="A1122">
        <v>48</v>
      </c>
      <c r="B1122" t="s">
        <v>63</v>
      </c>
      <c r="C1122" t="s">
        <v>1643</v>
      </c>
      <c r="D1122" t="s">
        <v>383</v>
      </c>
      <c r="E1122">
        <v>4</v>
      </c>
      <c r="F1122">
        <v>160</v>
      </c>
      <c r="G1122">
        <v>1721</v>
      </c>
      <c r="H1122">
        <v>401</v>
      </c>
      <c r="I1122">
        <v>206</v>
      </c>
      <c r="J1122">
        <v>111</v>
      </c>
      <c r="K1122">
        <v>0.40699999999999997</v>
      </c>
      <c r="L1122">
        <v>0.34</v>
      </c>
      <c r="M1122">
        <v>0.67200000000000004</v>
      </c>
      <c r="N1122">
        <v>1.1000000000000001</v>
      </c>
      <c r="O1122">
        <v>3.2000000000000001E-2</v>
      </c>
      <c r="P1122">
        <v>2017</v>
      </c>
      <c r="Q1122">
        <v>10.8</v>
      </c>
      <c r="R1122">
        <v>2.5</v>
      </c>
      <c r="S1122">
        <v>1.3</v>
      </c>
      <c r="T1122">
        <v>0.7</v>
      </c>
      <c r="U1122">
        <v>2</v>
      </c>
      <c r="V1122">
        <v>18</v>
      </c>
      <c r="W1122">
        <f>IF(nba_draft[[#This Row],[years_played]]&gt;5,1,0)</f>
        <v>0</v>
      </c>
    </row>
    <row r="1123" spans="1:23" x14ac:dyDescent="0.25">
      <c r="A1123">
        <v>22</v>
      </c>
      <c r="B1123" t="s">
        <v>28</v>
      </c>
      <c r="C1123" t="s">
        <v>1793</v>
      </c>
      <c r="D1123" t="s">
        <v>117</v>
      </c>
      <c r="E1123">
        <v>2</v>
      </c>
      <c r="F1123">
        <v>81</v>
      </c>
      <c r="G1123">
        <v>1048</v>
      </c>
      <c r="H1123">
        <v>401</v>
      </c>
      <c r="I1123">
        <v>209</v>
      </c>
      <c r="J1123">
        <v>25</v>
      </c>
      <c r="K1123">
        <v>0.51800000000000002</v>
      </c>
      <c r="L1123">
        <v>0.45200000000000001</v>
      </c>
      <c r="M1123">
        <v>0.64900000000000002</v>
      </c>
      <c r="N1123">
        <v>2.8</v>
      </c>
      <c r="O1123">
        <v>0.129</v>
      </c>
      <c r="P1123">
        <v>2020</v>
      </c>
      <c r="Q1123">
        <v>12.9</v>
      </c>
      <c r="R1123">
        <v>5</v>
      </c>
      <c r="S1123">
        <v>2.6</v>
      </c>
      <c r="T1123">
        <v>0.3</v>
      </c>
      <c r="U1123">
        <v>1</v>
      </c>
      <c r="V1123">
        <v>22</v>
      </c>
      <c r="W1123">
        <f>IF(nba_draft[[#This Row],[years_played]]&gt;5,1,0)</f>
        <v>0</v>
      </c>
    </row>
    <row r="1124" spans="1:23" x14ac:dyDescent="0.25">
      <c r="A1124">
        <v>22</v>
      </c>
      <c r="B1124" t="s">
        <v>82</v>
      </c>
      <c r="C1124" t="s">
        <v>359</v>
      </c>
      <c r="D1124" t="s">
        <v>360</v>
      </c>
      <c r="E1124">
        <v>5</v>
      </c>
      <c r="F1124">
        <v>147</v>
      </c>
      <c r="G1124">
        <v>1614</v>
      </c>
      <c r="H1124">
        <v>394</v>
      </c>
      <c r="I1124">
        <v>290</v>
      </c>
      <c r="J1124">
        <v>60</v>
      </c>
      <c r="K1124">
        <v>0.44400000000000001</v>
      </c>
      <c r="L1124">
        <v>0.222</v>
      </c>
      <c r="M1124">
        <v>0.74299999999999999</v>
      </c>
      <c r="N1124">
        <v>1.6</v>
      </c>
      <c r="O1124">
        <v>4.7E-2</v>
      </c>
      <c r="P1124">
        <v>1994</v>
      </c>
      <c r="Q1124">
        <v>11</v>
      </c>
      <c r="R1124">
        <v>2.7</v>
      </c>
      <c r="S1124">
        <v>2</v>
      </c>
      <c r="T1124">
        <v>0.4</v>
      </c>
      <c r="U1124">
        <v>1</v>
      </c>
      <c r="V1124">
        <v>22</v>
      </c>
      <c r="W1124">
        <f>IF(nba_draft[[#This Row],[years_played]]&gt;5,1,0)</f>
        <v>0</v>
      </c>
    </row>
    <row r="1125" spans="1:23" x14ac:dyDescent="0.25">
      <c r="A1125">
        <v>31</v>
      </c>
      <c r="B1125" t="s">
        <v>149</v>
      </c>
      <c r="C1125" t="s">
        <v>715</v>
      </c>
      <c r="D1125" t="s">
        <v>716</v>
      </c>
      <c r="E1125">
        <v>4</v>
      </c>
      <c r="F1125">
        <v>133</v>
      </c>
      <c r="G1125">
        <v>1253</v>
      </c>
      <c r="H1125">
        <v>393</v>
      </c>
      <c r="I1125">
        <v>199</v>
      </c>
      <c r="J1125">
        <v>39</v>
      </c>
      <c r="K1125">
        <v>0.39100000000000001</v>
      </c>
      <c r="L1125">
        <v>0.28899999999999998</v>
      </c>
      <c r="M1125">
        <v>0.61299999999999999</v>
      </c>
      <c r="N1125">
        <v>0.3</v>
      </c>
      <c r="O1125">
        <v>1.2E-2</v>
      </c>
      <c r="P1125">
        <v>2000</v>
      </c>
      <c r="Q1125">
        <v>9.4</v>
      </c>
      <c r="R1125">
        <v>3</v>
      </c>
      <c r="S1125">
        <v>1.5</v>
      </c>
      <c r="T1125">
        <v>0.3</v>
      </c>
      <c r="U1125">
        <v>2</v>
      </c>
      <c r="V1125">
        <v>2</v>
      </c>
      <c r="W1125">
        <f>IF(nba_draft[[#This Row],[years_played]]&gt;5,1,0)</f>
        <v>0</v>
      </c>
    </row>
    <row r="1126" spans="1:23" x14ac:dyDescent="0.25">
      <c r="A1126">
        <v>18</v>
      </c>
      <c r="B1126" t="s">
        <v>25</v>
      </c>
      <c r="C1126" t="s">
        <v>1849</v>
      </c>
      <c r="D1126" t="s">
        <v>84</v>
      </c>
      <c r="E1126">
        <v>1</v>
      </c>
      <c r="F1126">
        <v>45</v>
      </c>
      <c r="G1126">
        <v>898</v>
      </c>
      <c r="H1126">
        <v>390</v>
      </c>
      <c r="I1126">
        <v>100</v>
      </c>
      <c r="J1126">
        <v>45</v>
      </c>
      <c r="K1126">
        <v>0.38300000000000001</v>
      </c>
      <c r="L1126">
        <v>0.36499999999999999</v>
      </c>
      <c r="M1126">
        <v>0.75</v>
      </c>
      <c r="N1126">
        <v>0.2</v>
      </c>
      <c r="O1126">
        <v>1.2999999999999999E-2</v>
      </c>
      <c r="P1126">
        <v>2021</v>
      </c>
      <c r="Q1126">
        <v>20</v>
      </c>
      <c r="R1126">
        <v>8.6999999999999993</v>
      </c>
      <c r="S1126">
        <v>2.2000000000000002</v>
      </c>
      <c r="T1126">
        <v>1</v>
      </c>
      <c r="U1126">
        <v>1</v>
      </c>
      <c r="V1126">
        <v>18</v>
      </c>
      <c r="W1126">
        <f>IF(nba_draft[[#This Row],[years_played]]&gt;5,1,0)</f>
        <v>0</v>
      </c>
    </row>
    <row r="1127" spans="1:23" x14ac:dyDescent="0.25">
      <c r="A1127">
        <v>32</v>
      </c>
      <c r="B1127" t="s">
        <v>102</v>
      </c>
      <c r="C1127" t="s">
        <v>103</v>
      </c>
      <c r="D1127" t="s">
        <v>33</v>
      </c>
      <c r="E1127">
        <v>4</v>
      </c>
      <c r="F1127">
        <v>118</v>
      </c>
      <c r="G1127">
        <v>1182</v>
      </c>
      <c r="H1127">
        <v>389</v>
      </c>
      <c r="I1127">
        <v>123</v>
      </c>
      <c r="J1127">
        <v>114</v>
      </c>
      <c r="K1127">
        <v>0.38800000000000001</v>
      </c>
      <c r="L1127">
        <v>0.22700000000000001</v>
      </c>
      <c r="M1127">
        <v>0.70499999999999996</v>
      </c>
      <c r="N1127">
        <v>-0.5</v>
      </c>
      <c r="O1127">
        <v>-0.02</v>
      </c>
      <c r="P1127">
        <v>1990</v>
      </c>
      <c r="Q1127">
        <v>10</v>
      </c>
      <c r="R1127">
        <v>3.3</v>
      </c>
      <c r="S1127">
        <v>1</v>
      </c>
      <c r="T1127">
        <v>1</v>
      </c>
      <c r="U1127">
        <v>2</v>
      </c>
      <c r="V1127">
        <v>5</v>
      </c>
      <c r="W1127">
        <f>IF(nba_draft[[#This Row],[years_played]]&gt;5,1,0)</f>
        <v>0</v>
      </c>
    </row>
    <row r="1128" spans="1:23" x14ac:dyDescent="0.25">
      <c r="A1128">
        <v>25</v>
      </c>
      <c r="B1128" t="s">
        <v>104</v>
      </c>
      <c r="C1128" t="s">
        <v>479</v>
      </c>
      <c r="D1128" t="s">
        <v>97</v>
      </c>
      <c r="E1128">
        <v>2</v>
      </c>
      <c r="F1128">
        <v>83</v>
      </c>
      <c r="G1128">
        <v>951</v>
      </c>
      <c r="H1128">
        <v>389</v>
      </c>
      <c r="I1128">
        <v>181</v>
      </c>
      <c r="J1128">
        <v>50</v>
      </c>
      <c r="K1128">
        <v>0.42499999999999999</v>
      </c>
      <c r="L1128">
        <v>0.32300000000000001</v>
      </c>
      <c r="M1128">
        <v>0.69299999999999995</v>
      </c>
      <c r="N1128">
        <v>2</v>
      </c>
      <c r="O1128">
        <v>0.1</v>
      </c>
      <c r="P1128">
        <v>1996</v>
      </c>
      <c r="Q1128">
        <v>11.5</v>
      </c>
      <c r="R1128">
        <v>4.7</v>
      </c>
      <c r="S1128">
        <v>2.2000000000000002</v>
      </c>
      <c r="T1128">
        <v>0.6</v>
      </c>
      <c r="U1128">
        <v>1</v>
      </c>
      <c r="V1128">
        <v>25</v>
      </c>
      <c r="W1128">
        <f>IF(nba_draft[[#This Row],[years_played]]&gt;5,1,0)</f>
        <v>0</v>
      </c>
    </row>
    <row r="1129" spans="1:23" x14ac:dyDescent="0.25">
      <c r="A1129">
        <v>8</v>
      </c>
      <c r="B1129" t="s">
        <v>395</v>
      </c>
      <c r="C1129" t="s">
        <v>903</v>
      </c>
      <c r="D1129" t="s">
        <v>279</v>
      </c>
      <c r="E1129">
        <v>3</v>
      </c>
      <c r="F1129">
        <v>139</v>
      </c>
      <c r="G1129">
        <v>1585</v>
      </c>
      <c r="H1129">
        <v>389</v>
      </c>
      <c r="I1129">
        <v>395</v>
      </c>
      <c r="J1129">
        <v>41</v>
      </c>
      <c r="K1129">
        <v>0.40500000000000003</v>
      </c>
      <c r="L1129">
        <v>0.25</v>
      </c>
      <c r="M1129">
        <v>0.67900000000000005</v>
      </c>
      <c r="N1129">
        <v>-0.4</v>
      </c>
      <c r="O1129">
        <v>-1.2999999999999999E-2</v>
      </c>
      <c r="P1129">
        <v>2004</v>
      </c>
      <c r="Q1129">
        <v>11.4</v>
      </c>
      <c r="R1129">
        <v>2.8</v>
      </c>
      <c r="S1129">
        <v>2.8</v>
      </c>
      <c r="T1129">
        <v>0.3</v>
      </c>
      <c r="U1129">
        <v>1</v>
      </c>
      <c r="V1129">
        <v>8</v>
      </c>
      <c r="W1129">
        <f>IF(nba_draft[[#This Row],[years_played]]&gt;5,1,0)</f>
        <v>0</v>
      </c>
    </row>
    <row r="1130" spans="1:23" x14ac:dyDescent="0.25">
      <c r="A1130">
        <v>11</v>
      </c>
      <c r="B1130" t="s">
        <v>70</v>
      </c>
      <c r="C1130" t="s">
        <v>693</v>
      </c>
      <c r="D1130" t="s">
        <v>113</v>
      </c>
      <c r="E1130">
        <v>5</v>
      </c>
      <c r="F1130">
        <v>145</v>
      </c>
      <c r="G1130">
        <v>1392</v>
      </c>
      <c r="H1130">
        <v>386</v>
      </c>
      <c r="I1130">
        <v>395</v>
      </c>
      <c r="J1130">
        <v>38</v>
      </c>
      <c r="K1130">
        <v>0.48899999999999999</v>
      </c>
      <c r="L1130">
        <v>0</v>
      </c>
      <c r="M1130">
        <v>0.59299999999999997</v>
      </c>
      <c r="N1130">
        <v>2.1</v>
      </c>
      <c r="O1130">
        <v>7.3999999999999996E-2</v>
      </c>
      <c r="P1130">
        <v>2000</v>
      </c>
      <c r="Q1130">
        <v>9.6</v>
      </c>
      <c r="R1130">
        <v>2.7</v>
      </c>
      <c r="S1130">
        <v>2.7</v>
      </c>
      <c r="T1130">
        <v>0.3</v>
      </c>
      <c r="U1130">
        <v>1</v>
      </c>
      <c r="V1130">
        <v>11</v>
      </c>
      <c r="W1130">
        <f>IF(nba_draft[[#This Row],[years_played]]&gt;5,1,0)</f>
        <v>0</v>
      </c>
    </row>
    <row r="1131" spans="1:23" x14ac:dyDescent="0.25">
      <c r="A1131">
        <v>31</v>
      </c>
      <c r="B1131" t="s">
        <v>102</v>
      </c>
      <c r="C1131" t="s">
        <v>486</v>
      </c>
      <c r="D1131" t="s">
        <v>487</v>
      </c>
      <c r="E1131">
        <v>4</v>
      </c>
      <c r="F1131">
        <v>114</v>
      </c>
      <c r="G1131">
        <v>1508</v>
      </c>
      <c r="H1131">
        <v>381</v>
      </c>
      <c r="I1131">
        <v>316</v>
      </c>
      <c r="J1131">
        <v>63</v>
      </c>
      <c r="K1131">
        <v>0.41599999999999998</v>
      </c>
      <c r="L1131">
        <v>0.16700000000000001</v>
      </c>
      <c r="M1131">
        <v>0.80300000000000005</v>
      </c>
      <c r="N1131">
        <v>2.1</v>
      </c>
      <c r="O1131">
        <v>6.7000000000000004E-2</v>
      </c>
      <c r="P1131">
        <v>1996</v>
      </c>
      <c r="Q1131">
        <v>13.2</v>
      </c>
      <c r="R1131">
        <v>3.3</v>
      </c>
      <c r="S1131">
        <v>2.8</v>
      </c>
      <c r="T1131">
        <v>0.6</v>
      </c>
      <c r="U1131">
        <v>2</v>
      </c>
      <c r="V1131">
        <v>2</v>
      </c>
      <c r="W1131">
        <f>IF(nba_draft[[#This Row],[years_played]]&gt;5,1,0)</f>
        <v>0</v>
      </c>
    </row>
    <row r="1132" spans="1:23" x14ac:dyDescent="0.25">
      <c r="A1132">
        <v>24</v>
      </c>
      <c r="B1132" t="s">
        <v>55</v>
      </c>
      <c r="C1132" t="s">
        <v>534</v>
      </c>
      <c r="D1132" t="s">
        <v>230</v>
      </c>
      <c r="E1132">
        <v>3</v>
      </c>
      <c r="F1132">
        <v>72</v>
      </c>
      <c r="G1132">
        <v>1234</v>
      </c>
      <c r="H1132">
        <v>380</v>
      </c>
      <c r="I1132">
        <v>88</v>
      </c>
      <c r="J1132">
        <v>121</v>
      </c>
      <c r="K1132">
        <v>0.34699999999999998</v>
      </c>
      <c r="L1132">
        <v>0.2</v>
      </c>
      <c r="M1132">
        <v>0.62</v>
      </c>
      <c r="N1132">
        <v>-1.6</v>
      </c>
      <c r="O1132">
        <v>-6.4000000000000001E-2</v>
      </c>
      <c r="P1132">
        <v>1997</v>
      </c>
      <c r="Q1132">
        <v>17.100000000000001</v>
      </c>
      <c r="R1132">
        <v>5.3</v>
      </c>
      <c r="S1132">
        <v>1.2</v>
      </c>
      <c r="T1132">
        <v>1.7</v>
      </c>
      <c r="U1132">
        <v>1</v>
      </c>
      <c r="V1132">
        <v>24</v>
      </c>
      <c r="W1132">
        <f>IF(nba_draft[[#This Row],[years_played]]&gt;5,1,0)</f>
        <v>0</v>
      </c>
    </row>
    <row r="1133" spans="1:23" x14ac:dyDescent="0.25">
      <c r="A1133">
        <v>14</v>
      </c>
      <c r="B1133" t="s">
        <v>37</v>
      </c>
      <c r="C1133" t="s">
        <v>644</v>
      </c>
      <c r="D1133" t="s">
        <v>87</v>
      </c>
      <c r="E1133">
        <v>3</v>
      </c>
      <c r="F1133">
        <v>142</v>
      </c>
      <c r="G1133">
        <v>1205</v>
      </c>
      <c r="H1133">
        <v>379</v>
      </c>
      <c r="I1133">
        <v>93</v>
      </c>
      <c r="J1133">
        <v>199</v>
      </c>
      <c r="K1133">
        <v>0.33</v>
      </c>
      <c r="L1133">
        <v>0.255</v>
      </c>
      <c r="M1133">
        <v>0.71399999999999997</v>
      </c>
      <c r="N1133">
        <v>-0.9</v>
      </c>
      <c r="O1133">
        <v>-3.4000000000000002E-2</v>
      </c>
      <c r="P1133">
        <v>1999</v>
      </c>
      <c r="Q1133">
        <v>8.5</v>
      </c>
      <c r="R1133">
        <v>2.7</v>
      </c>
      <c r="S1133">
        <v>0.7</v>
      </c>
      <c r="T1133">
        <v>1.4</v>
      </c>
      <c r="U1133">
        <v>1</v>
      </c>
      <c r="V1133">
        <v>14</v>
      </c>
      <c r="W1133">
        <f>IF(nba_draft[[#This Row],[years_played]]&gt;5,1,0)</f>
        <v>0</v>
      </c>
    </row>
    <row r="1134" spans="1:23" x14ac:dyDescent="0.25">
      <c r="A1134">
        <v>58</v>
      </c>
      <c r="B1134" t="s">
        <v>37</v>
      </c>
      <c r="C1134" t="s">
        <v>1385</v>
      </c>
      <c r="D1134" t="s">
        <v>119</v>
      </c>
      <c r="E1134">
        <v>2</v>
      </c>
      <c r="F1134">
        <v>98</v>
      </c>
      <c r="G1134">
        <v>1397</v>
      </c>
      <c r="H1134">
        <v>379</v>
      </c>
      <c r="I1134">
        <v>266</v>
      </c>
      <c r="J1134">
        <v>50</v>
      </c>
      <c r="K1134">
        <v>0.41799999999999998</v>
      </c>
      <c r="L1134">
        <v>0.34300000000000003</v>
      </c>
      <c r="M1134">
        <v>0.86699999999999999</v>
      </c>
      <c r="N1134">
        <v>1.9</v>
      </c>
      <c r="O1134">
        <v>6.6000000000000003E-2</v>
      </c>
      <c r="P1134">
        <v>2012</v>
      </c>
      <c r="Q1134">
        <v>14.3</v>
      </c>
      <c r="R1134">
        <v>3.9</v>
      </c>
      <c r="S1134">
        <v>2.7</v>
      </c>
      <c r="T1134">
        <v>0.5</v>
      </c>
      <c r="U1134">
        <v>2</v>
      </c>
      <c r="V1134">
        <v>28</v>
      </c>
      <c r="W1134">
        <f>IF(nba_draft[[#This Row],[years_played]]&gt;5,1,0)</f>
        <v>0</v>
      </c>
    </row>
    <row r="1135" spans="1:23" x14ac:dyDescent="0.25">
      <c r="A1135">
        <v>27</v>
      </c>
      <c r="B1135" t="s">
        <v>31</v>
      </c>
      <c r="C1135" t="s">
        <v>481</v>
      </c>
      <c r="D1135" t="s">
        <v>285</v>
      </c>
      <c r="E1135">
        <v>3</v>
      </c>
      <c r="F1135">
        <v>102</v>
      </c>
      <c r="G1135">
        <v>1097</v>
      </c>
      <c r="H1135">
        <v>375</v>
      </c>
      <c r="I1135">
        <v>164</v>
      </c>
      <c r="J1135">
        <v>77</v>
      </c>
      <c r="K1135">
        <v>0.38100000000000001</v>
      </c>
      <c r="L1135">
        <v>0.34300000000000003</v>
      </c>
      <c r="M1135">
        <v>0.82</v>
      </c>
      <c r="N1135">
        <v>1.7</v>
      </c>
      <c r="O1135">
        <v>7.5999999999999998E-2</v>
      </c>
      <c r="P1135">
        <v>1996</v>
      </c>
      <c r="Q1135">
        <v>10.8</v>
      </c>
      <c r="R1135">
        <v>3.7</v>
      </c>
      <c r="S1135">
        <v>1.6</v>
      </c>
      <c r="T1135">
        <v>0.8</v>
      </c>
      <c r="U1135">
        <v>1</v>
      </c>
      <c r="V1135">
        <v>27</v>
      </c>
      <c r="W1135">
        <f>IF(nba_draft[[#This Row],[years_played]]&gt;5,1,0)</f>
        <v>0</v>
      </c>
    </row>
    <row r="1136" spans="1:23" x14ac:dyDescent="0.25">
      <c r="A1136">
        <v>7</v>
      </c>
      <c r="B1136" t="s">
        <v>52</v>
      </c>
      <c r="C1136" t="s">
        <v>1838</v>
      </c>
      <c r="D1136" t="s">
        <v>97</v>
      </c>
      <c r="E1136">
        <v>1</v>
      </c>
      <c r="F1136">
        <v>47</v>
      </c>
      <c r="G1136">
        <v>680</v>
      </c>
      <c r="H1136">
        <v>374</v>
      </c>
      <c r="I1136">
        <v>132</v>
      </c>
      <c r="J1136">
        <v>33</v>
      </c>
      <c r="K1136">
        <v>0.51100000000000001</v>
      </c>
      <c r="L1136">
        <v>0.32200000000000001</v>
      </c>
      <c r="M1136">
        <v>0.65500000000000003</v>
      </c>
      <c r="N1136">
        <v>1.7</v>
      </c>
      <c r="O1136">
        <v>0.11700000000000001</v>
      </c>
      <c r="P1136">
        <v>2021</v>
      </c>
      <c r="Q1136">
        <v>14.5</v>
      </c>
      <c r="R1136">
        <v>8</v>
      </c>
      <c r="S1136">
        <v>2.8</v>
      </c>
      <c r="T1136">
        <v>0.7</v>
      </c>
      <c r="U1136">
        <v>1</v>
      </c>
      <c r="V1136">
        <v>7</v>
      </c>
      <c r="W1136">
        <f>IF(nba_draft[[#This Row],[years_played]]&gt;5,1,0)</f>
        <v>0</v>
      </c>
    </row>
    <row r="1137" spans="1:23" x14ac:dyDescent="0.25">
      <c r="A1137">
        <v>22</v>
      </c>
      <c r="B1137" t="s">
        <v>49</v>
      </c>
      <c r="C1137" t="s">
        <v>532</v>
      </c>
      <c r="D1137" t="s">
        <v>336</v>
      </c>
      <c r="E1137">
        <v>2</v>
      </c>
      <c r="F1137">
        <v>60</v>
      </c>
      <c r="G1137">
        <v>809</v>
      </c>
      <c r="H1137">
        <v>373</v>
      </c>
      <c r="I1137">
        <v>73</v>
      </c>
      <c r="J1137">
        <v>46</v>
      </c>
      <c r="K1137">
        <v>0.33900000000000002</v>
      </c>
      <c r="L1137">
        <v>0.34100000000000003</v>
      </c>
      <c r="M1137">
        <v>0.81399999999999995</v>
      </c>
      <c r="N1137">
        <v>0.1</v>
      </c>
      <c r="O1137">
        <v>8.9999999999999993E-3</v>
      </c>
      <c r="P1137">
        <v>1997</v>
      </c>
      <c r="Q1137">
        <v>13.5</v>
      </c>
      <c r="R1137">
        <v>6.2</v>
      </c>
      <c r="S1137">
        <v>1.2</v>
      </c>
      <c r="T1137">
        <v>0.8</v>
      </c>
      <c r="U1137">
        <v>1</v>
      </c>
      <c r="V1137">
        <v>22</v>
      </c>
      <c r="W1137">
        <f>IF(nba_draft[[#This Row],[years_played]]&gt;5,1,0)</f>
        <v>0</v>
      </c>
    </row>
    <row r="1138" spans="1:23" x14ac:dyDescent="0.25">
      <c r="A1138">
        <v>39</v>
      </c>
      <c r="B1138" t="s">
        <v>34</v>
      </c>
      <c r="C1138" t="s">
        <v>1310</v>
      </c>
      <c r="D1138" t="s">
        <v>97</v>
      </c>
      <c r="E1138">
        <v>3</v>
      </c>
      <c r="F1138">
        <v>104</v>
      </c>
      <c r="G1138">
        <v>1034</v>
      </c>
      <c r="H1138">
        <v>373</v>
      </c>
      <c r="I1138">
        <v>269</v>
      </c>
      <c r="J1138">
        <v>25</v>
      </c>
      <c r="K1138">
        <v>0.45</v>
      </c>
      <c r="L1138">
        <v>0</v>
      </c>
      <c r="M1138">
        <v>0.55700000000000005</v>
      </c>
      <c r="N1138">
        <v>0.3</v>
      </c>
      <c r="O1138">
        <v>1.4E-2</v>
      </c>
      <c r="P1138">
        <v>2011</v>
      </c>
      <c r="Q1138">
        <v>9.9</v>
      </c>
      <c r="R1138">
        <v>3.6</v>
      </c>
      <c r="S1138">
        <v>2.6</v>
      </c>
      <c r="T1138">
        <v>0.2</v>
      </c>
      <c r="U1138">
        <v>2</v>
      </c>
      <c r="V1138">
        <v>9</v>
      </c>
      <c r="W1138">
        <f>IF(nba_draft[[#This Row],[years_played]]&gt;5,1,0)</f>
        <v>0</v>
      </c>
    </row>
    <row r="1139" spans="1:23" x14ac:dyDescent="0.25">
      <c r="A1139">
        <v>24</v>
      </c>
      <c r="B1139" t="s">
        <v>55</v>
      </c>
      <c r="C1139" t="s">
        <v>1855</v>
      </c>
      <c r="D1139" t="s">
        <v>208</v>
      </c>
      <c r="E1139">
        <v>1</v>
      </c>
      <c r="F1139">
        <v>50</v>
      </c>
      <c r="G1139">
        <v>827</v>
      </c>
      <c r="H1139">
        <v>370</v>
      </c>
      <c r="I1139">
        <v>107</v>
      </c>
      <c r="J1139">
        <v>87</v>
      </c>
      <c r="K1139">
        <v>0.45200000000000001</v>
      </c>
      <c r="L1139">
        <v>0.32200000000000001</v>
      </c>
      <c r="M1139">
        <v>0.77300000000000002</v>
      </c>
      <c r="N1139">
        <v>0.3</v>
      </c>
      <c r="O1139">
        <v>1.7000000000000001E-2</v>
      </c>
      <c r="P1139">
        <v>2021</v>
      </c>
      <c r="Q1139">
        <v>16.5</v>
      </c>
      <c r="R1139">
        <v>7.4</v>
      </c>
      <c r="S1139">
        <v>2.1</v>
      </c>
      <c r="T1139">
        <v>1.7</v>
      </c>
      <c r="U1139">
        <v>1</v>
      </c>
      <c r="V1139">
        <v>24</v>
      </c>
      <c r="W1139">
        <f>IF(nba_draft[[#This Row],[years_played]]&gt;5,1,0)</f>
        <v>0</v>
      </c>
    </row>
    <row r="1140" spans="1:23" x14ac:dyDescent="0.25">
      <c r="A1140">
        <v>38</v>
      </c>
      <c r="B1140" t="s">
        <v>34</v>
      </c>
      <c r="C1140" t="s">
        <v>1148</v>
      </c>
      <c r="D1140" t="s">
        <v>487</v>
      </c>
      <c r="E1140">
        <v>3</v>
      </c>
      <c r="F1140">
        <v>73</v>
      </c>
      <c r="G1140">
        <v>1379</v>
      </c>
      <c r="H1140">
        <v>363</v>
      </c>
      <c r="I1140">
        <v>158</v>
      </c>
      <c r="J1140">
        <v>119</v>
      </c>
      <c r="K1140">
        <v>0.441</v>
      </c>
      <c r="L1140">
        <v>0.35299999999999998</v>
      </c>
      <c r="M1140">
        <v>0.73599999999999999</v>
      </c>
      <c r="N1140">
        <v>1.5</v>
      </c>
      <c r="O1140">
        <v>5.0999999999999997E-2</v>
      </c>
      <c r="P1140">
        <v>2008</v>
      </c>
      <c r="Q1140">
        <v>18.899999999999999</v>
      </c>
      <c r="R1140">
        <v>5</v>
      </c>
      <c r="S1140">
        <v>2.2000000000000002</v>
      </c>
      <c r="T1140">
        <v>1.6</v>
      </c>
      <c r="U1140">
        <v>2</v>
      </c>
      <c r="V1140">
        <v>8</v>
      </c>
      <c r="W1140">
        <f>IF(nba_draft[[#This Row],[years_played]]&gt;5,1,0)</f>
        <v>0</v>
      </c>
    </row>
    <row r="1141" spans="1:23" x14ac:dyDescent="0.25">
      <c r="A1141">
        <v>14</v>
      </c>
      <c r="B1141" t="s">
        <v>70</v>
      </c>
      <c r="C1141" t="s">
        <v>1785</v>
      </c>
      <c r="D1141" t="s">
        <v>716</v>
      </c>
      <c r="E1141">
        <v>2</v>
      </c>
      <c r="F1141">
        <v>87</v>
      </c>
      <c r="G1141">
        <v>1112</v>
      </c>
      <c r="H1141">
        <v>363</v>
      </c>
      <c r="I1141">
        <v>197</v>
      </c>
      <c r="J1141">
        <v>36</v>
      </c>
      <c r="K1141">
        <v>0.41099999999999998</v>
      </c>
      <c r="L1141">
        <v>0.31</v>
      </c>
      <c r="M1141">
        <v>0.80900000000000005</v>
      </c>
      <c r="N1141">
        <v>1.2</v>
      </c>
      <c r="O1141">
        <v>5.0999999999999997E-2</v>
      </c>
      <c r="P1141">
        <v>2020</v>
      </c>
      <c r="Q1141">
        <v>12.8</v>
      </c>
      <c r="R1141">
        <v>4.2</v>
      </c>
      <c r="S1141">
        <v>2.2999999999999998</v>
      </c>
      <c r="T1141">
        <v>0.4</v>
      </c>
      <c r="U1141">
        <v>1</v>
      </c>
      <c r="V1141">
        <v>14</v>
      </c>
      <c r="W1141">
        <f>IF(nba_draft[[#This Row],[years_played]]&gt;5,1,0)</f>
        <v>0</v>
      </c>
    </row>
    <row r="1142" spans="1:23" x14ac:dyDescent="0.25">
      <c r="A1142">
        <v>15</v>
      </c>
      <c r="B1142" t="s">
        <v>109</v>
      </c>
      <c r="C1142" t="s">
        <v>1846</v>
      </c>
      <c r="D1142" t="s">
        <v>820</v>
      </c>
      <c r="E1142">
        <v>1</v>
      </c>
      <c r="F1142">
        <v>53</v>
      </c>
      <c r="G1142">
        <v>1051</v>
      </c>
      <c r="H1142">
        <v>360</v>
      </c>
      <c r="I1142">
        <v>135</v>
      </c>
      <c r="J1142">
        <v>50</v>
      </c>
      <c r="K1142">
        <v>0.43</v>
      </c>
      <c r="L1142">
        <v>0.32200000000000001</v>
      </c>
      <c r="M1142">
        <v>0.88400000000000001</v>
      </c>
      <c r="N1142">
        <v>1.2</v>
      </c>
      <c r="O1142">
        <v>5.5E-2</v>
      </c>
      <c r="P1142">
        <v>2021</v>
      </c>
      <c r="Q1142">
        <v>19.8</v>
      </c>
      <c r="R1142">
        <v>6.8</v>
      </c>
      <c r="S1142">
        <v>2.5</v>
      </c>
      <c r="T1142">
        <v>0.9</v>
      </c>
      <c r="U1142">
        <v>1</v>
      </c>
      <c r="V1142">
        <v>15</v>
      </c>
      <c r="W1142">
        <f>IF(nba_draft[[#This Row],[years_played]]&gt;5,1,0)</f>
        <v>0</v>
      </c>
    </row>
    <row r="1143" spans="1:23" x14ac:dyDescent="0.25">
      <c r="A1143">
        <v>16</v>
      </c>
      <c r="B1143" t="s">
        <v>43</v>
      </c>
      <c r="C1143" t="s">
        <v>235</v>
      </c>
      <c r="D1143" t="s">
        <v>42</v>
      </c>
      <c r="E1143">
        <v>4</v>
      </c>
      <c r="F1143">
        <v>151</v>
      </c>
      <c r="G1143">
        <v>1093</v>
      </c>
      <c r="H1143">
        <v>356</v>
      </c>
      <c r="I1143">
        <v>93</v>
      </c>
      <c r="J1143">
        <v>257</v>
      </c>
      <c r="K1143">
        <v>0.34</v>
      </c>
      <c r="L1143">
        <v>0.30499999999999999</v>
      </c>
      <c r="M1143">
        <v>0.68300000000000005</v>
      </c>
      <c r="N1143">
        <v>0.6</v>
      </c>
      <c r="O1143">
        <v>2.5999999999999999E-2</v>
      </c>
      <c r="P1143">
        <v>1992</v>
      </c>
      <c r="Q1143">
        <v>7.2</v>
      </c>
      <c r="R1143">
        <v>2.4</v>
      </c>
      <c r="S1143">
        <v>0.6</v>
      </c>
      <c r="T1143">
        <v>1.7</v>
      </c>
      <c r="U1143">
        <v>1</v>
      </c>
      <c r="V1143">
        <v>16</v>
      </c>
      <c r="W1143">
        <f>IF(nba_draft[[#This Row],[years_played]]&gt;5,1,0)</f>
        <v>0</v>
      </c>
    </row>
    <row r="1144" spans="1:23" x14ac:dyDescent="0.25">
      <c r="A1144">
        <v>41</v>
      </c>
      <c r="B1144" t="s">
        <v>127</v>
      </c>
      <c r="C1144" t="s">
        <v>199</v>
      </c>
      <c r="D1144" t="s">
        <v>200</v>
      </c>
      <c r="E1144">
        <v>3</v>
      </c>
      <c r="F1144">
        <v>84</v>
      </c>
      <c r="G1144">
        <v>671</v>
      </c>
      <c r="H1144">
        <v>352</v>
      </c>
      <c r="I1144">
        <v>85</v>
      </c>
      <c r="J1144">
        <v>45</v>
      </c>
      <c r="K1144">
        <v>0.38600000000000001</v>
      </c>
      <c r="L1144">
        <v>0.246</v>
      </c>
      <c r="M1144">
        <v>0.62</v>
      </c>
      <c r="N1144">
        <v>-1.3</v>
      </c>
      <c r="O1144">
        <v>-9.5000000000000001E-2</v>
      </c>
      <c r="P1144">
        <v>1991</v>
      </c>
      <c r="Q1144">
        <v>8</v>
      </c>
      <c r="R1144">
        <v>4.2</v>
      </c>
      <c r="S1144">
        <v>1</v>
      </c>
      <c r="T1144">
        <v>0.5</v>
      </c>
      <c r="U1144">
        <v>2</v>
      </c>
      <c r="V1144">
        <v>14</v>
      </c>
      <c r="W1144">
        <f>IF(nba_draft[[#This Row],[years_played]]&gt;5,1,0)</f>
        <v>0</v>
      </c>
    </row>
    <row r="1145" spans="1:23" x14ac:dyDescent="0.25">
      <c r="A1145">
        <v>32</v>
      </c>
      <c r="B1145" t="s">
        <v>109</v>
      </c>
      <c r="C1145" t="s">
        <v>1195</v>
      </c>
      <c r="D1145" t="s">
        <v>1196</v>
      </c>
      <c r="E1145">
        <v>2</v>
      </c>
      <c r="F1145">
        <v>65</v>
      </c>
      <c r="G1145">
        <v>786</v>
      </c>
      <c r="H1145">
        <v>351</v>
      </c>
      <c r="I1145">
        <v>108</v>
      </c>
      <c r="J1145">
        <v>48</v>
      </c>
      <c r="K1145">
        <v>0.441</v>
      </c>
      <c r="L1145">
        <v>0.28399999999999997</v>
      </c>
      <c r="M1145">
        <v>0.73</v>
      </c>
      <c r="N1145">
        <v>0.2</v>
      </c>
      <c r="O1145">
        <v>1.4E-2</v>
      </c>
      <c r="P1145">
        <v>2009</v>
      </c>
      <c r="Q1145">
        <v>12.1</v>
      </c>
      <c r="R1145">
        <v>5.4</v>
      </c>
      <c r="S1145">
        <v>1.7</v>
      </c>
      <c r="T1145">
        <v>0.7</v>
      </c>
      <c r="U1145">
        <v>2</v>
      </c>
      <c r="V1145">
        <v>2</v>
      </c>
      <c r="W1145">
        <f>IF(nba_draft[[#This Row],[years_played]]&gt;5,1,0)</f>
        <v>0</v>
      </c>
    </row>
    <row r="1146" spans="1:23" x14ac:dyDescent="0.25">
      <c r="A1146">
        <v>51</v>
      </c>
      <c r="B1146" t="s">
        <v>393</v>
      </c>
      <c r="C1146" t="s">
        <v>500</v>
      </c>
      <c r="D1146" t="s">
        <v>321</v>
      </c>
      <c r="E1146">
        <v>2</v>
      </c>
      <c r="F1146">
        <v>76</v>
      </c>
      <c r="G1146">
        <v>1095</v>
      </c>
      <c r="H1146">
        <v>350</v>
      </c>
      <c r="I1146">
        <v>117</v>
      </c>
      <c r="J1146">
        <v>104</v>
      </c>
      <c r="K1146">
        <v>0.376</v>
      </c>
      <c r="L1146">
        <v>0.374</v>
      </c>
      <c r="M1146">
        <v>0.57099999999999995</v>
      </c>
      <c r="N1146">
        <v>-0.1</v>
      </c>
      <c r="O1146">
        <v>-3.0000000000000001E-3</v>
      </c>
      <c r="P1146">
        <v>1996</v>
      </c>
      <c r="Q1146">
        <v>14.4</v>
      </c>
      <c r="R1146">
        <v>4.5999999999999996</v>
      </c>
      <c r="S1146">
        <v>1.5</v>
      </c>
      <c r="T1146">
        <v>1.4</v>
      </c>
      <c r="U1146">
        <v>2</v>
      </c>
      <c r="V1146">
        <v>22</v>
      </c>
      <c r="W1146">
        <f>IF(nba_draft[[#This Row],[years_played]]&gt;5,1,0)</f>
        <v>0</v>
      </c>
    </row>
    <row r="1147" spans="1:23" x14ac:dyDescent="0.25">
      <c r="A1147">
        <v>53</v>
      </c>
      <c r="B1147" t="s">
        <v>31</v>
      </c>
      <c r="C1147" t="s">
        <v>1324</v>
      </c>
      <c r="D1147" t="s">
        <v>282</v>
      </c>
      <c r="E1147">
        <v>5</v>
      </c>
      <c r="F1147">
        <v>177</v>
      </c>
      <c r="G1147">
        <v>1907</v>
      </c>
      <c r="H1147">
        <v>346</v>
      </c>
      <c r="I1147">
        <v>252</v>
      </c>
      <c r="J1147">
        <v>122</v>
      </c>
      <c r="K1147">
        <v>0.40200000000000002</v>
      </c>
      <c r="L1147">
        <v>0.35199999999999998</v>
      </c>
      <c r="M1147">
        <v>0.54900000000000004</v>
      </c>
      <c r="N1147">
        <v>1.6</v>
      </c>
      <c r="O1147">
        <v>0.04</v>
      </c>
      <c r="P1147">
        <v>2011</v>
      </c>
      <c r="Q1147">
        <v>10.8</v>
      </c>
      <c r="R1147">
        <v>2</v>
      </c>
      <c r="S1147">
        <v>1.4</v>
      </c>
      <c r="T1147">
        <v>0.7</v>
      </c>
      <c r="U1147">
        <v>2</v>
      </c>
      <c r="V1147">
        <v>23</v>
      </c>
      <c r="W1147">
        <f>IF(nba_draft[[#This Row],[years_played]]&gt;5,1,0)</f>
        <v>0</v>
      </c>
    </row>
    <row r="1148" spans="1:23" x14ac:dyDescent="0.25">
      <c r="A1148">
        <v>42</v>
      </c>
      <c r="B1148" t="s">
        <v>63</v>
      </c>
      <c r="C1148" t="s">
        <v>1371</v>
      </c>
      <c r="D1148" t="s">
        <v>282</v>
      </c>
      <c r="E1148">
        <v>2</v>
      </c>
      <c r="F1148">
        <v>100</v>
      </c>
      <c r="G1148">
        <v>1272</v>
      </c>
      <c r="H1148">
        <v>345</v>
      </c>
      <c r="I1148">
        <v>95</v>
      </c>
      <c r="J1148">
        <v>75</v>
      </c>
      <c r="K1148">
        <v>0.38100000000000001</v>
      </c>
      <c r="L1148">
        <v>0.39400000000000002</v>
      </c>
      <c r="M1148">
        <v>0.7</v>
      </c>
      <c r="N1148">
        <v>0.1</v>
      </c>
      <c r="O1148">
        <v>5.0000000000000001E-3</v>
      </c>
      <c r="P1148">
        <v>2012</v>
      </c>
      <c r="Q1148">
        <v>12.7</v>
      </c>
      <c r="R1148">
        <v>3.5</v>
      </c>
      <c r="S1148">
        <v>1</v>
      </c>
      <c r="T1148">
        <v>0.8</v>
      </c>
      <c r="U1148">
        <v>2</v>
      </c>
      <c r="V1148">
        <v>12</v>
      </c>
      <c r="W1148">
        <f>IF(nba_draft[[#This Row],[years_played]]&gt;5,1,0)</f>
        <v>0</v>
      </c>
    </row>
    <row r="1149" spans="1:23" x14ac:dyDescent="0.25">
      <c r="A1149">
        <v>33</v>
      </c>
      <c r="B1149" t="s">
        <v>85</v>
      </c>
      <c r="C1149" t="s">
        <v>1143</v>
      </c>
      <c r="D1149" t="s">
        <v>196</v>
      </c>
      <c r="E1149">
        <v>4</v>
      </c>
      <c r="F1149">
        <v>130</v>
      </c>
      <c r="G1149">
        <v>1488</v>
      </c>
      <c r="H1149">
        <v>344</v>
      </c>
      <c r="I1149">
        <v>513</v>
      </c>
      <c r="J1149">
        <v>55</v>
      </c>
      <c r="K1149">
        <v>0.53400000000000003</v>
      </c>
      <c r="L1149">
        <v>0</v>
      </c>
      <c r="M1149">
        <v>0.375</v>
      </c>
      <c r="N1149">
        <v>2.9</v>
      </c>
      <c r="O1149">
        <v>9.1999999999999998E-2</v>
      </c>
      <c r="P1149">
        <v>2008</v>
      </c>
      <c r="Q1149">
        <v>11.4</v>
      </c>
      <c r="R1149">
        <v>2.6</v>
      </c>
      <c r="S1149">
        <v>3.9</v>
      </c>
      <c r="T1149">
        <v>0.4</v>
      </c>
      <c r="U1149">
        <v>2</v>
      </c>
      <c r="V1149">
        <v>3</v>
      </c>
      <c r="W1149">
        <f>IF(nba_draft[[#This Row],[years_played]]&gt;5,1,0)</f>
        <v>0</v>
      </c>
    </row>
    <row r="1150" spans="1:23" x14ac:dyDescent="0.25">
      <c r="A1150">
        <v>18</v>
      </c>
      <c r="B1150" t="s">
        <v>88</v>
      </c>
      <c r="C1150" t="s">
        <v>1558</v>
      </c>
      <c r="D1150" t="s">
        <v>137</v>
      </c>
      <c r="E1150">
        <v>5</v>
      </c>
      <c r="F1150">
        <v>83</v>
      </c>
      <c r="G1150">
        <v>787</v>
      </c>
      <c r="H1150">
        <v>342</v>
      </c>
      <c r="I1150">
        <v>206</v>
      </c>
      <c r="J1150">
        <v>49</v>
      </c>
      <c r="K1150">
        <v>0.371</v>
      </c>
      <c r="L1150">
        <v>0.33600000000000002</v>
      </c>
      <c r="M1150">
        <v>0.77300000000000002</v>
      </c>
      <c r="N1150">
        <v>0.4</v>
      </c>
      <c r="O1150">
        <v>2.3E-2</v>
      </c>
      <c r="P1150">
        <v>2016</v>
      </c>
      <c r="Q1150">
        <v>9.5</v>
      </c>
      <c r="R1150">
        <v>4.0999999999999996</v>
      </c>
      <c r="S1150">
        <v>2.5</v>
      </c>
      <c r="T1150">
        <v>0.6</v>
      </c>
      <c r="U1150">
        <v>1</v>
      </c>
      <c r="V1150">
        <v>18</v>
      </c>
      <c r="W1150">
        <f>IF(nba_draft[[#This Row],[years_played]]&gt;5,1,0)</f>
        <v>0</v>
      </c>
    </row>
    <row r="1151" spans="1:23" x14ac:dyDescent="0.25">
      <c r="A1151">
        <v>14</v>
      </c>
      <c r="B1151" t="s">
        <v>70</v>
      </c>
      <c r="C1151" t="s">
        <v>1725</v>
      </c>
      <c r="D1151" t="s">
        <v>285</v>
      </c>
      <c r="E1151">
        <v>3</v>
      </c>
      <c r="F1151">
        <v>94</v>
      </c>
      <c r="G1151">
        <v>1381</v>
      </c>
      <c r="H1151">
        <v>342</v>
      </c>
      <c r="I1151">
        <v>180</v>
      </c>
      <c r="J1151">
        <v>45</v>
      </c>
      <c r="K1151">
        <v>0.39600000000000002</v>
      </c>
      <c r="L1151">
        <v>0.30499999999999999</v>
      </c>
      <c r="M1151">
        <v>0.66200000000000003</v>
      </c>
      <c r="N1151">
        <v>1.5</v>
      </c>
      <c r="O1151">
        <v>5.2999999999999999E-2</v>
      </c>
      <c r="P1151">
        <v>2019</v>
      </c>
      <c r="Q1151">
        <v>14.7</v>
      </c>
      <c r="R1151">
        <v>3.6</v>
      </c>
      <c r="S1151">
        <v>1.9</v>
      </c>
      <c r="T1151">
        <v>0.5</v>
      </c>
      <c r="U1151">
        <v>1</v>
      </c>
      <c r="V1151">
        <v>14</v>
      </c>
      <c r="W1151">
        <f>IF(nba_draft[[#This Row],[years_played]]&gt;5,1,0)</f>
        <v>0</v>
      </c>
    </row>
    <row r="1152" spans="1:23" x14ac:dyDescent="0.25">
      <c r="A1152">
        <v>25</v>
      </c>
      <c r="B1152" t="s">
        <v>31</v>
      </c>
      <c r="C1152" t="s">
        <v>416</v>
      </c>
      <c r="D1152" t="s">
        <v>196</v>
      </c>
      <c r="E1152">
        <v>4</v>
      </c>
      <c r="F1152">
        <v>118</v>
      </c>
      <c r="G1152">
        <v>1156</v>
      </c>
      <c r="H1152">
        <v>341</v>
      </c>
      <c r="I1152">
        <v>361</v>
      </c>
      <c r="J1152">
        <v>36</v>
      </c>
      <c r="K1152">
        <v>0.42299999999999999</v>
      </c>
      <c r="L1152">
        <v>0</v>
      </c>
      <c r="M1152">
        <v>0.63800000000000001</v>
      </c>
      <c r="N1152">
        <v>0.6</v>
      </c>
      <c r="O1152">
        <v>2.5999999999999999E-2</v>
      </c>
      <c r="P1152">
        <v>1995</v>
      </c>
      <c r="Q1152">
        <v>9.8000000000000007</v>
      </c>
      <c r="R1152">
        <v>2.9</v>
      </c>
      <c r="S1152">
        <v>3.1</v>
      </c>
      <c r="T1152">
        <v>0.3</v>
      </c>
      <c r="U1152">
        <v>1</v>
      </c>
      <c r="V1152">
        <v>25</v>
      </c>
      <c r="W1152">
        <f>IF(nba_draft[[#This Row],[years_played]]&gt;5,1,0)</f>
        <v>0</v>
      </c>
    </row>
    <row r="1153" spans="1:23" x14ac:dyDescent="0.25">
      <c r="A1153">
        <v>41</v>
      </c>
      <c r="B1153" t="s">
        <v>395</v>
      </c>
      <c r="C1153" t="s">
        <v>985</v>
      </c>
      <c r="D1153" t="s">
        <v>97</v>
      </c>
      <c r="E1153">
        <v>2</v>
      </c>
      <c r="F1153">
        <v>85</v>
      </c>
      <c r="G1153">
        <v>987</v>
      </c>
      <c r="H1153">
        <v>341</v>
      </c>
      <c r="I1153">
        <v>78</v>
      </c>
      <c r="J1153">
        <v>165</v>
      </c>
      <c r="K1153">
        <v>0.38700000000000001</v>
      </c>
      <c r="L1153">
        <v>0.189</v>
      </c>
      <c r="M1153">
        <v>0.746</v>
      </c>
      <c r="N1153">
        <v>-0.2</v>
      </c>
      <c r="O1153">
        <v>-7.0000000000000001E-3</v>
      </c>
      <c r="P1153">
        <v>2005</v>
      </c>
      <c r="Q1153">
        <v>11.6</v>
      </c>
      <c r="R1153">
        <v>4</v>
      </c>
      <c r="S1153">
        <v>0.9</v>
      </c>
      <c r="T1153">
        <v>1.9</v>
      </c>
      <c r="U1153">
        <v>2</v>
      </c>
      <c r="V1153">
        <v>11</v>
      </c>
      <c r="W1153">
        <f>IF(nba_draft[[#This Row],[years_played]]&gt;5,1,0)</f>
        <v>0</v>
      </c>
    </row>
    <row r="1154" spans="1:23" x14ac:dyDescent="0.25">
      <c r="A1154">
        <v>34</v>
      </c>
      <c r="B1154" t="s">
        <v>52</v>
      </c>
      <c r="C1154" t="s">
        <v>107</v>
      </c>
      <c r="D1154" t="s">
        <v>108</v>
      </c>
      <c r="E1154">
        <v>4</v>
      </c>
      <c r="F1154">
        <v>94</v>
      </c>
      <c r="G1154">
        <v>1125</v>
      </c>
      <c r="H1154">
        <v>340</v>
      </c>
      <c r="I1154">
        <v>90</v>
      </c>
      <c r="J1154">
        <v>152</v>
      </c>
      <c r="K1154">
        <v>0.39900000000000002</v>
      </c>
      <c r="L1154">
        <v>0.186</v>
      </c>
      <c r="M1154">
        <v>0.79</v>
      </c>
      <c r="N1154">
        <v>0.4</v>
      </c>
      <c r="O1154">
        <v>1.7000000000000001E-2</v>
      </c>
      <c r="P1154">
        <v>1990</v>
      </c>
      <c r="Q1154">
        <v>12</v>
      </c>
      <c r="R1154">
        <v>3.6</v>
      </c>
      <c r="S1154">
        <v>1</v>
      </c>
      <c r="T1154">
        <v>1.6</v>
      </c>
      <c r="U1154">
        <v>2</v>
      </c>
      <c r="V1154">
        <v>7</v>
      </c>
      <c r="W1154">
        <f>IF(nba_draft[[#This Row],[years_played]]&gt;5,1,0)</f>
        <v>0</v>
      </c>
    </row>
    <row r="1155" spans="1:23" x14ac:dyDescent="0.25">
      <c r="A1155">
        <v>49</v>
      </c>
      <c r="B1155" t="s">
        <v>37</v>
      </c>
      <c r="C1155" t="s">
        <v>440</v>
      </c>
      <c r="D1155" t="s">
        <v>441</v>
      </c>
      <c r="E1155">
        <v>2</v>
      </c>
      <c r="F1155">
        <v>117</v>
      </c>
      <c r="G1155">
        <v>1305</v>
      </c>
      <c r="H1155">
        <v>336</v>
      </c>
      <c r="I1155">
        <v>123</v>
      </c>
      <c r="J1155">
        <v>201</v>
      </c>
      <c r="K1155">
        <v>0.35</v>
      </c>
      <c r="L1155">
        <v>0.317</v>
      </c>
      <c r="M1155">
        <v>0.63</v>
      </c>
      <c r="N1155">
        <v>0.2</v>
      </c>
      <c r="O1155">
        <v>6.0000000000000001E-3</v>
      </c>
      <c r="P1155">
        <v>1995</v>
      </c>
      <c r="Q1155">
        <v>11.2</v>
      </c>
      <c r="R1155">
        <v>2.9</v>
      </c>
      <c r="S1155">
        <v>1.1000000000000001</v>
      </c>
      <c r="T1155">
        <v>1.7</v>
      </c>
      <c r="U1155">
        <v>2</v>
      </c>
      <c r="V1155">
        <v>20</v>
      </c>
      <c r="W1155">
        <f>IF(nba_draft[[#This Row],[years_played]]&gt;5,1,0)</f>
        <v>0</v>
      </c>
    </row>
    <row r="1156" spans="1:23" x14ac:dyDescent="0.25">
      <c r="A1156">
        <v>55</v>
      </c>
      <c r="B1156" t="s">
        <v>25</v>
      </c>
      <c r="C1156" t="s">
        <v>998</v>
      </c>
      <c r="D1156" t="s">
        <v>461</v>
      </c>
      <c r="E1156">
        <v>2</v>
      </c>
      <c r="F1156">
        <v>87</v>
      </c>
      <c r="G1156">
        <v>1150</v>
      </c>
      <c r="H1156">
        <v>334</v>
      </c>
      <c r="I1156">
        <v>310</v>
      </c>
      <c r="J1156">
        <v>35</v>
      </c>
      <c r="K1156">
        <v>0.45200000000000001</v>
      </c>
      <c r="L1156">
        <v>0</v>
      </c>
      <c r="M1156">
        <v>0.68799999999999994</v>
      </c>
      <c r="N1156">
        <v>2.5</v>
      </c>
      <c r="O1156">
        <v>0.106</v>
      </c>
      <c r="P1156">
        <v>2005</v>
      </c>
      <c r="Q1156">
        <v>13.2</v>
      </c>
      <c r="R1156">
        <v>3.8</v>
      </c>
      <c r="S1156">
        <v>3.6</v>
      </c>
      <c r="T1156">
        <v>0.4</v>
      </c>
      <c r="U1156">
        <v>2</v>
      </c>
      <c r="V1156">
        <v>25</v>
      </c>
      <c r="W1156">
        <f>IF(nba_draft[[#This Row],[years_played]]&gt;5,1,0)</f>
        <v>0</v>
      </c>
    </row>
    <row r="1157" spans="1:23" x14ac:dyDescent="0.25">
      <c r="A1157">
        <v>26</v>
      </c>
      <c r="B1157" t="s">
        <v>95</v>
      </c>
      <c r="C1157" t="s">
        <v>180</v>
      </c>
      <c r="D1157" t="s">
        <v>108</v>
      </c>
      <c r="E1157">
        <v>4</v>
      </c>
      <c r="F1157">
        <v>127</v>
      </c>
      <c r="G1157">
        <v>883</v>
      </c>
      <c r="H1157">
        <v>332</v>
      </c>
      <c r="I1157">
        <v>160</v>
      </c>
      <c r="J1157">
        <v>56</v>
      </c>
      <c r="K1157">
        <v>0.443</v>
      </c>
      <c r="L1157">
        <v>0.154</v>
      </c>
      <c r="M1157">
        <v>0.72199999999999998</v>
      </c>
      <c r="N1157">
        <v>1</v>
      </c>
      <c r="O1157">
        <v>5.3999999999999999E-2</v>
      </c>
      <c r="P1157">
        <v>1991</v>
      </c>
      <c r="Q1157">
        <v>7</v>
      </c>
      <c r="R1157">
        <v>2.6</v>
      </c>
      <c r="S1157">
        <v>1.3</v>
      </c>
      <c r="T1157">
        <v>0.4</v>
      </c>
      <c r="U1157">
        <v>1</v>
      </c>
      <c r="V1157">
        <v>26</v>
      </c>
      <c r="W1157">
        <f>IF(nba_draft[[#This Row],[years_played]]&gt;5,1,0)</f>
        <v>0</v>
      </c>
    </row>
    <row r="1158" spans="1:23" x14ac:dyDescent="0.25">
      <c r="A1158">
        <v>39</v>
      </c>
      <c r="B1158" t="s">
        <v>34</v>
      </c>
      <c r="C1158" t="s">
        <v>118</v>
      </c>
      <c r="D1158" t="s">
        <v>119</v>
      </c>
      <c r="E1158">
        <v>7</v>
      </c>
      <c r="F1158">
        <v>174</v>
      </c>
      <c r="G1158">
        <v>918</v>
      </c>
      <c r="H1158">
        <v>331</v>
      </c>
      <c r="I1158">
        <v>180</v>
      </c>
      <c r="J1158">
        <v>26</v>
      </c>
      <c r="K1158">
        <v>0.55800000000000005</v>
      </c>
      <c r="L1158">
        <v>0.2</v>
      </c>
      <c r="M1158">
        <v>0.75900000000000001</v>
      </c>
      <c r="N1158">
        <v>2.9</v>
      </c>
      <c r="O1158">
        <v>0.153</v>
      </c>
      <c r="P1158">
        <v>1990</v>
      </c>
      <c r="Q1158">
        <v>5.3</v>
      </c>
      <c r="R1158">
        <v>1.9</v>
      </c>
      <c r="S1158">
        <v>1</v>
      </c>
      <c r="T1158">
        <v>0.1</v>
      </c>
      <c r="U1158">
        <v>2</v>
      </c>
      <c r="V1158">
        <v>12</v>
      </c>
      <c r="W1158">
        <f>IF(nba_draft[[#This Row],[years_played]]&gt;5,1,0)</f>
        <v>1</v>
      </c>
    </row>
    <row r="1159" spans="1:23" x14ac:dyDescent="0.25">
      <c r="A1159">
        <v>39</v>
      </c>
      <c r="B1159" t="s">
        <v>138</v>
      </c>
      <c r="C1159" t="s">
        <v>197</v>
      </c>
      <c r="D1159" t="s">
        <v>119</v>
      </c>
      <c r="E1159">
        <v>5</v>
      </c>
      <c r="F1159">
        <v>78</v>
      </c>
      <c r="G1159">
        <v>856</v>
      </c>
      <c r="H1159">
        <v>331</v>
      </c>
      <c r="I1159">
        <v>80</v>
      </c>
      <c r="J1159">
        <v>55</v>
      </c>
      <c r="K1159">
        <v>0.40699999999999997</v>
      </c>
      <c r="L1159">
        <v>0.34</v>
      </c>
      <c r="M1159">
        <v>0.77200000000000002</v>
      </c>
      <c r="N1159">
        <v>0.3</v>
      </c>
      <c r="O1159">
        <v>1.7999999999999999E-2</v>
      </c>
      <c r="P1159">
        <v>1991</v>
      </c>
      <c r="Q1159">
        <v>11</v>
      </c>
      <c r="R1159">
        <v>4.2</v>
      </c>
      <c r="S1159">
        <v>1</v>
      </c>
      <c r="T1159">
        <v>0.7</v>
      </c>
      <c r="U1159">
        <v>2</v>
      </c>
      <c r="V1159">
        <v>12</v>
      </c>
      <c r="W1159">
        <f>IF(nba_draft[[#This Row],[years_played]]&gt;5,1,0)</f>
        <v>0</v>
      </c>
    </row>
    <row r="1160" spans="1:23" x14ac:dyDescent="0.25">
      <c r="A1160">
        <v>29</v>
      </c>
      <c r="B1160" t="s">
        <v>75</v>
      </c>
      <c r="C1160" t="s">
        <v>367</v>
      </c>
      <c r="D1160" t="s">
        <v>87</v>
      </c>
      <c r="E1160">
        <v>6</v>
      </c>
      <c r="F1160">
        <v>143</v>
      </c>
      <c r="G1160">
        <v>1395</v>
      </c>
      <c r="H1160">
        <v>329</v>
      </c>
      <c r="I1160">
        <v>210</v>
      </c>
      <c r="J1160">
        <v>50</v>
      </c>
      <c r="K1160">
        <v>0.45500000000000002</v>
      </c>
      <c r="L1160">
        <v>0</v>
      </c>
      <c r="M1160">
        <v>0.71899999999999997</v>
      </c>
      <c r="N1160">
        <v>1.7</v>
      </c>
      <c r="O1160">
        <v>5.7000000000000002E-2</v>
      </c>
      <c r="P1160">
        <v>1994</v>
      </c>
      <c r="Q1160">
        <v>9.8000000000000007</v>
      </c>
      <c r="R1160">
        <v>2.2999999999999998</v>
      </c>
      <c r="S1160">
        <v>1.5</v>
      </c>
      <c r="T1160">
        <v>0.3</v>
      </c>
      <c r="U1160">
        <v>2</v>
      </c>
      <c r="V1160">
        <v>2</v>
      </c>
      <c r="W1160">
        <f>IF(nba_draft[[#This Row],[years_played]]&gt;5,1,0)</f>
        <v>1</v>
      </c>
    </row>
    <row r="1161" spans="1:23" x14ac:dyDescent="0.25">
      <c r="A1161">
        <v>45</v>
      </c>
      <c r="B1161" t="s">
        <v>40</v>
      </c>
      <c r="C1161" t="s">
        <v>730</v>
      </c>
      <c r="D1161" t="s">
        <v>30</v>
      </c>
      <c r="E1161">
        <v>4</v>
      </c>
      <c r="F1161">
        <v>108</v>
      </c>
      <c r="G1161">
        <v>1063</v>
      </c>
      <c r="H1161">
        <v>329</v>
      </c>
      <c r="I1161">
        <v>178</v>
      </c>
      <c r="J1161">
        <v>66</v>
      </c>
      <c r="K1161">
        <v>0.41299999999999998</v>
      </c>
      <c r="L1161">
        <v>0.125</v>
      </c>
      <c r="M1161">
        <v>0.69</v>
      </c>
      <c r="N1161">
        <v>1.3</v>
      </c>
      <c r="O1161">
        <v>5.8000000000000003E-2</v>
      </c>
      <c r="P1161">
        <v>2000</v>
      </c>
      <c r="Q1161">
        <v>9.8000000000000007</v>
      </c>
      <c r="R1161">
        <v>3</v>
      </c>
      <c r="S1161">
        <v>1.6</v>
      </c>
      <c r="T1161">
        <v>0.6</v>
      </c>
      <c r="U1161">
        <v>2</v>
      </c>
      <c r="V1161">
        <v>16</v>
      </c>
      <c r="W1161">
        <f>IF(nba_draft[[#This Row],[years_played]]&gt;5,1,0)</f>
        <v>0</v>
      </c>
    </row>
    <row r="1162" spans="1:23" x14ac:dyDescent="0.25">
      <c r="A1162">
        <v>36</v>
      </c>
      <c r="B1162" t="s">
        <v>40</v>
      </c>
      <c r="C1162" t="s">
        <v>1364</v>
      </c>
      <c r="D1162" t="s">
        <v>1365</v>
      </c>
      <c r="E1162">
        <v>3</v>
      </c>
      <c r="F1162">
        <v>103</v>
      </c>
      <c r="G1162">
        <v>1112</v>
      </c>
      <c r="H1162">
        <v>329</v>
      </c>
      <c r="I1162">
        <v>180</v>
      </c>
      <c r="J1162">
        <v>69</v>
      </c>
      <c r="K1162">
        <v>0.35799999999999998</v>
      </c>
      <c r="L1162">
        <v>0.311</v>
      </c>
      <c r="M1162">
        <v>0.72699999999999998</v>
      </c>
      <c r="N1162">
        <v>1.4</v>
      </c>
      <c r="O1162">
        <v>5.8999999999999997E-2</v>
      </c>
      <c r="P1162">
        <v>2012</v>
      </c>
      <c r="Q1162">
        <v>10.8</v>
      </c>
      <c r="R1162">
        <v>3.2</v>
      </c>
      <c r="S1162">
        <v>1.7</v>
      </c>
      <c r="T1162">
        <v>0.7</v>
      </c>
      <c r="U1162">
        <v>2</v>
      </c>
      <c r="V1162">
        <v>6</v>
      </c>
      <c r="W1162">
        <f>IF(nba_draft[[#This Row],[years_played]]&gt;5,1,0)</f>
        <v>0</v>
      </c>
    </row>
    <row r="1163" spans="1:23" x14ac:dyDescent="0.25">
      <c r="A1163">
        <v>53</v>
      </c>
      <c r="B1163" t="s">
        <v>70</v>
      </c>
      <c r="C1163" t="s">
        <v>996</v>
      </c>
      <c r="D1163" t="s">
        <v>170</v>
      </c>
      <c r="E1163">
        <v>4</v>
      </c>
      <c r="F1163">
        <v>131</v>
      </c>
      <c r="G1163">
        <v>1555</v>
      </c>
      <c r="H1163">
        <v>326</v>
      </c>
      <c r="I1163">
        <v>195</v>
      </c>
      <c r="J1163">
        <v>155</v>
      </c>
      <c r="K1163">
        <v>0.38700000000000001</v>
      </c>
      <c r="L1163">
        <v>0.21199999999999999</v>
      </c>
      <c r="M1163">
        <v>0.64200000000000002</v>
      </c>
      <c r="N1163">
        <v>-0.7</v>
      </c>
      <c r="O1163">
        <v>-2.1999999999999999E-2</v>
      </c>
      <c r="P1163">
        <v>2005</v>
      </c>
      <c r="Q1163">
        <v>11.9</v>
      </c>
      <c r="R1163">
        <v>2.5</v>
      </c>
      <c r="S1163">
        <v>1.5</v>
      </c>
      <c r="T1163">
        <v>1.2</v>
      </c>
      <c r="U1163">
        <v>2</v>
      </c>
      <c r="V1163">
        <v>23</v>
      </c>
      <c r="W1163">
        <f>IF(nba_draft[[#This Row],[years_played]]&gt;5,1,0)</f>
        <v>0</v>
      </c>
    </row>
    <row r="1164" spans="1:23" x14ac:dyDescent="0.25">
      <c r="A1164">
        <v>51</v>
      </c>
      <c r="B1164" t="s">
        <v>65</v>
      </c>
      <c r="C1164" t="s">
        <v>1491</v>
      </c>
      <c r="D1164" t="s">
        <v>97</v>
      </c>
      <c r="E1164">
        <v>4</v>
      </c>
      <c r="F1164">
        <v>116</v>
      </c>
      <c r="G1164">
        <v>1044</v>
      </c>
      <c r="H1164">
        <v>325</v>
      </c>
      <c r="I1164">
        <v>227</v>
      </c>
      <c r="J1164">
        <v>80</v>
      </c>
      <c r="K1164">
        <v>0.49099999999999999</v>
      </c>
      <c r="L1164">
        <v>0.157</v>
      </c>
      <c r="M1164">
        <v>0.52200000000000002</v>
      </c>
      <c r="N1164">
        <v>1.3</v>
      </c>
      <c r="O1164">
        <v>6.2E-2</v>
      </c>
      <c r="P1164">
        <v>2014</v>
      </c>
      <c r="Q1164">
        <v>9</v>
      </c>
      <c r="R1164">
        <v>2.8</v>
      </c>
      <c r="S1164">
        <v>2</v>
      </c>
      <c r="T1164">
        <v>0.7</v>
      </c>
      <c r="U1164">
        <v>2</v>
      </c>
      <c r="V1164">
        <v>21</v>
      </c>
      <c r="W1164">
        <f>IF(nba_draft[[#This Row],[years_played]]&gt;5,1,0)</f>
        <v>0</v>
      </c>
    </row>
    <row r="1165" spans="1:23" x14ac:dyDescent="0.25">
      <c r="A1165">
        <v>47</v>
      </c>
      <c r="B1165" t="s">
        <v>104</v>
      </c>
      <c r="C1165" t="s">
        <v>382</v>
      </c>
      <c r="D1165" t="s">
        <v>383</v>
      </c>
      <c r="E1165">
        <v>4</v>
      </c>
      <c r="F1165">
        <v>102</v>
      </c>
      <c r="G1165">
        <v>1248</v>
      </c>
      <c r="H1165">
        <v>323</v>
      </c>
      <c r="I1165">
        <v>149</v>
      </c>
      <c r="J1165">
        <v>117</v>
      </c>
      <c r="K1165">
        <v>0.46800000000000003</v>
      </c>
      <c r="L1165">
        <v>0.316</v>
      </c>
      <c r="M1165">
        <v>0.69399999999999995</v>
      </c>
      <c r="N1165">
        <v>1.2</v>
      </c>
      <c r="O1165">
        <v>4.4999999999999998E-2</v>
      </c>
      <c r="P1165">
        <v>1994</v>
      </c>
      <c r="Q1165">
        <v>12.2</v>
      </c>
      <c r="R1165">
        <v>3.2</v>
      </c>
      <c r="S1165">
        <v>1.5</v>
      </c>
      <c r="T1165">
        <v>1.1000000000000001</v>
      </c>
      <c r="U1165">
        <v>2</v>
      </c>
      <c r="V1165">
        <v>20</v>
      </c>
      <c r="W1165">
        <f>IF(nba_draft[[#This Row],[years_played]]&gt;5,1,0)</f>
        <v>0</v>
      </c>
    </row>
    <row r="1166" spans="1:23" x14ac:dyDescent="0.25">
      <c r="A1166">
        <v>54</v>
      </c>
      <c r="B1166" t="s">
        <v>149</v>
      </c>
      <c r="C1166" t="s">
        <v>789</v>
      </c>
      <c r="D1166" t="s">
        <v>310</v>
      </c>
      <c r="E1166">
        <v>2</v>
      </c>
      <c r="F1166">
        <v>75</v>
      </c>
      <c r="G1166">
        <v>1062</v>
      </c>
      <c r="H1166">
        <v>321</v>
      </c>
      <c r="I1166">
        <v>95</v>
      </c>
      <c r="J1166">
        <v>176</v>
      </c>
      <c r="K1166">
        <v>0.33500000000000002</v>
      </c>
      <c r="L1166">
        <v>0.218</v>
      </c>
      <c r="M1166">
        <v>0.746</v>
      </c>
      <c r="N1166">
        <v>-1.1000000000000001</v>
      </c>
      <c r="O1166">
        <v>-5.0999999999999997E-2</v>
      </c>
      <c r="P1166">
        <v>2001</v>
      </c>
      <c r="Q1166">
        <v>14.2</v>
      </c>
      <c r="R1166">
        <v>4.3</v>
      </c>
      <c r="S1166">
        <v>1.3</v>
      </c>
      <c r="T1166">
        <v>2.2999999999999998</v>
      </c>
      <c r="U1166">
        <v>2</v>
      </c>
      <c r="V1166">
        <v>25</v>
      </c>
      <c r="W1166">
        <f>IF(nba_draft[[#This Row],[years_played]]&gt;5,1,0)</f>
        <v>0</v>
      </c>
    </row>
    <row r="1167" spans="1:23" x14ac:dyDescent="0.25">
      <c r="A1167">
        <v>30</v>
      </c>
      <c r="B1167" t="s">
        <v>138</v>
      </c>
      <c r="C1167" t="s">
        <v>1193</v>
      </c>
      <c r="D1167" t="s">
        <v>97</v>
      </c>
      <c r="E1167">
        <v>2</v>
      </c>
      <c r="F1167">
        <v>51</v>
      </c>
      <c r="G1167">
        <v>1049</v>
      </c>
      <c r="H1167">
        <v>320</v>
      </c>
      <c r="I1167">
        <v>137</v>
      </c>
      <c r="J1167">
        <v>40</v>
      </c>
      <c r="K1167">
        <v>0.41099999999999998</v>
      </c>
      <c r="L1167">
        <v>0.27700000000000002</v>
      </c>
      <c r="M1167">
        <v>0.61099999999999999</v>
      </c>
      <c r="N1167">
        <v>-0.4</v>
      </c>
      <c r="O1167">
        <v>-0.02</v>
      </c>
      <c r="P1167">
        <v>2009</v>
      </c>
      <c r="Q1167">
        <v>20.6</v>
      </c>
      <c r="R1167">
        <v>6.3</v>
      </c>
      <c r="S1167">
        <v>2.7</v>
      </c>
      <c r="T1167">
        <v>0.8</v>
      </c>
      <c r="U1167">
        <v>1</v>
      </c>
      <c r="V1167">
        <v>30</v>
      </c>
      <c r="W1167">
        <f>IF(nba_draft[[#This Row],[years_played]]&gt;5,1,0)</f>
        <v>0</v>
      </c>
    </row>
    <row r="1168" spans="1:23" x14ac:dyDescent="0.25">
      <c r="A1168">
        <v>38</v>
      </c>
      <c r="B1168" t="s">
        <v>85</v>
      </c>
      <c r="C1168" t="s">
        <v>1201</v>
      </c>
      <c r="D1168" t="s">
        <v>325</v>
      </c>
      <c r="E1168">
        <v>3</v>
      </c>
      <c r="F1168">
        <v>150</v>
      </c>
      <c r="G1168">
        <v>1570</v>
      </c>
      <c r="H1168">
        <v>320</v>
      </c>
      <c r="I1168">
        <v>472</v>
      </c>
      <c r="J1168">
        <v>49</v>
      </c>
      <c r="K1168">
        <v>0.48799999999999999</v>
      </c>
      <c r="L1168">
        <v>0</v>
      </c>
      <c r="M1168">
        <v>0.61799999999999999</v>
      </c>
      <c r="N1168">
        <v>3.7</v>
      </c>
      <c r="O1168">
        <v>0.113</v>
      </c>
      <c r="P1168">
        <v>2009</v>
      </c>
      <c r="Q1168">
        <v>10.5</v>
      </c>
      <c r="R1168">
        <v>2.1</v>
      </c>
      <c r="S1168">
        <v>3.1</v>
      </c>
      <c r="T1168">
        <v>0.3</v>
      </c>
      <c r="U1168">
        <v>2</v>
      </c>
      <c r="V1168">
        <v>8</v>
      </c>
      <c r="W1168">
        <f>IF(nba_draft[[#This Row],[years_played]]&gt;5,1,0)</f>
        <v>0</v>
      </c>
    </row>
    <row r="1169" spans="1:23" x14ac:dyDescent="0.25">
      <c r="A1169">
        <v>34</v>
      </c>
      <c r="B1169" t="s">
        <v>102</v>
      </c>
      <c r="C1169" t="s">
        <v>1746</v>
      </c>
      <c r="D1169" t="s">
        <v>67</v>
      </c>
      <c r="E1169">
        <v>3</v>
      </c>
      <c r="F1169">
        <v>111</v>
      </c>
      <c r="G1169">
        <v>1010</v>
      </c>
      <c r="H1169">
        <v>320</v>
      </c>
      <c r="I1169">
        <v>297</v>
      </c>
      <c r="J1169">
        <v>63</v>
      </c>
      <c r="K1169">
        <v>0.498</v>
      </c>
      <c r="L1169">
        <v>0.14599999999999999</v>
      </c>
      <c r="M1169">
        <v>0.61699999999999999</v>
      </c>
      <c r="N1169">
        <v>0.8</v>
      </c>
      <c r="O1169">
        <v>0.04</v>
      </c>
      <c r="P1169">
        <v>2019</v>
      </c>
      <c r="Q1169">
        <v>9.1</v>
      </c>
      <c r="R1169">
        <v>2.9</v>
      </c>
      <c r="S1169">
        <v>2.7</v>
      </c>
      <c r="T1169">
        <v>0.6</v>
      </c>
      <c r="U1169">
        <v>2</v>
      </c>
      <c r="V1169">
        <v>4</v>
      </c>
      <c r="W1169">
        <f>IF(nba_draft[[#This Row],[years_played]]&gt;5,1,0)</f>
        <v>0</v>
      </c>
    </row>
    <row r="1170" spans="1:23" x14ac:dyDescent="0.25">
      <c r="A1170">
        <v>41</v>
      </c>
      <c r="B1170" t="s">
        <v>82</v>
      </c>
      <c r="C1170" t="s">
        <v>1812</v>
      </c>
      <c r="D1170" t="s">
        <v>87</v>
      </c>
      <c r="E1170">
        <v>2</v>
      </c>
      <c r="F1170">
        <v>83</v>
      </c>
      <c r="G1170">
        <v>888</v>
      </c>
      <c r="H1170">
        <v>315</v>
      </c>
      <c r="I1170">
        <v>106</v>
      </c>
      <c r="J1170">
        <v>151</v>
      </c>
      <c r="K1170">
        <v>0.49199999999999999</v>
      </c>
      <c r="L1170">
        <v>0.24</v>
      </c>
      <c r="M1170">
        <v>0.88300000000000001</v>
      </c>
      <c r="N1170">
        <v>1.9</v>
      </c>
      <c r="O1170">
        <v>0.10199999999999999</v>
      </c>
      <c r="P1170">
        <v>2020</v>
      </c>
      <c r="Q1170">
        <v>10.7</v>
      </c>
      <c r="R1170">
        <v>3.8</v>
      </c>
      <c r="S1170">
        <v>1.3</v>
      </c>
      <c r="T1170">
        <v>1.8</v>
      </c>
      <c r="U1170">
        <v>2</v>
      </c>
      <c r="V1170">
        <v>11</v>
      </c>
      <c r="W1170">
        <f>IF(nba_draft[[#This Row],[years_played]]&gt;5,1,0)</f>
        <v>0</v>
      </c>
    </row>
    <row r="1171" spans="1:23" x14ac:dyDescent="0.25">
      <c r="A1171">
        <v>34</v>
      </c>
      <c r="B1171" t="s">
        <v>95</v>
      </c>
      <c r="C1171" t="s">
        <v>719</v>
      </c>
      <c r="D1171" t="s">
        <v>79</v>
      </c>
      <c r="E1171">
        <v>1</v>
      </c>
      <c r="F1171">
        <v>50</v>
      </c>
      <c r="G1171">
        <v>936</v>
      </c>
      <c r="H1171">
        <v>314</v>
      </c>
      <c r="I1171">
        <v>81</v>
      </c>
      <c r="J1171">
        <v>145</v>
      </c>
      <c r="K1171">
        <v>0.37</v>
      </c>
      <c r="L1171">
        <v>0.33300000000000002</v>
      </c>
      <c r="M1171">
        <v>0.77800000000000002</v>
      </c>
      <c r="N1171">
        <v>0.6</v>
      </c>
      <c r="O1171">
        <v>0.03</v>
      </c>
      <c r="P1171">
        <v>2000</v>
      </c>
      <c r="Q1171">
        <v>18.7</v>
      </c>
      <c r="R1171">
        <v>6.3</v>
      </c>
      <c r="S1171">
        <v>1.6</v>
      </c>
      <c r="T1171">
        <v>2.9</v>
      </c>
      <c r="U1171">
        <v>2</v>
      </c>
      <c r="V1171">
        <v>5</v>
      </c>
      <c r="W1171">
        <f>IF(nba_draft[[#This Row],[years_played]]&gt;5,1,0)</f>
        <v>0</v>
      </c>
    </row>
    <row r="1172" spans="1:23" x14ac:dyDescent="0.25">
      <c r="A1172">
        <v>32</v>
      </c>
      <c r="B1172" t="s">
        <v>65</v>
      </c>
      <c r="C1172" t="s">
        <v>1864</v>
      </c>
      <c r="D1172" t="s">
        <v>458</v>
      </c>
      <c r="E1172">
        <v>1</v>
      </c>
      <c r="F1172">
        <v>44</v>
      </c>
      <c r="G1172">
        <v>1014</v>
      </c>
      <c r="H1172">
        <v>314</v>
      </c>
      <c r="I1172">
        <v>254</v>
      </c>
      <c r="J1172">
        <v>44</v>
      </c>
      <c r="K1172">
        <v>0.40100000000000002</v>
      </c>
      <c r="L1172">
        <v>0.33300000000000002</v>
      </c>
      <c r="M1172">
        <v>0.71399999999999997</v>
      </c>
      <c r="N1172">
        <v>1.4</v>
      </c>
      <c r="O1172">
        <v>6.8000000000000005E-2</v>
      </c>
      <c r="P1172">
        <v>2021</v>
      </c>
      <c r="Q1172">
        <v>23</v>
      </c>
      <c r="R1172">
        <v>7.1</v>
      </c>
      <c r="S1172">
        <v>5.8</v>
      </c>
      <c r="T1172">
        <v>1</v>
      </c>
      <c r="U1172">
        <v>2</v>
      </c>
      <c r="V1172">
        <v>2</v>
      </c>
      <c r="W1172">
        <f>IF(nba_draft[[#This Row],[years_played]]&gt;5,1,0)</f>
        <v>0</v>
      </c>
    </row>
    <row r="1173" spans="1:23" x14ac:dyDescent="0.25">
      <c r="A1173">
        <v>13</v>
      </c>
      <c r="B1173" t="s">
        <v>63</v>
      </c>
      <c r="C1173" t="s">
        <v>803</v>
      </c>
      <c r="D1173" t="s">
        <v>293</v>
      </c>
      <c r="E1173">
        <v>4</v>
      </c>
      <c r="F1173">
        <v>89</v>
      </c>
      <c r="G1173">
        <v>854</v>
      </c>
      <c r="H1173">
        <v>311</v>
      </c>
      <c r="I1173">
        <v>131</v>
      </c>
      <c r="J1173">
        <v>16</v>
      </c>
      <c r="K1173">
        <v>0.437</v>
      </c>
      <c r="L1173">
        <v>0.35</v>
      </c>
      <c r="M1173">
        <v>0.65900000000000003</v>
      </c>
      <c r="N1173">
        <v>0.5</v>
      </c>
      <c r="O1173">
        <v>2.5999999999999999E-2</v>
      </c>
      <c r="P1173">
        <v>2002</v>
      </c>
      <c r="Q1173">
        <v>9.6</v>
      </c>
      <c r="R1173">
        <v>3.5</v>
      </c>
      <c r="S1173">
        <v>1.5</v>
      </c>
      <c r="T1173">
        <v>0.2</v>
      </c>
      <c r="U1173">
        <v>1</v>
      </c>
      <c r="V1173">
        <v>13</v>
      </c>
      <c r="W1173">
        <f>IF(nba_draft[[#This Row],[years_played]]&gt;5,1,0)</f>
        <v>0</v>
      </c>
    </row>
    <row r="1174" spans="1:23" x14ac:dyDescent="0.25">
      <c r="A1174">
        <v>28</v>
      </c>
      <c r="B1174" t="s">
        <v>34</v>
      </c>
      <c r="C1174" t="s">
        <v>182</v>
      </c>
      <c r="D1174" t="s">
        <v>48</v>
      </c>
      <c r="E1174">
        <v>2</v>
      </c>
      <c r="F1174">
        <v>95</v>
      </c>
      <c r="G1174">
        <v>1143</v>
      </c>
      <c r="H1174">
        <v>310</v>
      </c>
      <c r="I1174">
        <v>120</v>
      </c>
      <c r="J1174">
        <v>108</v>
      </c>
      <c r="K1174">
        <v>0.436</v>
      </c>
      <c r="L1174">
        <v>0.33300000000000002</v>
      </c>
      <c r="M1174">
        <v>0.72599999999999998</v>
      </c>
      <c r="N1174">
        <v>0.4</v>
      </c>
      <c r="O1174">
        <v>1.6E-2</v>
      </c>
      <c r="P1174">
        <v>1991</v>
      </c>
      <c r="Q1174">
        <v>12</v>
      </c>
      <c r="R1174">
        <v>3.3</v>
      </c>
      <c r="S1174">
        <v>1.3</v>
      </c>
      <c r="T1174">
        <v>1.1000000000000001</v>
      </c>
      <c r="U1174">
        <v>2</v>
      </c>
      <c r="V1174">
        <v>1</v>
      </c>
      <c r="W1174">
        <f>IF(nba_draft[[#This Row],[years_played]]&gt;5,1,0)</f>
        <v>0</v>
      </c>
    </row>
    <row r="1175" spans="1:23" x14ac:dyDescent="0.25">
      <c r="A1175">
        <v>49</v>
      </c>
      <c r="B1175" t="s">
        <v>102</v>
      </c>
      <c r="C1175" t="s">
        <v>1819</v>
      </c>
      <c r="D1175" t="s">
        <v>222</v>
      </c>
      <c r="E1175">
        <v>2</v>
      </c>
      <c r="F1175">
        <v>82</v>
      </c>
      <c r="G1175">
        <v>885</v>
      </c>
      <c r="H1175">
        <v>309</v>
      </c>
      <c r="I1175">
        <v>82</v>
      </c>
      <c r="J1175">
        <v>48</v>
      </c>
      <c r="K1175">
        <v>0.35599999999999998</v>
      </c>
      <c r="L1175">
        <v>0.34899999999999998</v>
      </c>
      <c r="M1175">
        <v>0.84399999999999997</v>
      </c>
      <c r="N1175">
        <v>1</v>
      </c>
      <c r="O1175">
        <v>5.2999999999999999E-2</v>
      </c>
      <c r="P1175">
        <v>2020</v>
      </c>
      <c r="Q1175">
        <v>10.8</v>
      </c>
      <c r="R1175">
        <v>3.8</v>
      </c>
      <c r="S1175">
        <v>1</v>
      </c>
      <c r="T1175">
        <v>0.6</v>
      </c>
      <c r="U1175">
        <v>2</v>
      </c>
      <c r="V1175">
        <v>19</v>
      </c>
      <c r="W1175">
        <f>IF(nba_draft[[#This Row],[years_played]]&gt;5,1,0)</f>
        <v>0</v>
      </c>
    </row>
    <row r="1176" spans="1:23" x14ac:dyDescent="0.25">
      <c r="A1176">
        <v>52</v>
      </c>
      <c r="B1176" t="s">
        <v>46</v>
      </c>
      <c r="C1176" t="s">
        <v>1157</v>
      </c>
      <c r="D1176" t="s">
        <v>108</v>
      </c>
      <c r="E1176">
        <v>3</v>
      </c>
      <c r="F1176">
        <v>138</v>
      </c>
      <c r="G1176">
        <v>1039</v>
      </c>
      <c r="H1176">
        <v>308</v>
      </c>
      <c r="I1176">
        <v>203</v>
      </c>
      <c r="J1176">
        <v>26</v>
      </c>
      <c r="K1176">
        <v>0.44900000000000001</v>
      </c>
      <c r="L1176">
        <v>0.23499999999999999</v>
      </c>
      <c r="M1176">
        <v>0.64400000000000002</v>
      </c>
      <c r="N1176">
        <v>1.3</v>
      </c>
      <c r="O1176">
        <v>5.8999999999999997E-2</v>
      </c>
      <c r="P1176">
        <v>2008</v>
      </c>
      <c r="Q1176">
        <v>7.5</v>
      </c>
      <c r="R1176">
        <v>2.2000000000000002</v>
      </c>
      <c r="S1176">
        <v>1.5</v>
      </c>
      <c r="T1176">
        <v>0.2</v>
      </c>
      <c r="U1176">
        <v>2</v>
      </c>
      <c r="V1176">
        <v>22</v>
      </c>
      <c r="W1176">
        <f>IF(nba_draft[[#This Row],[years_played]]&gt;5,1,0)</f>
        <v>0</v>
      </c>
    </row>
    <row r="1177" spans="1:23" x14ac:dyDescent="0.25">
      <c r="A1177">
        <v>15</v>
      </c>
      <c r="B1177" t="s">
        <v>46</v>
      </c>
      <c r="C1177" t="s">
        <v>61</v>
      </c>
      <c r="D1177" t="s">
        <v>62</v>
      </c>
      <c r="E1177">
        <v>3</v>
      </c>
      <c r="F1177">
        <v>90</v>
      </c>
      <c r="G1177">
        <v>594</v>
      </c>
      <c r="H1177">
        <v>306</v>
      </c>
      <c r="I1177">
        <v>77</v>
      </c>
      <c r="J1177">
        <v>61</v>
      </c>
      <c r="K1177">
        <v>0.39200000000000002</v>
      </c>
      <c r="L1177">
        <v>0.27700000000000002</v>
      </c>
      <c r="M1177">
        <v>0.86</v>
      </c>
      <c r="N1177">
        <v>0.2</v>
      </c>
      <c r="O1177">
        <v>1.7999999999999999E-2</v>
      </c>
      <c r="P1177">
        <v>1990</v>
      </c>
      <c r="Q1177">
        <v>6.6</v>
      </c>
      <c r="R1177">
        <v>3.4</v>
      </c>
      <c r="S1177">
        <v>0.9</v>
      </c>
      <c r="T1177">
        <v>0.7</v>
      </c>
      <c r="U1177">
        <v>1</v>
      </c>
      <c r="V1177">
        <v>15</v>
      </c>
      <c r="W1177">
        <f>IF(nba_draft[[#This Row],[years_played]]&gt;5,1,0)</f>
        <v>0</v>
      </c>
    </row>
    <row r="1178" spans="1:23" x14ac:dyDescent="0.25">
      <c r="A1178">
        <v>38</v>
      </c>
      <c r="B1178" t="s">
        <v>102</v>
      </c>
      <c r="C1178" t="s">
        <v>1094</v>
      </c>
      <c r="D1178" t="s">
        <v>97</v>
      </c>
      <c r="E1178">
        <v>5</v>
      </c>
      <c r="F1178">
        <v>135</v>
      </c>
      <c r="G1178">
        <v>1107</v>
      </c>
      <c r="H1178">
        <v>305</v>
      </c>
      <c r="I1178">
        <v>269</v>
      </c>
      <c r="J1178">
        <v>40</v>
      </c>
      <c r="K1178">
        <v>0.496</v>
      </c>
      <c r="L1178">
        <v>0</v>
      </c>
      <c r="M1178">
        <v>0.41</v>
      </c>
      <c r="N1178">
        <v>0.9</v>
      </c>
      <c r="O1178">
        <v>3.7999999999999999E-2</v>
      </c>
      <c r="P1178">
        <v>2007</v>
      </c>
      <c r="Q1178">
        <v>8.1999999999999993</v>
      </c>
      <c r="R1178">
        <v>2.2999999999999998</v>
      </c>
      <c r="S1178">
        <v>2</v>
      </c>
      <c r="T1178">
        <v>0.3</v>
      </c>
      <c r="U1178">
        <v>2</v>
      </c>
      <c r="V1178">
        <v>8</v>
      </c>
      <c r="W1178">
        <f>IF(nba_draft[[#This Row],[years_played]]&gt;5,1,0)</f>
        <v>0</v>
      </c>
    </row>
    <row r="1179" spans="1:23" x14ac:dyDescent="0.25">
      <c r="A1179">
        <v>54</v>
      </c>
      <c r="B1179" t="s">
        <v>28</v>
      </c>
      <c r="C1179" t="s">
        <v>624</v>
      </c>
      <c r="D1179" t="s">
        <v>609</v>
      </c>
      <c r="E1179">
        <v>4</v>
      </c>
      <c r="F1179">
        <v>103</v>
      </c>
      <c r="G1179">
        <v>1233</v>
      </c>
      <c r="H1179">
        <v>301</v>
      </c>
      <c r="I1179">
        <v>228</v>
      </c>
      <c r="J1179">
        <v>54</v>
      </c>
      <c r="K1179">
        <v>0.40899999999999997</v>
      </c>
      <c r="L1179">
        <v>0.2</v>
      </c>
      <c r="M1179">
        <v>0.79100000000000004</v>
      </c>
      <c r="N1179">
        <v>2.1</v>
      </c>
      <c r="O1179">
        <v>0.08</v>
      </c>
      <c r="P1179">
        <v>1998</v>
      </c>
      <c r="Q1179">
        <v>12</v>
      </c>
      <c r="R1179">
        <v>2.9</v>
      </c>
      <c r="S1179">
        <v>2.2000000000000002</v>
      </c>
      <c r="T1179">
        <v>0.5</v>
      </c>
      <c r="U1179">
        <v>2</v>
      </c>
      <c r="V1179">
        <v>25</v>
      </c>
      <c r="W1179">
        <f>IF(nba_draft[[#This Row],[years_played]]&gt;5,1,0)</f>
        <v>0</v>
      </c>
    </row>
    <row r="1180" spans="1:23" x14ac:dyDescent="0.25">
      <c r="A1180">
        <v>38</v>
      </c>
      <c r="B1180" t="s">
        <v>28</v>
      </c>
      <c r="C1180" t="s">
        <v>1367</v>
      </c>
      <c r="D1180" t="s">
        <v>588</v>
      </c>
      <c r="E1180">
        <v>3</v>
      </c>
      <c r="F1180">
        <v>69</v>
      </c>
      <c r="G1180">
        <v>934</v>
      </c>
      <c r="H1180">
        <v>295</v>
      </c>
      <c r="I1180">
        <v>169</v>
      </c>
      <c r="J1180">
        <v>37</v>
      </c>
      <c r="K1180">
        <v>0.35</v>
      </c>
      <c r="L1180">
        <v>0.29199999999999998</v>
      </c>
      <c r="M1180">
        <v>0.70599999999999996</v>
      </c>
      <c r="N1180">
        <v>-0.1</v>
      </c>
      <c r="O1180">
        <v>-3.0000000000000001E-3</v>
      </c>
      <c r="P1180">
        <v>2012</v>
      </c>
      <c r="Q1180">
        <v>13.5</v>
      </c>
      <c r="R1180">
        <v>4.3</v>
      </c>
      <c r="S1180">
        <v>2.4</v>
      </c>
      <c r="T1180">
        <v>0.5</v>
      </c>
      <c r="U1180">
        <v>2</v>
      </c>
      <c r="V1180">
        <v>8</v>
      </c>
      <c r="W1180">
        <f>IF(nba_draft[[#This Row],[years_played]]&gt;5,1,0)</f>
        <v>0</v>
      </c>
    </row>
    <row r="1181" spans="1:23" x14ac:dyDescent="0.25">
      <c r="A1181">
        <v>38</v>
      </c>
      <c r="B1181" t="s">
        <v>88</v>
      </c>
      <c r="C1181" t="s">
        <v>1533</v>
      </c>
      <c r="D1181" t="s">
        <v>458</v>
      </c>
      <c r="E1181">
        <v>3</v>
      </c>
      <c r="F1181">
        <v>91</v>
      </c>
      <c r="G1181">
        <v>859</v>
      </c>
      <c r="H1181">
        <v>295</v>
      </c>
      <c r="I1181">
        <v>85</v>
      </c>
      <c r="J1181">
        <v>71</v>
      </c>
      <c r="K1181">
        <v>0.377</v>
      </c>
      <c r="L1181">
        <v>0.30399999999999999</v>
      </c>
      <c r="M1181">
        <v>0.747</v>
      </c>
      <c r="N1181">
        <v>0.3</v>
      </c>
      <c r="O1181">
        <v>1.6E-2</v>
      </c>
      <c r="P1181">
        <v>2015</v>
      </c>
      <c r="Q1181">
        <v>9.4</v>
      </c>
      <c r="R1181">
        <v>3.2</v>
      </c>
      <c r="S1181">
        <v>0.9</v>
      </c>
      <c r="T1181">
        <v>0.8</v>
      </c>
      <c r="U1181">
        <v>2</v>
      </c>
      <c r="V1181">
        <v>8</v>
      </c>
      <c r="W1181">
        <f>IF(nba_draft[[#This Row],[years_played]]&gt;5,1,0)</f>
        <v>0</v>
      </c>
    </row>
    <row r="1182" spans="1:23" x14ac:dyDescent="0.25">
      <c r="A1182">
        <v>18</v>
      </c>
      <c r="B1182" t="s">
        <v>149</v>
      </c>
      <c r="C1182" t="s">
        <v>1789</v>
      </c>
      <c r="D1182" t="s">
        <v>117</v>
      </c>
      <c r="E1182">
        <v>2</v>
      </c>
      <c r="F1182">
        <v>83</v>
      </c>
      <c r="G1182">
        <v>1078</v>
      </c>
      <c r="H1182">
        <v>294</v>
      </c>
      <c r="I1182">
        <v>173</v>
      </c>
      <c r="J1182">
        <v>86</v>
      </c>
      <c r="K1182">
        <v>0.48399999999999999</v>
      </c>
      <c r="L1182">
        <v>0.25</v>
      </c>
      <c r="M1182">
        <v>0.65500000000000003</v>
      </c>
      <c r="N1182">
        <v>2.2999999999999998</v>
      </c>
      <c r="O1182">
        <v>0.10100000000000001</v>
      </c>
      <c r="P1182">
        <v>2020</v>
      </c>
      <c r="Q1182">
        <v>13</v>
      </c>
      <c r="R1182">
        <v>3.5</v>
      </c>
      <c r="S1182">
        <v>2.1</v>
      </c>
      <c r="T1182">
        <v>1</v>
      </c>
      <c r="U1182">
        <v>1</v>
      </c>
      <c r="V1182">
        <v>18</v>
      </c>
      <c r="W1182">
        <f>IF(nba_draft[[#This Row],[years_played]]&gt;5,1,0)</f>
        <v>0</v>
      </c>
    </row>
    <row r="1183" spans="1:23" x14ac:dyDescent="0.25">
      <c r="A1183">
        <v>39</v>
      </c>
      <c r="B1183" t="s">
        <v>138</v>
      </c>
      <c r="C1183" t="s">
        <v>432</v>
      </c>
      <c r="D1183" t="s">
        <v>79</v>
      </c>
      <c r="E1183">
        <v>5</v>
      </c>
      <c r="F1183">
        <v>119</v>
      </c>
      <c r="G1183">
        <v>919</v>
      </c>
      <c r="H1183">
        <v>293</v>
      </c>
      <c r="I1183">
        <v>121</v>
      </c>
      <c r="J1183">
        <v>36</v>
      </c>
      <c r="K1183">
        <v>0.32100000000000001</v>
      </c>
      <c r="L1183">
        <v>0.33600000000000002</v>
      </c>
      <c r="M1183">
        <v>0.68100000000000005</v>
      </c>
      <c r="N1183">
        <v>0.9</v>
      </c>
      <c r="O1183">
        <v>4.4999999999999998E-2</v>
      </c>
      <c r="P1183">
        <v>1995</v>
      </c>
      <c r="Q1183">
        <v>7.7</v>
      </c>
      <c r="R1183">
        <v>2.5</v>
      </c>
      <c r="S1183">
        <v>1</v>
      </c>
      <c r="T1183">
        <v>0.3</v>
      </c>
      <c r="U1183">
        <v>2</v>
      </c>
      <c r="V1183">
        <v>10</v>
      </c>
      <c r="W1183">
        <f>IF(nba_draft[[#This Row],[years_played]]&gt;5,1,0)</f>
        <v>0</v>
      </c>
    </row>
    <row r="1184" spans="1:23" x14ac:dyDescent="0.25">
      <c r="A1184">
        <v>52</v>
      </c>
      <c r="B1184" t="s">
        <v>37</v>
      </c>
      <c r="C1184" t="s">
        <v>1439</v>
      </c>
      <c r="D1184" t="s">
        <v>184</v>
      </c>
      <c r="E1184">
        <v>5</v>
      </c>
      <c r="F1184">
        <v>103</v>
      </c>
      <c r="G1184">
        <v>1185</v>
      </c>
      <c r="H1184">
        <v>293</v>
      </c>
      <c r="I1184">
        <v>151</v>
      </c>
      <c r="J1184">
        <v>183</v>
      </c>
      <c r="K1184">
        <v>0.36399999999999999</v>
      </c>
      <c r="L1184">
        <v>0.17</v>
      </c>
      <c r="M1184">
        <v>0.70699999999999996</v>
      </c>
      <c r="N1184">
        <v>-0.2</v>
      </c>
      <c r="O1184">
        <v>-7.0000000000000001E-3</v>
      </c>
      <c r="P1184">
        <v>2013</v>
      </c>
      <c r="Q1184">
        <v>11.5</v>
      </c>
      <c r="R1184">
        <v>2.8</v>
      </c>
      <c r="S1184">
        <v>1.5</v>
      </c>
      <c r="T1184">
        <v>1.8</v>
      </c>
      <c r="U1184">
        <v>2</v>
      </c>
      <c r="V1184">
        <v>22</v>
      </c>
      <c r="W1184">
        <f>IF(nba_draft[[#This Row],[years_played]]&gt;5,1,0)</f>
        <v>0</v>
      </c>
    </row>
    <row r="1185" spans="1:23" x14ac:dyDescent="0.25">
      <c r="A1185">
        <v>10</v>
      </c>
      <c r="B1185" t="s">
        <v>863</v>
      </c>
      <c r="C1185" t="s">
        <v>1841</v>
      </c>
      <c r="D1185" t="s">
        <v>226</v>
      </c>
      <c r="E1185">
        <v>1</v>
      </c>
      <c r="F1185">
        <v>40</v>
      </c>
      <c r="G1185">
        <v>861</v>
      </c>
      <c r="H1185">
        <v>291</v>
      </c>
      <c r="I1185">
        <v>71</v>
      </c>
      <c r="J1185">
        <v>35</v>
      </c>
      <c r="K1185">
        <v>0.441</v>
      </c>
      <c r="L1185">
        <v>0.28399999999999997</v>
      </c>
      <c r="M1185">
        <v>0.76</v>
      </c>
      <c r="N1185">
        <v>1</v>
      </c>
      <c r="O1185">
        <v>5.7000000000000002E-2</v>
      </c>
      <c r="P1185">
        <v>2021</v>
      </c>
      <c r="Q1185">
        <v>21.5</v>
      </c>
      <c r="R1185">
        <v>7.3</v>
      </c>
      <c r="S1185">
        <v>1.8</v>
      </c>
      <c r="T1185">
        <v>0.9</v>
      </c>
      <c r="U1185">
        <v>1</v>
      </c>
      <c r="V1185">
        <v>10</v>
      </c>
      <c r="W1185">
        <f>IF(nba_draft[[#This Row],[years_played]]&gt;5,1,0)</f>
        <v>0</v>
      </c>
    </row>
    <row r="1186" spans="1:23" x14ac:dyDescent="0.25">
      <c r="A1186">
        <v>26</v>
      </c>
      <c r="B1186" t="s">
        <v>88</v>
      </c>
      <c r="C1186" t="s">
        <v>89</v>
      </c>
      <c r="D1186" t="s">
        <v>60</v>
      </c>
      <c r="E1186">
        <v>3</v>
      </c>
      <c r="F1186">
        <v>142</v>
      </c>
      <c r="G1186">
        <v>1045</v>
      </c>
      <c r="H1186">
        <v>289</v>
      </c>
      <c r="I1186">
        <v>110</v>
      </c>
      <c r="J1186">
        <v>117</v>
      </c>
      <c r="K1186">
        <v>0.436</v>
      </c>
      <c r="L1186">
        <v>0.253</v>
      </c>
      <c r="M1186">
        <v>0.66700000000000004</v>
      </c>
      <c r="N1186">
        <v>0.7</v>
      </c>
      <c r="O1186">
        <v>3.1E-2</v>
      </c>
      <c r="P1186">
        <v>1990</v>
      </c>
      <c r="Q1186">
        <v>7.4</v>
      </c>
      <c r="R1186">
        <v>2</v>
      </c>
      <c r="S1186">
        <v>0.8</v>
      </c>
      <c r="T1186">
        <v>0.8</v>
      </c>
      <c r="U1186">
        <v>1</v>
      </c>
      <c r="V1186">
        <v>26</v>
      </c>
      <c r="W1186">
        <f>IF(nba_draft[[#This Row],[years_played]]&gt;5,1,0)</f>
        <v>0</v>
      </c>
    </row>
    <row r="1187" spans="1:23" x14ac:dyDescent="0.25">
      <c r="A1187">
        <v>55</v>
      </c>
      <c r="B1187" t="s">
        <v>85</v>
      </c>
      <c r="C1187" t="s">
        <v>1158</v>
      </c>
      <c r="D1187" t="s">
        <v>168</v>
      </c>
      <c r="E1187">
        <v>1</v>
      </c>
      <c r="F1187">
        <v>51</v>
      </c>
      <c r="G1187">
        <v>771</v>
      </c>
      <c r="H1187">
        <v>289</v>
      </c>
      <c r="I1187">
        <v>87</v>
      </c>
      <c r="J1187">
        <v>106</v>
      </c>
      <c r="K1187">
        <v>0.41199999999999998</v>
      </c>
      <c r="L1187">
        <v>0.32500000000000001</v>
      </c>
      <c r="M1187">
        <v>0.69099999999999995</v>
      </c>
      <c r="N1187">
        <v>-0.4</v>
      </c>
      <c r="O1187">
        <v>-2.8000000000000001E-2</v>
      </c>
      <c r="P1187">
        <v>2008</v>
      </c>
      <c r="Q1187">
        <v>15.1</v>
      </c>
      <c r="R1187">
        <v>5.7</v>
      </c>
      <c r="S1187">
        <v>1.7</v>
      </c>
      <c r="T1187">
        <v>2.1</v>
      </c>
      <c r="U1187">
        <v>2</v>
      </c>
      <c r="V1187">
        <v>25</v>
      </c>
      <c r="W1187">
        <f>IF(nba_draft[[#This Row],[years_played]]&gt;5,1,0)</f>
        <v>0</v>
      </c>
    </row>
    <row r="1188" spans="1:23" x14ac:dyDescent="0.25">
      <c r="A1188">
        <v>37</v>
      </c>
      <c r="B1188" t="s">
        <v>37</v>
      </c>
      <c r="C1188" t="s">
        <v>1041</v>
      </c>
      <c r="D1188" t="s">
        <v>325</v>
      </c>
      <c r="E1188">
        <v>2</v>
      </c>
      <c r="F1188">
        <v>91</v>
      </c>
      <c r="G1188">
        <v>867</v>
      </c>
      <c r="H1188">
        <v>288</v>
      </c>
      <c r="I1188">
        <v>149</v>
      </c>
      <c r="J1188">
        <v>44</v>
      </c>
      <c r="K1188">
        <v>0.442</v>
      </c>
      <c r="L1188">
        <v>0.30599999999999999</v>
      </c>
      <c r="M1188">
        <v>0.68500000000000005</v>
      </c>
      <c r="N1188">
        <v>1.1000000000000001</v>
      </c>
      <c r="O1188">
        <v>0.06</v>
      </c>
      <c r="P1188">
        <v>2006</v>
      </c>
      <c r="Q1188">
        <v>9.5</v>
      </c>
      <c r="R1188">
        <v>3.2</v>
      </c>
      <c r="S1188">
        <v>1.6</v>
      </c>
      <c r="T1188">
        <v>0.5</v>
      </c>
      <c r="U1188">
        <v>2</v>
      </c>
      <c r="V1188">
        <v>7</v>
      </c>
      <c r="W1188">
        <f>IF(nba_draft[[#This Row],[years_played]]&gt;5,1,0)</f>
        <v>0</v>
      </c>
    </row>
    <row r="1189" spans="1:23" x14ac:dyDescent="0.25">
      <c r="A1189">
        <v>19</v>
      </c>
      <c r="B1189" t="s">
        <v>138</v>
      </c>
      <c r="C1189" t="s">
        <v>1406</v>
      </c>
      <c r="D1189" t="s">
        <v>97</v>
      </c>
      <c r="E1189">
        <v>3</v>
      </c>
      <c r="F1189">
        <v>95</v>
      </c>
      <c r="G1189">
        <v>1110</v>
      </c>
      <c r="H1189">
        <v>287</v>
      </c>
      <c r="I1189">
        <v>140</v>
      </c>
      <c r="J1189">
        <v>87</v>
      </c>
      <c r="K1189">
        <v>0.39500000000000002</v>
      </c>
      <c r="L1189">
        <v>0.28199999999999997</v>
      </c>
      <c r="M1189">
        <v>0.84199999999999997</v>
      </c>
      <c r="N1189">
        <v>0.8</v>
      </c>
      <c r="O1189">
        <v>3.5999999999999997E-2</v>
      </c>
      <c r="P1189">
        <v>2013</v>
      </c>
      <c r="Q1189">
        <v>11.7</v>
      </c>
      <c r="R1189">
        <v>3</v>
      </c>
      <c r="S1189">
        <v>1.5</v>
      </c>
      <c r="T1189">
        <v>0.9</v>
      </c>
      <c r="U1189">
        <v>1</v>
      </c>
      <c r="V1189">
        <v>19</v>
      </c>
      <c r="W1189">
        <f>IF(nba_draft[[#This Row],[years_played]]&gt;5,1,0)</f>
        <v>0</v>
      </c>
    </row>
    <row r="1190" spans="1:23" x14ac:dyDescent="0.25">
      <c r="A1190">
        <v>58</v>
      </c>
      <c r="B1190" t="s">
        <v>95</v>
      </c>
      <c r="C1190" t="s">
        <v>628</v>
      </c>
      <c r="D1190" t="s">
        <v>51</v>
      </c>
      <c r="E1190">
        <v>4</v>
      </c>
      <c r="F1190">
        <v>105</v>
      </c>
      <c r="G1190">
        <v>831</v>
      </c>
      <c r="H1190">
        <v>286</v>
      </c>
      <c r="I1190">
        <v>175</v>
      </c>
      <c r="J1190">
        <v>26</v>
      </c>
      <c r="K1190">
        <v>0.61599999999999999</v>
      </c>
      <c r="L1190">
        <v>0.375</v>
      </c>
      <c r="M1190">
        <v>0.74</v>
      </c>
      <c r="N1190">
        <v>2.2999999999999998</v>
      </c>
      <c r="O1190">
        <v>0.13400000000000001</v>
      </c>
      <c r="P1190">
        <v>1998</v>
      </c>
      <c r="Q1190">
        <v>7.9</v>
      </c>
      <c r="R1190">
        <v>2.7</v>
      </c>
      <c r="S1190">
        <v>1.7</v>
      </c>
      <c r="T1190">
        <v>0.2</v>
      </c>
      <c r="U1190">
        <v>2</v>
      </c>
      <c r="V1190">
        <v>29</v>
      </c>
      <c r="W1190">
        <f>IF(nba_draft[[#This Row],[years_played]]&gt;5,1,0)</f>
        <v>0</v>
      </c>
    </row>
    <row r="1191" spans="1:23" x14ac:dyDescent="0.25">
      <c r="A1191">
        <v>35</v>
      </c>
      <c r="B1191" t="s">
        <v>395</v>
      </c>
      <c r="C1191" t="s">
        <v>428</v>
      </c>
      <c r="D1191" t="s">
        <v>51</v>
      </c>
      <c r="E1191">
        <v>2</v>
      </c>
      <c r="F1191">
        <v>64</v>
      </c>
      <c r="G1191">
        <v>890</v>
      </c>
      <c r="H1191">
        <v>285</v>
      </c>
      <c r="I1191">
        <v>112</v>
      </c>
      <c r="J1191">
        <v>90</v>
      </c>
      <c r="K1191">
        <v>0.42899999999999999</v>
      </c>
      <c r="L1191">
        <v>0.14699999999999999</v>
      </c>
      <c r="M1191">
        <v>0.69099999999999995</v>
      </c>
      <c r="N1191">
        <v>0</v>
      </c>
      <c r="O1191">
        <v>1E-3</v>
      </c>
      <c r="P1191">
        <v>1995</v>
      </c>
      <c r="Q1191">
        <v>13.9</v>
      </c>
      <c r="R1191">
        <v>4.5</v>
      </c>
      <c r="S1191">
        <v>1.8</v>
      </c>
      <c r="T1191">
        <v>1.4</v>
      </c>
      <c r="U1191">
        <v>2</v>
      </c>
      <c r="V1191">
        <v>6</v>
      </c>
      <c r="W1191">
        <f>IF(nba_draft[[#This Row],[years_played]]&gt;5,1,0)</f>
        <v>0</v>
      </c>
    </row>
    <row r="1192" spans="1:23" x14ac:dyDescent="0.25">
      <c r="A1192">
        <v>52</v>
      </c>
      <c r="B1192" t="s">
        <v>127</v>
      </c>
      <c r="C1192" t="s">
        <v>501</v>
      </c>
      <c r="D1192" t="s">
        <v>282</v>
      </c>
      <c r="E1192">
        <v>6</v>
      </c>
      <c r="F1192">
        <v>153</v>
      </c>
      <c r="G1192">
        <v>1634</v>
      </c>
      <c r="H1192">
        <v>285</v>
      </c>
      <c r="I1192">
        <v>261</v>
      </c>
      <c r="J1192">
        <v>63</v>
      </c>
      <c r="K1192">
        <v>0.40100000000000002</v>
      </c>
      <c r="L1192">
        <v>0.17899999999999999</v>
      </c>
      <c r="M1192">
        <v>0.57299999999999995</v>
      </c>
      <c r="N1192">
        <v>1.3</v>
      </c>
      <c r="O1192">
        <v>3.7999999999999999E-2</v>
      </c>
      <c r="P1192">
        <v>1996</v>
      </c>
      <c r="Q1192">
        <v>10.7</v>
      </c>
      <c r="R1192">
        <v>1.9</v>
      </c>
      <c r="S1192">
        <v>1.7</v>
      </c>
      <c r="T1192">
        <v>0.4</v>
      </c>
      <c r="U1192">
        <v>2</v>
      </c>
      <c r="V1192">
        <v>23</v>
      </c>
      <c r="W1192">
        <f>IF(nba_draft[[#This Row],[years_played]]&gt;5,1,0)</f>
        <v>1</v>
      </c>
    </row>
    <row r="1193" spans="1:23" x14ac:dyDescent="0.25">
      <c r="A1193">
        <v>31</v>
      </c>
      <c r="B1193" t="s">
        <v>95</v>
      </c>
      <c r="C1193" t="s">
        <v>928</v>
      </c>
      <c r="D1193" t="s">
        <v>168</v>
      </c>
      <c r="E1193">
        <v>2</v>
      </c>
      <c r="F1193">
        <v>87</v>
      </c>
      <c r="G1193">
        <v>1111</v>
      </c>
      <c r="H1193">
        <v>285</v>
      </c>
      <c r="I1193">
        <v>261</v>
      </c>
      <c r="J1193">
        <v>51</v>
      </c>
      <c r="K1193">
        <v>0.40799999999999997</v>
      </c>
      <c r="L1193">
        <v>0</v>
      </c>
      <c r="M1193">
        <v>0.57999999999999996</v>
      </c>
      <c r="N1193">
        <v>0</v>
      </c>
      <c r="O1193">
        <v>1E-3</v>
      </c>
      <c r="P1193">
        <v>2004</v>
      </c>
      <c r="Q1193">
        <v>12.8</v>
      </c>
      <c r="R1193">
        <v>3.3</v>
      </c>
      <c r="S1193">
        <v>3</v>
      </c>
      <c r="T1193">
        <v>0.6</v>
      </c>
      <c r="U1193">
        <v>2</v>
      </c>
      <c r="V1193">
        <v>2</v>
      </c>
      <c r="W1193">
        <f>IF(nba_draft[[#This Row],[years_played]]&gt;5,1,0)</f>
        <v>0</v>
      </c>
    </row>
    <row r="1194" spans="1:23" x14ac:dyDescent="0.25">
      <c r="A1194">
        <v>26</v>
      </c>
      <c r="B1194" t="s">
        <v>90</v>
      </c>
      <c r="C1194" t="s">
        <v>592</v>
      </c>
      <c r="D1194" t="s">
        <v>48</v>
      </c>
      <c r="E1194">
        <v>3</v>
      </c>
      <c r="F1194">
        <v>68</v>
      </c>
      <c r="G1194">
        <v>752</v>
      </c>
      <c r="H1194">
        <v>283</v>
      </c>
      <c r="I1194">
        <v>80</v>
      </c>
      <c r="J1194">
        <v>36</v>
      </c>
      <c r="K1194">
        <v>0.51100000000000001</v>
      </c>
      <c r="L1194">
        <v>0.36</v>
      </c>
      <c r="M1194">
        <v>0.73899999999999999</v>
      </c>
      <c r="N1194">
        <v>1.1000000000000001</v>
      </c>
      <c r="O1194">
        <v>7.0999999999999994E-2</v>
      </c>
      <c r="P1194">
        <v>1998</v>
      </c>
      <c r="Q1194">
        <v>11.1</v>
      </c>
      <c r="R1194">
        <v>4.2</v>
      </c>
      <c r="S1194">
        <v>1.2</v>
      </c>
      <c r="T1194">
        <v>0.5</v>
      </c>
      <c r="U1194">
        <v>1</v>
      </c>
      <c r="V1194">
        <v>26</v>
      </c>
      <c r="W1194">
        <f>IF(nba_draft[[#This Row],[years_played]]&gt;5,1,0)</f>
        <v>0</v>
      </c>
    </row>
    <row r="1195" spans="1:23" x14ac:dyDescent="0.25">
      <c r="A1195">
        <v>8</v>
      </c>
      <c r="B1195" t="s">
        <v>63</v>
      </c>
      <c r="C1195" t="s">
        <v>1114</v>
      </c>
      <c r="D1195" t="s">
        <v>1115</v>
      </c>
      <c r="E1195">
        <v>2</v>
      </c>
      <c r="F1195">
        <v>67</v>
      </c>
      <c r="G1195">
        <v>745</v>
      </c>
      <c r="H1195">
        <v>282</v>
      </c>
      <c r="I1195">
        <v>120</v>
      </c>
      <c r="J1195">
        <v>44</v>
      </c>
      <c r="K1195">
        <v>0.41</v>
      </c>
      <c r="L1195">
        <v>0.34</v>
      </c>
      <c r="M1195">
        <v>0.69799999999999995</v>
      </c>
      <c r="N1195">
        <v>0.5</v>
      </c>
      <c r="O1195">
        <v>0.03</v>
      </c>
      <c r="P1195">
        <v>2008</v>
      </c>
      <c r="Q1195">
        <v>11.1</v>
      </c>
      <c r="R1195">
        <v>4.2</v>
      </c>
      <c r="S1195">
        <v>1.8</v>
      </c>
      <c r="T1195">
        <v>0.7</v>
      </c>
      <c r="U1195">
        <v>1</v>
      </c>
      <c r="V1195">
        <v>8</v>
      </c>
      <c r="W1195">
        <f>IF(nba_draft[[#This Row],[years_played]]&gt;5,1,0)</f>
        <v>0</v>
      </c>
    </row>
    <row r="1196" spans="1:23" x14ac:dyDescent="0.25">
      <c r="A1196">
        <v>27</v>
      </c>
      <c r="B1196" t="s">
        <v>90</v>
      </c>
      <c r="C1196" t="s">
        <v>818</v>
      </c>
      <c r="D1196" t="s">
        <v>609</v>
      </c>
      <c r="E1196">
        <v>2</v>
      </c>
      <c r="F1196">
        <v>72</v>
      </c>
      <c r="G1196">
        <v>861</v>
      </c>
      <c r="H1196">
        <v>281</v>
      </c>
      <c r="I1196">
        <v>88</v>
      </c>
      <c r="J1196">
        <v>29</v>
      </c>
      <c r="K1196">
        <v>0.38300000000000001</v>
      </c>
      <c r="L1196">
        <v>0.36499999999999999</v>
      </c>
      <c r="M1196">
        <v>0.66700000000000004</v>
      </c>
      <c r="N1196">
        <v>-0.5</v>
      </c>
      <c r="O1196">
        <v>-0.03</v>
      </c>
      <c r="P1196">
        <v>2002</v>
      </c>
      <c r="Q1196">
        <v>12</v>
      </c>
      <c r="R1196">
        <v>3.9</v>
      </c>
      <c r="S1196">
        <v>1.2</v>
      </c>
      <c r="T1196">
        <v>0.4</v>
      </c>
      <c r="U1196">
        <v>1</v>
      </c>
      <c r="V1196">
        <v>27</v>
      </c>
      <c r="W1196">
        <f>IF(nba_draft[[#This Row],[years_played]]&gt;5,1,0)</f>
        <v>0</v>
      </c>
    </row>
    <row r="1197" spans="1:23" x14ac:dyDescent="0.25">
      <c r="A1197">
        <v>35</v>
      </c>
      <c r="B1197" t="s">
        <v>88</v>
      </c>
      <c r="C1197" t="s">
        <v>1198</v>
      </c>
      <c r="D1197" t="s">
        <v>146</v>
      </c>
      <c r="E1197">
        <v>4</v>
      </c>
      <c r="F1197">
        <v>83</v>
      </c>
      <c r="G1197">
        <v>820</v>
      </c>
      <c r="H1197">
        <v>278</v>
      </c>
      <c r="I1197">
        <v>82</v>
      </c>
      <c r="J1197">
        <v>29</v>
      </c>
      <c r="K1197">
        <v>0.38400000000000001</v>
      </c>
      <c r="L1197">
        <v>0.36699999999999999</v>
      </c>
      <c r="M1197">
        <v>0.64200000000000002</v>
      </c>
      <c r="N1197">
        <v>-0.1</v>
      </c>
      <c r="O1197">
        <v>-8.0000000000000002E-3</v>
      </c>
      <c r="P1197">
        <v>2009</v>
      </c>
      <c r="Q1197">
        <v>9.9</v>
      </c>
      <c r="R1197">
        <v>3.3</v>
      </c>
      <c r="S1197">
        <v>1</v>
      </c>
      <c r="T1197">
        <v>0.3</v>
      </c>
      <c r="U1197">
        <v>2</v>
      </c>
      <c r="V1197">
        <v>5</v>
      </c>
      <c r="W1197">
        <f>IF(nba_draft[[#This Row],[years_played]]&gt;5,1,0)</f>
        <v>0</v>
      </c>
    </row>
    <row r="1198" spans="1:23" x14ac:dyDescent="0.25">
      <c r="A1198">
        <v>22</v>
      </c>
      <c r="B1198" t="s">
        <v>43</v>
      </c>
      <c r="C1198" t="s">
        <v>176</v>
      </c>
      <c r="D1198" t="s">
        <v>24</v>
      </c>
      <c r="E1198">
        <v>3</v>
      </c>
      <c r="F1198">
        <v>91</v>
      </c>
      <c r="G1198">
        <v>857</v>
      </c>
      <c r="H1198">
        <v>277</v>
      </c>
      <c r="I1198">
        <v>220</v>
      </c>
      <c r="J1198">
        <v>29</v>
      </c>
      <c r="K1198">
        <v>0.433</v>
      </c>
      <c r="L1198">
        <v>0</v>
      </c>
      <c r="M1198">
        <v>0.61299999999999999</v>
      </c>
      <c r="N1198">
        <v>1.2</v>
      </c>
      <c r="O1198">
        <v>6.9000000000000006E-2</v>
      </c>
      <c r="P1198">
        <v>1991</v>
      </c>
      <c r="Q1198">
        <v>9.4</v>
      </c>
      <c r="R1198">
        <v>3</v>
      </c>
      <c r="S1198">
        <v>2.4</v>
      </c>
      <c r="T1198">
        <v>0.3</v>
      </c>
      <c r="U1198">
        <v>1</v>
      </c>
      <c r="V1198">
        <v>22</v>
      </c>
      <c r="W1198">
        <f>IF(nba_draft[[#This Row],[years_played]]&gt;5,1,0)</f>
        <v>0</v>
      </c>
    </row>
    <row r="1199" spans="1:23" x14ac:dyDescent="0.25">
      <c r="A1199">
        <v>21</v>
      </c>
      <c r="B1199" t="s">
        <v>85</v>
      </c>
      <c r="C1199" t="s">
        <v>1289</v>
      </c>
      <c r="D1199" t="s">
        <v>87</v>
      </c>
      <c r="E1199">
        <v>2</v>
      </c>
      <c r="F1199">
        <v>84</v>
      </c>
      <c r="G1199">
        <v>829</v>
      </c>
      <c r="H1199">
        <v>277</v>
      </c>
      <c r="I1199">
        <v>83</v>
      </c>
      <c r="J1199">
        <v>97</v>
      </c>
      <c r="K1199">
        <v>0.371</v>
      </c>
      <c r="L1199">
        <v>0.26</v>
      </c>
      <c r="M1199">
        <v>0.71399999999999997</v>
      </c>
      <c r="N1199">
        <v>-0.8</v>
      </c>
      <c r="O1199">
        <v>-4.7E-2</v>
      </c>
      <c r="P1199">
        <v>2011</v>
      </c>
      <c r="Q1199">
        <v>9.9</v>
      </c>
      <c r="R1199">
        <v>3.3</v>
      </c>
      <c r="S1199">
        <v>1</v>
      </c>
      <c r="T1199">
        <v>1.2</v>
      </c>
      <c r="U1199">
        <v>1</v>
      </c>
      <c r="V1199">
        <v>21</v>
      </c>
      <c r="W1199">
        <f>IF(nba_draft[[#This Row],[years_played]]&gt;5,1,0)</f>
        <v>0</v>
      </c>
    </row>
    <row r="1200" spans="1:23" x14ac:dyDescent="0.25">
      <c r="A1200">
        <v>10</v>
      </c>
      <c r="B1200" t="s">
        <v>75</v>
      </c>
      <c r="C1200" t="s">
        <v>1781</v>
      </c>
      <c r="D1200" t="s">
        <v>67</v>
      </c>
      <c r="E1200">
        <v>2</v>
      </c>
      <c r="F1200">
        <v>60</v>
      </c>
      <c r="G1200">
        <v>622</v>
      </c>
      <c r="H1200">
        <v>276</v>
      </c>
      <c r="I1200">
        <v>201</v>
      </c>
      <c r="J1200">
        <v>14</v>
      </c>
      <c r="K1200">
        <v>0.47499999999999998</v>
      </c>
      <c r="L1200">
        <v>0.27500000000000002</v>
      </c>
      <c r="M1200">
        <v>0.754</v>
      </c>
      <c r="N1200">
        <v>1.5</v>
      </c>
      <c r="O1200">
        <v>0.11899999999999999</v>
      </c>
      <c r="P1200">
        <v>2020</v>
      </c>
      <c r="Q1200">
        <v>10.4</v>
      </c>
      <c r="R1200">
        <v>4.5999999999999996</v>
      </c>
      <c r="S1200">
        <v>3.4</v>
      </c>
      <c r="T1200">
        <v>0.2</v>
      </c>
      <c r="U1200">
        <v>1</v>
      </c>
      <c r="V1200">
        <v>10</v>
      </c>
      <c r="W1200">
        <f>IF(nba_draft[[#This Row],[years_played]]&gt;5,1,0)</f>
        <v>0</v>
      </c>
    </row>
    <row r="1201" spans="1:23" x14ac:dyDescent="0.25">
      <c r="A1201">
        <v>38</v>
      </c>
      <c r="B1201" t="s">
        <v>63</v>
      </c>
      <c r="C1201" t="s">
        <v>548</v>
      </c>
      <c r="D1201" t="s">
        <v>549</v>
      </c>
      <c r="E1201">
        <v>2</v>
      </c>
      <c r="F1201">
        <v>54</v>
      </c>
      <c r="G1201">
        <v>632</v>
      </c>
      <c r="H1201">
        <v>275</v>
      </c>
      <c r="I1201">
        <v>105</v>
      </c>
      <c r="J1201">
        <v>36</v>
      </c>
      <c r="K1201">
        <v>0.39100000000000001</v>
      </c>
      <c r="L1201">
        <v>0.36199999999999999</v>
      </c>
      <c r="M1201">
        <v>0.63200000000000001</v>
      </c>
      <c r="N1201">
        <v>0.3</v>
      </c>
      <c r="O1201">
        <v>0.02</v>
      </c>
      <c r="P1201">
        <v>1997</v>
      </c>
      <c r="Q1201">
        <v>11.7</v>
      </c>
      <c r="R1201">
        <v>5.0999999999999996</v>
      </c>
      <c r="S1201">
        <v>1.9</v>
      </c>
      <c r="T1201">
        <v>0.7</v>
      </c>
      <c r="U1201">
        <v>2</v>
      </c>
      <c r="V1201">
        <v>10</v>
      </c>
      <c r="W1201">
        <f>IF(nba_draft[[#This Row],[years_played]]&gt;5,1,0)</f>
        <v>0</v>
      </c>
    </row>
    <row r="1202" spans="1:23" x14ac:dyDescent="0.25">
      <c r="A1202">
        <v>51</v>
      </c>
      <c r="B1202" t="s">
        <v>393</v>
      </c>
      <c r="C1202" t="s">
        <v>1878</v>
      </c>
      <c r="D1202" t="s">
        <v>282</v>
      </c>
      <c r="E1202">
        <v>1</v>
      </c>
      <c r="F1202">
        <v>41</v>
      </c>
      <c r="G1202">
        <v>621</v>
      </c>
      <c r="H1202">
        <v>274</v>
      </c>
      <c r="I1202">
        <v>94</v>
      </c>
      <c r="J1202">
        <v>36</v>
      </c>
      <c r="K1202">
        <v>0.371</v>
      </c>
      <c r="L1202">
        <v>0.29799999999999999</v>
      </c>
      <c r="M1202">
        <v>0.84699999999999998</v>
      </c>
      <c r="N1202">
        <v>0.2</v>
      </c>
      <c r="O1202">
        <v>1.9E-2</v>
      </c>
      <c r="P1202">
        <v>2021</v>
      </c>
      <c r="Q1202">
        <v>15.1</v>
      </c>
      <c r="R1202">
        <v>6.7</v>
      </c>
      <c r="S1202">
        <v>2.2999999999999998</v>
      </c>
      <c r="T1202">
        <v>0.9</v>
      </c>
      <c r="U1202">
        <v>2</v>
      </c>
      <c r="V1202">
        <v>21</v>
      </c>
      <c r="W1202">
        <f>IF(nba_draft[[#This Row],[years_played]]&gt;5,1,0)</f>
        <v>0</v>
      </c>
    </row>
    <row r="1203" spans="1:23" x14ac:dyDescent="0.25">
      <c r="A1203">
        <v>27</v>
      </c>
      <c r="B1203" t="s">
        <v>75</v>
      </c>
      <c r="C1203" t="s">
        <v>419</v>
      </c>
      <c r="D1203" t="s">
        <v>208</v>
      </c>
      <c r="E1203">
        <v>4</v>
      </c>
      <c r="F1203">
        <v>68</v>
      </c>
      <c r="G1203">
        <v>606</v>
      </c>
      <c r="H1203">
        <v>269</v>
      </c>
      <c r="I1203">
        <v>182</v>
      </c>
      <c r="J1203">
        <v>24</v>
      </c>
      <c r="K1203">
        <v>0.53400000000000003</v>
      </c>
      <c r="L1203">
        <v>0.33300000000000002</v>
      </c>
      <c r="M1203">
        <v>0.51100000000000001</v>
      </c>
      <c r="N1203">
        <v>1.9</v>
      </c>
      <c r="O1203">
        <v>0.153</v>
      </c>
      <c r="P1203">
        <v>1995</v>
      </c>
      <c r="Q1203">
        <v>8.9</v>
      </c>
      <c r="R1203">
        <v>4</v>
      </c>
      <c r="S1203">
        <v>2.7</v>
      </c>
      <c r="T1203">
        <v>0.4</v>
      </c>
      <c r="U1203">
        <v>1</v>
      </c>
      <c r="V1203">
        <v>27</v>
      </c>
      <c r="W1203">
        <f>IF(nba_draft[[#This Row],[years_played]]&gt;5,1,0)</f>
        <v>0</v>
      </c>
    </row>
    <row r="1204" spans="1:23" x14ac:dyDescent="0.25">
      <c r="A1204">
        <v>58</v>
      </c>
      <c r="B1204" t="s">
        <v>70</v>
      </c>
      <c r="C1204" t="s">
        <v>1215</v>
      </c>
      <c r="D1204" t="s">
        <v>1216</v>
      </c>
      <c r="E1204">
        <v>4</v>
      </c>
      <c r="F1204">
        <v>57</v>
      </c>
      <c r="G1204">
        <v>594</v>
      </c>
      <c r="H1204">
        <v>268</v>
      </c>
      <c r="I1204">
        <v>77</v>
      </c>
      <c r="J1204">
        <v>71</v>
      </c>
      <c r="K1204">
        <v>0.375</v>
      </c>
      <c r="L1204">
        <v>0.27700000000000002</v>
      </c>
      <c r="M1204">
        <v>0.80600000000000005</v>
      </c>
      <c r="N1204">
        <v>0.2</v>
      </c>
      <c r="O1204">
        <v>1.6E-2</v>
      </c>
      <c r="P1204">
        <v>2009</v>
      </c>
      <c r="Q1204">
        <v>10.4</v>
      </c>
      <c r="R1204">
        <v>4.7</v>
      </c>
      <c r="S1204">
        <v>1.4</v>
      </c>
      <c r="T1204">
        <v>1.2</v>
      </c>
      <c r="U1204">
        <v>2</v>
      </c>
      <c r="V1204">
        <v>28</v>
      </c>
      <c r="W1204">
        <f>IF(nba_draft[[#This Row],[years_played]]&gt;5,1,0)</f>
        <v>0</v>
      </c>
    </row>
    <row r="1205" spans="1:23" x14ac:dyDescent="0.25">
      <c r="A1205">
        <v>51</v>
      </c>
      <c r="B1205" t="s">
        <v>90</v>
      </c>
      <c r="C1205" t="s">
        <v>561</v>
      </c>
      <c r="D1205" t="s">
        <v>39</v>
      </c>
      <c r="E1205">
        <v>2</v>
      </c>
      <c r="F1205">
        <v>80</v>
      </c>
      <c r="G1205">
        <v>740</v>
      </c>
      <c r="H1205">
        <v>265</v>
      </c>
      <c r="I1205">
        <v>56</v>
      </c>
      <c r="J1205">
        <v>127</v>
      </c>
      <c r="K1205">
        <v>0.38300000000000001</v>
      </c>
      <c r="L1205">
        <v>0.39</v>
      </c>
      <c r="M1205">
        <v>0.7</v>
      </c>
      <c r="N1205">
        <v>0.5</v>
      </c>
      <c r="O1205">
        <v>3.4000000000000002E-2</v>
      </c>
      <c r="P1205">
        <v>1997</v>
      </c>
      <c r="Q1205">
        <v>9.3000000000000007</v>
      </c>
      <c r="R1205">
        <v>3.3</v>
      </c>
      <c r="S1205">
        <v>0.7</v>
      </c>
      <c r="T1205">
        <v>1.6</v>
      </c>
      <c r="U1205">
        <v>2</v>
      </c>
      <c r="V1205">
        <v>23</v>
      </c>
      <c r="W1205">
        <f>IF(nba_draft[[#This Row],[years_played]]&gt;5,1,0)</f>
        <v>0</v>
      </c>
    </row>
    <row r="1206" spans="1:23" x14ac:dyDescent="0.25">
      <c r="A1206">
        <v>45</v>
      </c>
      <c r="B1206" t="s">
        <v>863</v>
      </c>
      <c r="C1206" t="s">
        <v>1316</v>
      </c>
      <c r="D1206" t="s">
        <v>282</v>
      </c>
      <c r="E1206">
        <v>3</v>
      </c>
      <c r="F1206">
        <v>75</v>
      </c>
      <c r="G1206">
        <v>888</v>
      </c>
      <c r="H1206">
        <v>265</v>
      </c>
      <c r="I1206">
        <v>227</v>
      </c>
      <c r="J1206">
        <v>26</v>
      </c>
      <c r="K1206">
        <v>0.438</v>
      </c>
      <c r="L1206">
        <v>0.34699999999999998</v>
      </c>
      <c r="M1206">
        <v>0.629</v>
      </c>
      <c r="N1206">
        <v>2.1</v>
      </c>
      <c r="O1206">
        <v>0.11600000000000001</v>
      </c>
      <c r="P1206">
        <v>2011</v>
      </c>
      <c r="Q1206">
        <v>11.8</v>
      </c>
      <c r="R1206">
        <v>3.5</v>
      </c>
      <c r="S1206">
        <v>3</v>
      </c>
      <c r="T1206">
        <v>0.3</v>
      </c>
      <c r="U1206">
        <v>2</v>
      </c>
      <c r="V1206">
        <v>15</v>
      </c>
      <c r="W1206">
        <f>IF(nba_draft[[#This Row],[years_played]]&gt;5,1,0)</f>
        <v>0</v>
      </c>
    </row>
    <row r="1207" spans="1:23" x14ac:dyDescent="0.25">
      <c r="A1207">
        <v>26</v>
      </c>
      <c r="B1207" t="s">
        <v>28</v>
      </c>
      <c r="C1207" t="s">
        <v>710</v>
      </c>
      <c r="D1207" t="s">
        <v>362</v>
      </c>
      <c r="E1207">
        <v>5</v>
      </c>
      <c r="F1207">
        <v>69</v>
      </c>
      <c r="G1207">
        <v>858</v>
      </c>
      <c r="H1207">
        <v>262</v>
      </c>
      <c r="I1207">
        <v>225</v>
      </c>
      <c r="J1207">
        <v>8</v>
      </c>
      <c r="K1207">
        <v>0.42699999999999999</v>
      </c>
      <c r="L1207">
        <v>0</v>
      </c>
      <c r="M1207">
        <v>0.73599999999999999</v>
      </c>
      <c r="N1207">
        <v>1.8</v>
      </c>
      <c r="O1207">
        <v>0.10100000000000001</v>
      </c>
      <c r="P1207">
        <v>2000</v>
      </c>
      <c r="Q1207">
        <v>12.4</v>
      </c>
      <c r="R1207">
        <v>3.8</v>
      </c>
      <c r="S1207">
        <v>3.3</v>
      </c>
      <c r="T1207">
        <v>0.1</v>
      </c>
      <c r="U1207">
        <v>1</v>
      </c>
      <c r="V1207">
        <v>26</v>
      </c>
      <c r="W1207">
        <f>IF(nba_draft[[#This Row],[years_played]]&gt;5,1,0)</f>
        <v>0</v>
      </c>
    </row>
    <row r="1208" spans="1:23" x14ac:dyDescent="0.25">
      <c r="A1208">
        <v>60</v>
      </c>
      <c r="B1208" t="s">
        <v>70</v>
      </c>
      <c r="C1208" t="s">
        <v>1161</v>
      </c>
      <c r="D1208" t="s">
        <v>97</v>
      </c>
      <c r="E1208">
        <v>2</v>
      </c>
      <c r="F1208">
        <v>69</v>
      </c>
      <c r="G1208">
        <v>928</v>
      </c>
      <c r="H1208">
        <v>262</v>
      </c>
      <c r="I1208">
        <v>190</v>
      </c>
      <c r="J1208">
        <v>29</v>
      </c>
      <c r="K1208">
        <v>0.54600000000000004</v>
      </c>
      <c r="L1208">
        <v>0</v>
      </c>
      <c r="M1208">
        <v>0.59399999999999997</v>
      </c>
      <c r="N1208">
        <v>1.8</v>
      </c>
      <c r="O1208">
        <v>9.4E-2</v>
      </c>
      <c r="P1208">
        <v>2008</v>
      </c>
      <c r="Q1208">
        <v>13.4</v>
      </c>
      <c r="R1208">
        <v>3.8</v>
      </c>
      <c r="S1208">
        <v>2.8</v>
      </c>
      <c r="T1208">
        <v>0.4</v>
      </c>
      <c r="U1208">
        <v>2</v>
      </c>
      <c r="V1208">
        <v>30</v>
      </c>
      <c r="W1208">
        <f>IF(nba_draft[[#This Row],[years_played]]&gt;5,1,0)</f>
        <v>0</v>
      </c>
    </row>
    <row r="1209" spans="1:23" x14ac:dyDescent="0.25">
      <c r="A1209">
        <v>18</v>
      </c>
      <c r="B1209" t="s">
        <v>31</v>
      </c>
      <c r="C1209" t="s">
        <v>808</v>
      </c>
      <c r="D1209" t="s">
        <v>226</v>
      </c>
      <c r="E1209">
        <v>2</v>
      </c>
      <c r="F1209">
        <v>83</v>
      </c>
      <c r="G1209">
        <v>1117</v>
      </c>
      <c r="H1209">
        <v>258</v>
      </c>
      <c r="I1209">
        <v>278</v>
      </c>
      <c r="J1209">
        <v>64</v>
      </c>
      <c r="K1209">
        <v>0.42099999999999999</v>
      </c>
      <c r="L1209">
        <v>0</v>
      </c>
      <c r="M1209">
        <v>0.74199999999999999</v>
      </c>
      <c r="N1209">
        <v>1</v>
      </c>
      <c r="O1209">
        <v>4.1000000000000002E-2</v>
      </c>
      <c r="P1209">
        <v>2002</v>
      </c>
      <c r="Q1209">
        <v>13.5</v>
      </c>
      <c r="R1209">
        <v>3.1</v>
      </c>
      <c r="S1209">
        <v>3.3</v>
      </c>
      <c r="T1209">
        <v>0.8</v>
      </c>
      <c r="U1209">
        <v>1</v>
      </c>
      <c r="V1209">
        <v>18</v>
      </c>
      <c r="W1209">
        <f>IF(nba_draft[[#This Row],[years_played]]&gt;5,1,0)</f>
        <v>0</v>
      </c>
    </row>
    <row r="1210" spans="1:23" x14ac:dyDescent="0.25">
      <c r="A1210">
        <v>22</v>
      </c>
      <c r="B1210" t="s">
        <v>85</v>
      </c>
      <c r="C1210" t="s">
        <v>1185</v>
      </c>
      <c r="D1210" t="s">
        <v>97</v>
      </c>
      <c r="E1210">
        <v>3</v>
      </c>
      <c r="F1210">
        <v>80</v>
      </c>
      <c r="G1210">
        <v>1072</v>
      </c>
      <c r="H1210">
        <v>258</v>
      </c>
      <c r="I1210">
        <v>178</v>
      </c>
      <c r="J1210">
        <v>56</v>
      </c>
      <c r="K1210">
        <v>0.39800000000000002</v>
      </c>
      <c r="L1210">
        <v>0.29299999999999998</v>
      </c>
      <c r="M1210">
        <v>0.58499999999999996</v>
      </c>
      <c r="N1210">
        <v>0.2</v>
      </c>
      <c r="O1210">
        <v>1.0999999999999999E-2</v>
      </c>
      <c r="P1210">
        <v>2009</v>
      </c>
      <c r="Q1210">
        <v>13.4</v>
      </c>
      <c r="R1210">
        <v>3.2</v>
      </c>
      <c r="S1210">
        <v>2.2000000000000002</v>
      </c>
      <c r="T1210">
        <v>0.7</v>
      </c>
      <c r="U1210">
        <v>1</v>
      </c>
      <c r="V1210">
        <v>22</v>
      </c>
      <c r="W1210">
        <f>IF(nba_draft[[#This Row],[years_played]]&gt;5,1,0)</f>
        <v>0</v>
      </c>
    </row>
    <row r="1211" spans="1:23" x14ac:dyDescent="0.25">
      <c r="A1211">
        <v>53</v>
      </c>
      <c r="B1211" t="s">
        <v>70</v>
      </c>
      <c r="C1211" t="s">
        <v>1647</v>
      </c>
      <c r="D1211" t="s">
        <v>117</v>
      </c>
      <c r="E1211">
        <v>3</v>
      </c>
      <c r="F1211">
        <v>47</v>
      </c>
      <c r="G1211">
        <v>640</v>
      </c>
      <c r="H1211">
        <v>258</v>
      </c>
      <c r="I1211">
        <v>71</v>
      </c>
      <c r="J1211">
        <v>109</v>
      </c>
      <c r="K1211">
        <v>0.435</v>
      </c>
      <c r="L1211">
        <v>0.34899999999999998</v>
      </c>
      <c r="M1211">
        <v>0.75700000000000001</v>
      </c>
      <c r="N1211">
        <v>1</v>
      </c>
      <c r="O1211">
        <v>7.4999999999999997E-2</v>
      </c>
      <c r="P1211">
        <v>2017</v>
      </c>
      <c r="Q1211">
        <v>13.6</v>
      </c>
      <c r="R1211">
        <v>5.5</v>
      </c>
      <c r="S1211">
        <v>1.5</v>
      </c>
      <c r="T1211">
        <v>2.2999999999999998</v>
      </c>
      <c r="U1211">
        <v>2</v>
      </c>
      <c r="V1211">
        <v>23</v>
      </c>
      <c r="W1211">
        <f>IF(nba_draft[[#This Row],[years_played]]&gt;5,1,0)</f>
        <v>0</v>
      </c>
    </row>
    <row r="1212" spans="1:23" x14ac:dyDescent="0.25">
      <c r="A1212">
        <v>17</v>
      </c>
      <c r="B1212" t="s">
        <v>31</v>
      </c>
      <c r="C1212" t="s">
        <v>525</v>
      </c>
      <c r="D1212" t="s">
        <v>526</v>
      </c>
      <c r="E1212">
        <v>3</v>
      </c>
      <c r="F1212">
        <v>54</v>
      </c>
      <c r="G1212">
        <v>866</v>
      </c>
      <c r="H1212">
        <v>256</v>
      </c>
      <c r="I1212">
        <v>120</v>
      </c>
      <c r="J1212">
        <v>26</v>
      </c>
      <c r="K1212">
        <v>0.40200000000000002</v>
      </c>
      <c r="L1212">
        <v>0.39400000000000002</v>
      </c>
      <c r="M1212">
        <v>0.71799999999999997</v>
      </c>
      <c r="N1212">
        <v>0.1</v>
      </c>
      <c r="O1212">
        <v>7.0000000000000001E-3</v>
      </c>
      <c r="P1212">
        <v>1997</v>
      </c>
      <c r="Q1212">
        <v>16</v>
      </c>
      <c r="R1212">
        <v>4.7</v>
      </c>
      <c r="S1212">
        <v>2.2000000000000002</v>
      </c>
      <c r="T1212">
        <v>0.5</v>
      </c>
      <c r="U1212">
        <v>1</v>
      </c>
      <c r="V1212">
        <v>17</v>
      </c>
      <c r="W1212">
        <f>IF(nba_draft[[#This Row],[years_played]]&gt;5,1,0)</f>
        <v>0</v>
      </c>
    </row>
    <row r="1213" spans="1:23" x14ac:dyDescent="0.25">
      <c r="A1213">
        <v>28</v>
      </c>
      <c r="B1213" t="s">
        <v>49</v>
      </c>
      <c r="C1213" t="s">
        <v>482</v>
      </c>
      <c r="D1213" t="s">
        <v>483</v>
      </c>
      <c r="E1213">
        <v>2</v>
      </c>
      <c r="F1213">
        <v>74</v>
      </c>
      <c r="G1213">
        <v>525</v>
      </c>
      <c r="H1213">
        <v>255</v>
      </c>
      <c r="I1213">
        <v>143</v>
      </c>
      <c r="J1213">
        <v>33</v>
      </c>
      <c r="K1213">
        <v>0.47199999999999998</v>
      </c>
      <c r="L1213">
        <v>0</v>
      </c>
      <c r="M1213">
        <v>0.55400000000000005</v>
      </c>
      <c r="N1213">
        <v>-0.8</v>
      </c>
      <c r="O1213">
        <v>-7.3999999999999996E-2</v>
      </c>
      <c r="P1213">
        <v>1996</v>
      </c>
      <c r="Q1213">
        <v>7.1</v>
      </c>
      <c r="R1213">
        <v>3.4</v>
      </c>
      <c r="S1213">
        <v>1.9</v>
      </c>
      <c r="T1213">
        <v>0.4</v>
      </c>
      <c r="U1213">
        <v>1</v>
      </c>
      <c r="V1213">
        <v>28</v>
      </c>
      <c r="W1213">
        <f>IF(nba_draft[[#This Row],[years_played]]&gt;5,1,0)</f>
        <v>0</v>
      </c>
    </row>
    <row r="1214" spans="1:23" x14ac:dyDescent="0.25">
      <c r="A1214">
        <v>26</v>
      </c>
      <c r="B1214" t="s">
        <v>138</v>
      </c>
      <c r="C1214" t="s">
        <v>1737</v>
      </c>
      <c r="D1214" t="s">
        <v>1738</v>
      </c>
      <c r="E1214">
        <v>2</v>
      </c>
      <c r="F1214">
        <v>68</v>
      </c>
      <c r="G1214">
        <v>857</v>
      </c>
      <c r="H1214">
        <v>255</v>
      </c>
      <c r="I1214">
        <v>169</v>
      </c>
      <c r="J1214">
        <v>58</v>
      </c>
      <c r="K1214">
        <v>0.435</v>
      </c>
      <c r="L1214">
        <v>0.35899999999999999</v>
      </c>
      <c r="M1214">
        <v>0.77800000000000002</v>
      </c>
      <c r="N1214">
        <v>1.3</v>
      </c>
      <c r="O1214">
        <v>7.0999999999999994E-2</v>
      </c>
      <c r="P1214">
        <v>2019</v>
      </c>
      <c r="Q1214">
        <v>12.6</v>
      </c>
      <c r="R1214">
        <v>3.8</v>
      </c>
      <c r="S1214">
        <v>2.5</v>
      </c>
      <c r="T1214">
        <v>0.9</v>
      </c>
      <c r="U1214">
        <v>1</v>
      </c>
      <c r="V1214">
        <v>26</v>
      </c>
      <c r="W1214">
        <f>IF(nba_draft[[#This Row],[years_played]]&gt;5,1,0)</f>
        <v>0</v>
      </c>
    </row>
    <row r="1215" spans="1:23" x14ac:dyDescent="0.25">
      <c r="A1215">
        <v>52</v>
      </c>
      <c r="B1215" t="s">
        <v>82</v>
      </c>
      <c r="C1215" t="s">
        <v>621</v>
      </c>
      <c r="D1215" t="s">
        <v>622</v>
      </c>
      <c r="E1215">
        <v>4</v>
      </c>
      <c r="F1215">
        <v>82</v>
      </c>
      <c r="G1215">
        <v>687</v>
      </c>
      <c r="H1215">
        <v>253</v>
      </c>
      <c r="I1215">
        <v>133</v>
      </c>
      <c r="J1215">
        <v>63</v>
      </c>
      <c r="K1215">
        <v>0.372</v>
      </c>
      <c r="L1215">
        <v>0.19</v>
      </c>
      <c r="M1215">
        <v>0.67200000000000004</v>
      </c>
      <c r="N1215">
        <v>0.6</v>
      </c>
      <c r="O1215">
        <v>4.4999999999999998E-2</v>
      </c>
      <c r="P1215">
        <v>1998</v>
      </c>
      <c r="Q1215">
        <v>8.4</v>
      </c>
      <c r="R1215">
        <v>3.1</v>
      </c>
      <c r="S1215">
        <v>1.6</v>
      </c>
      <c r="T1215">
        <v>0.8</v>
      </c>
      <c r="U1215">
        <v>2</v>
      </c>
      <c r="V1215">
        <v>23</v>
      </c>
      <c r="W1215">
        <f>IF(nba_draft[[#This Row],[years_played]]&gt;5,1,0)</f>
        <v>0</v>
      </c>
    </row>
    <row r="1216" spans="1:23" x14ac:dyDescent="0.25">
      <c r="A1216">
        <v>25</v>
      </c>
      <c r="B1216" t="s">
        <v>28</v>
      </c>
      <c r="C1216" t="s">
        <v>816</v>
      </c>
      <c r="D1216" t="s">
        <v>36</v>
      </c>
      <c r="E1216">
        <v>3</v>
      </c>
      <c r="F1216">
        <v>86</v>
      </c>
      <c r="G1216">
        <v>952</v>
      </c>
      <c r="H1216">
        <v>253</v>
      </c>
      <c r="I1216">
        <v>77</v>
      </c>
      <c r="J1216">
        <v>166</v>
      </c>
      <c r="K1216">
        <v>0.35199999999999998</v>
      </c>
      <c r="L1216">
        <v>0.3</v>
      </c>
      <c r="M1216">
        <v>0.83299999999999996</v>
      </c>
      <c r="N1216">
        <v>0.1</v>
      </c>
      <c r="O1216">
        <v>3.0000000000000001E-3</v>
      </c>
      <c r="P1216">
        <v>2002</v>
      </c>
      <c r="Q1216">
        <v>11.1</v>
      </c>
      <c r="R1216">
        <v>2.9</v>
      </c>
      <c r="S1216">
        <v>0.9</v>
      </c>
      <c r="T1216">
        <v>1.9</v>
      </c>
      <c r="U1216">
        <v>1</v>
      </c>
      <c r="V1216">
        <v>25</v>
      </c>
      <c r="W1216">
        <f>IF(nba_draft[[#This Row],[years_played]]&gt;5,1,0)</f>
        <v>0</v>
      </c>
    </row>
    <row r="1217" spans="1:23" x14ac:dyDescent="0.25">
      <c r="A1217">
        <v>52</v>
      </c>
      <c r="B1217" t="s">
        <v>70</v>
      </c>
      <c r="C1217" t="s">
        <v>1262</v>
      </c>
      <c r="D1217" t="s">
        <v>218</v>
      </c>
      <c r="E1217">
        <v>2</v>
      </c>
      <c r="F1217">
        <v>70</v>
      </c>
      <c r="G1217">
        <v>871</v>
      </c>
      <c r="H1217">
        <v>253</v>
      </c>
      <c r="I1217">
        <v>196</v>
      </c>
      <c r="J1217">
        <v>36</v>
      </c>
      <c r="K1217">
        <v>0.376</v>
      </c>
      <c r="L1217">
        <v>0.24099999999999999</v>
      </c>
      <c r="M1217">
        <v>0.73699999999999999</v>
      </c>
      <c r="N1217">
        <v>0.9</v>
      </c>
      <c r="O1217">
        <v>4.8000000000000001E-2</v>
      </c>
      <c r="P1217">
        <v>2010</v>
      </c>
      <c r="Q1217">
        <v>12.4</v>
      </c>
      <c r="R1217">
        <v>3.6</v>
      </c>
      <c r="S1217">
        <v>2.8</v>
      </c>
      <c r="T1217">
        <v>0.5</v>
      </c>
      <c r="U1217">
        <v>2</v>
      </c>
      <c r="V1217">
        <v>22</v>
      </c>
      <c r="W1217">
        <f>IF(nba_draft[[#This Row],[years_played]]&gt;5,1,0)</f>
        <v>0</v>
      </c>
    </row>
    <row r="1218" spans="1:23" x14ac:dyDescent="0.25">
      <c r="A1218">
        <v>25</v>
      </c>
      <c r="B1218" t="s">
        <v>43</v>
      </c>
      <c r="C1218" t="s">
        <v>1856</v>
      </c>
      <c r="D1218" t="s">
        <v>99</v>
      </c>
      <c r="E1218">
        <v>1</v>
      </c>
      <c r="F1218">
        <v>39</v>
      </c>
      <c r="G1218">
        <v>696</v>
      </c>
      <c r="H1218">
        <v>253</v>
      </c>
      <c r="I1218">
        <v>77</v>
      </c>
      <c r="J1218">
        <v>38</v>
      </c>
      <c r="K1218">
        <v>0.42099999999999999</v>
      </c>
      <c r="L1218">
        <v>0.39800000000000002</v>
      </c>
      <c r="M1218">
        <v>0.64700000000000002</v>
      </c>
      <c r="N1218">
        <v>1.3</v>
      </c>
      <c r="O1218">
        <v>9.0999999999999998E-2</v>
      </c>
      <c r="P1218">
        <v>2021</v>
      </c>
      <c r="Q1218">
        <v>17.8</v>
      </c>
      <c r="R1218">
        <v>6.5</v>
      </c>
      <c r="S1218">
        <v>2</v>
      </c>
      <c r="T1218">
        <v>1</v>
      </c>
      <c r="U1218">
        <v>1</v>
      </c>
      <c r="V1218">
        <v>25</v>
      </c>
      <c r="W1218">
        <f>IF(nba_draft[[#This Row],[years_played]]&gt;5,1,0)</f>
        <v>0</v>
      </c>
    </row>
    <row r="1219" spans="1:23" x14ac:dyDescent="0.25">
      <c r="A1219">
        <v>10</v>
      </c>
      <c r="B1219" t="s">
        <v>138</v>
      </c>
      <c r="C1219" t="s">
        <v>905</v>
      </c>
      <c r="D1219" t="s">
        <v>158</v>
      </c>
      <c r="E1219">
        <v>4</v>
      </c>
      <c r="F1219">
        <v>73</v>
      </c>
      <c r="G1219">
        <v>724</v>
      </c>
      <c r="H1219">
        <v>252</v>
      </c>
      <c r="I1219">
        <v>89</v>
      </c>
      <c r="J1219">
        <v>58</v>
      </c>
      <c r="K1219">
        <v>0.35699999999999998</v>
      </c>
      <c r="L1219">
        <v>0.36</v>
      </c>
      <c r="M1219">
        <v>0.73199999999999998</v>
      </c>
      <c r="N1219">
        <v>0.2</v>
      </c>
      <c r="O1219">
        <v>0.01</v>
      </c>
      <c r="P1219">
        <v>2004</v>
      </c>
      <c r="Q1219">
        <v>9.9</v>
      </c>
      <c r="R1219">
        <v>3.5</v>
      </c>
      <c r="S1219">
        <v>1.2</v>
      </c>
      <c r="T1219">
        <v>0.8</v>
      </c>
      <c r="U1219">
        <v>1</v>
      </c>
      <c r="V1219">
        <v>10</v>
      </c>
      <c r="W1219">
        <f>IF(nba_draft[[#This Row],[years_played]]&gt;5,1,0)</f>
        <v>0</v>
      </c>
    </row>
    <row r="1220" spans="1:23" x14ac:dyDescent="0.25">
      <c r="A1220">
        <v>24</v>
      </c>
      <c r="B1220" t="s">
        <v>95</v>
      </c>
      <c r="C1220" t="s">
        <v>708</v>
      </c>
      <c r="D1220" t="s">
        <v>97</v>
      </c>
      <c r="E1220">
        <v>3</v>
      </c>
      <c r="F1220">
        <v>95</v>
      </c>
      <c r="G1220">
        <v>973</v>
      </c>
      <c r="H1220">
        <v>251</v>
      </c>
      <c r="I1220">
        <v>238</v>
      </c>
      <c r="J1220">
        <v>37</v>
      </c>
      <c r="K1220">
        <v>0.36099999999999999</v>
      </c>
      <c r="L1220">
        <v>0</v>
      </c>
      <c r="M1220">
        <v>0.55900000000000005</v>
      </c>
      <c r="N1220">
        <v>-0.9</v>
      </c>
      <c r="O1220">
        <v>-4.2999999999999997E-2</v>
      </c>
      <c r="P1220">
        <v>2000</v>
      </c>
      <c r="Q1220">
        <v>10.199999999999999</v>
      </c>
      <c r="R1220">
        <v>2.6</v>
      </c>
      <c r="S1220">
        <v>2.5</v>
      </c>
      <c r="T1220">
        <v>0.4</v>
      </c>
      <c r="U1220">
        <v>1</v>
      </c>
      <c r="V1220">
        <v>24</v>
      </c>
      <c r="W1220">
        <f>IF(nba_draft[[#This Row],[years_played]]&gt;5,1,0)</f>
        <v>0</v>
      </c>
    </row>
    <row r="1221" spans="1:23" x14ac:dyDescent="0.25">
      <c r="A1221">
        <v>48</v>
      </c>
      <c r="B1221" t="s">
        <v>65</v>
      </c>
      <c r="C1221" t="s">
        <v>1377</v>
      </c>
      <c r="D1221" t="s">
        <v>97</v>
      </c>
      <c r="E1221">
        <v>2</v>
      </c>
      <c r="F1221">
        <v>69</v>
      </c>
      <c r="G1221">
        <v>1089</v>
      </c>
      <c r="H1221">
        <v>249</v>
      </c>
      <c r="I1221">
        <v>158</v>
      </c>
      <c r="J1221">
        <v>101</v>
      </c>
      <c r="K1221">
        <v>0.35399999999999998</v>
      </c>
      <c r="L1221">
        <v>0.29699999999999999</v>
      </c>
      <c r="M1221">
        <v>0.68799999999999994</v>
      </c>
      <c r="N1221">
        <v>0.3</v>
      </c>
      <c r="O1221">
        <v>1.4999999999999999E-2</v>
      </c>
      <c r="P1221">
        <v>2012</v>
      </c>
      <c r="Q1221">
        <v>15.8</v>
      </c>
      <c r="R1221">
        <v>3.6</v>
      </c>
      <c r="S1221">
        <v>2.2999999999999998</v>
      </c>
      <c r="T1221">
        <v>1.5</v>
      </c>
      <c r="U1221">
        <v>2</v>
      </c>
      <c r="V1221">
        <v>18</v>
      </c>
      <c r="W1221">
        <f>IF(nba_draft[[#This Row],[years_played]]&gt;5,1,0)</f>
        <v>0</v>
      </c>
    </row>
    <row r="1222" spans="1:23" x14ac:dyDescent="0.25">
      <c r="A1222">
        <v>25</v>
      </c>
      <c r="B1222" t="s">
        <v>393</v>
      </c>
      <c r="C1222" t="s">
        <v>1242</v>
      </c>
      <c r="D1222" t="s">
        <v>1037</v>
      </c>
      <c r="E1222">
        <v>3</v>
      </c>
      <c r="F1222">
        <v>80</v>
      </c>
      <c r="G1222">
        <v>741</v>
      </c>
      <c r="H1222">
        <v>246</v>
      </c>
      <c r="I1222">
        <v>114</v>
      </c>
      <c r="J1222">
        <v>144</v>
      </c>
      <c r="K1222">
        <v>0.36599999999999999</v>
      </c>
      <c r="L1222">
        <v>9.5000000000000001E-2</v>
      </c>
      <c r="M1222">
        <v>0.72899999999999998</v>
      </c>
      <c r="N1222">
        <v>0.3</v>
      </c>
      <c r="O1222">
        <v>1.7000000000000001E-2</v>
      </c>
      <c r="P1222">
        <v>2010</v>
      </c>
      <c r="Q1222">
        <v>9.3000000000000007</v>
      </c>
      <c r="R1222">
        <v>3.1</v>
      </c>
      <c r="S1222">
        <v>1.4</v>
      </c>
      <c r="T1222">
        <v>1.8</v>
      </c>
      <c r="U1222">
        <v>1</v>
      </c>
      <c r="V1222">
        <v>25</v>
      </c>
      <c r="W1222">
        <f>IF(nba_draft[[#This Row],[years_played]]&gt;5,1,0)</f>
        <v>0</v>
      </c>
    </row>
    <row r="1223" spans="1:23" x14ac:dyDescent="0.25">
      <c r="A1223">
        <v>33</v>
      </c>
      <c r="B1223" t="s">
        <v>102</v>
      </c>
      <c r="C1223" t="s">
        <v>1745</v>
      </c>
      <c r="D1223" t="s">
        <v>119</v>
      </c>
      <c r="E1223">
        <v>2</v>
      </c>
      <c r="F1223">
        <v>68</v>
      </c>
      <c r="G1223">
        <v>627</v>
      </c>
      <c r="H1223">
        <v>244</v>
      </c>
      <c r="I1223">
        <v>73</v>
      </c>
      <c r="J1223">
        <v>38</v>
      </c>
      <c r="K1223">
        <v>0.372</v>
      </c>
      <c r="L1223">
        <v>0.30199999999999999</v>
      </c>
      <c r="M1223">
        <v>0.75</v>
      </c>
      <c r="N1223">
        <v>0.4</v>
      </c>
      <c r="O1223">
        <v>0.03</v>
      </c>
      <c r="P1223">
        <v>2019</v>
      </c>
      <c r="Q1223">
        <v>9.1999999999999993</v>
      </c>
      <c r="R1223">
        <v>3.6</v>
      </c>
      <c r="S1223">
        <v>1.1000000000000001</v>
      </c>
      <c r="T1223">
        <v>0.6</v>
      </c>
      <c r="U1223">
        <v>2</v>
      </c>
      <c r="V1223">
        <v>3</v>
      </c>
      <c r="W1223">
        <f>IF(nba_draft[[#This Row],[years_played]]&gt;5,1,0)</f>
        <v>0</v>
      </c>
    </row>
    <row r="1224" spans="1:23" x14ac:dyDescent="0.25">
      <c r="A1224">
        <v>55</v>
      </c>
      <c r="B1224" t="s">
        <v>25</v>
      </c>
      <c r="C1224" t="s">
        <v>1882</v>
      </c>
      <c r="D1224" t="s">
        <v>67</v>
      </c>
      <c r="E1224">
        <v>1</v>
      </c>
      <c r="F1224">
        <v>34</v>
      </c>
      <c r="G1224">
        <v>762</v>
      </c>
      <c r="H1224">
        <v>243</v>
      </c>
      <c r="I1224">
        <v>115</v>
      </c>
      <c r="J1224">
        <v>38</v>
      </c>
      <c r="K1224">
        <v>0.46400000000000002</v>
      </c>
      <c r="L1224">
        <v>0.307</v>
      </c>
      <c r="M1224">
        <v>0.70599999999999996</v>
      </c>
      <c r="N1224">
        <v>1.2</v>
      </c>
      <c r="O1224">
        <v>7.6999999999999999E-2</v>
      </c>
      <c r="P1224">
        <v>2021</v>
      </c>
      <c r="Q1224">
        <v>22.4</v>
      </c>
      <c r="R1224">
        <v>7.1</v>
      </c>
      <c r="S1224">
        <v>3.4</v>
      </c>
      <c r="T1224">
        <v>1.1000000000000001</v>
      </c>
      <c r="U1224">
        <v>2</v>
      </c>
      <c r="V1224">
        <v>25</v>
      </c>
      <c r="W1224">
        <f>IF(nba_draft[[#This Row],[years_played]]&gt;5,1,0)</f>
        <v>0</v>
      </c>
    </row>
    <row r="1225" spans="1:23" x14ac:dyDescent="0.25">
      <c r="A1225">
        <v>45</v>
      </c>
      <c r="B1225" t="s">
        <v>90</v>
      </c>
      <c r="C1225" t="s">
        <v>616</v>
      </c>
      <c r="D1225" t="s">
        <v>113</v>
      </c>
      <c r="E1225">
        <v>2</v>
      </c>
      <c r="F1225">
        <v>73</v>
      </c>
      <c r="G1225">
        <v>698</v>
      </c>
      <c r="H1225">
        <v>241</v>
      </c>
      <c r="I1225">
        <v>126</v>
      </c>
      <c r="J1225">
        <v>43</v>
      </c>
      <c r="K1225">
        <v>0.40699999999999997</v>
      </c>
      <c r="L1225">
        <v>0.2</v>
      </c>
      <c r="M1225">
        <v>0.69199999999999995</v>
      </c>
      <c r="N1225">
        <v>1</v>
      </c>
      <c r="O1225">
        <v>7.1999999999999995E-2</v>
      </c>
      <c r="P1225">
        <v>1998</v>
      </c>
      <c r="Q1225">
        <v>9.6</v>
      </c>
      <c r="R1225">
        <v>3.3</v>
      </c>
      <c r="S1225">
        <v>1.7</v>
      </c>
      <c r="T1225">
        <v>0.6</v>
      </c>
      <c r="U1225">
        <v>2</v>
      </c>
      <c r="V1225">
        <v>16</v>
      </c>
      <c r="W1225">
        <f>IF(nba_draft[[#This Row],[years_played]]&gt;5,1,0)</f>
        <v>0</v>
      </c>
    </row>
    <row r="1226" spans="1:23" x14ac:dyDescent="0.25">
      <c r="A1226">
        <v>34</v>
      </c>
      <c r="B1226" t="s">
        <v>65</v>
      </c>
      <c r="C1226" t="s">
        <v>1475</v>
      </c>
      <c r="D1226" t="s">
        <v>1476</v>
      </c>
      <c r="E1226">
        <v>2</v>
      </c>
      <c r="F1226">
        <v>56</v>
      </c>
      <c r="G1226">
        <v>801</v>
      </c>
      <c r="H1226">
        <v>241</v>
      </c>
      <c r="I1226">
        <v>123</v>
      </c>
      <c r="J1226">
        <v>42</v>
      </c>
      <c r="K1226">
        <v>0.34599999999999997</v>
      </c>
      <c r="L1226">
        <v>0.26300000000000001</v>
      </c>
      <c r="M1226">
        <v>0.75</v>
      </c>
      <c r="N1226">
        <v>-0.6</v>
      </c>
      <c r="O1226">
        <v>-3.9E-2</v>
      </c>
      <c r="P1226">
        <v>2014</v>
      </c>
      <c r="Q1226">
        <v>14.3</v>
      </c>
      <c r="R1226">
        <v>4.3</v>
      </c>
      <c r="S1226">
        <v>2.2000000000000002</v>
      </c>
      <c r="T1226">
        <v>0.8</v>
      </c>
      <c r="U1226">
        <v>2</v>
      </c>
      <c r="V1226">
        <v>4</v>
      </c>
      <c r="W1226">
        <f>IF(nba_draft[[#This Row],[years_played]]&gt;5,1,0)</f>
        <v>0</v>
      </c>
    </row>
    <row r="1227" spans="1:23" x14ac:dyDescent="0.25">
      <c r="A1227">
        <v>23</v>
      </c>
      <c r="B1227" t="s">
        <v>55</v>
      </c>
      <c r="C1227" t="s">
        <v>764</v>
      </c>
      <c r="D1227" t="s">
        <v>237</v>
      </c>
      <c r="E1227">
        <v>3</v>
      </c>
      <c r="F1227">
        <v>108</v>
      </c>
      <c r="G1227">
        <v>699</v>
      </c>
      <c r="H1227">
        <v>239</v>
      </c>
      <c r="I1227">
        <v>63</v>
      </c>
      <c r="J1227">
        <v>24</v>
      </c>
      <c r="K1227">
        <v>0.35199999999999998</v>
      </c>
      <c r="L1227">
        <v>0.33300000000000002</v>
      </c>
      <c r="M1227">
        <v>0.6</v>
      </c>
      <c r="N1227">
        <v>-0.6</v>
      </c>
      <c r="O1227">
        <v>-3.9E-2</v>
      </c>
      <c r="P1227">
        <v>2001</v>
      </c>
      <c r="Q1227">
        <v>6.5</v>
      </c>
      <c r="R1227">
        <v>2.2000000000000002</v>
      </c>
      <c r="S1227">
        <v>0.6</v>
      </c>
      <c r="T1227">
        <v>0.2</v>
      </c>
      <c r="U1227">
        <v>1</v>
      </c>
      <c r="V1227">
        <v>23</v>
      </c>
      <c r="W1227">
        <f>IF(nba_draft[[#This Row],[years_played]]&gt;5,1,0)</f>
        <v>0</v>
      </c>
    </row>
    <row r="1228" spans="1:23" x14ac:dyDescent="0.25">
      <c r="A1228">
        <v>39</v>
      </c>
      <c r="B1228" t="s">
        <v>102</v>
      </c>
      <c r="C1228" t="s">
        <v>1634</v>
      </c>
      <c r="D1228" t="s">
        <v>206</v>
      </c>
      <c r="E1228">
        <v>2</v>
      </c>
      <c r="F1228">
        <v>56</v>
      </c>
      <c r="G1228">
        <v>843</v>
      </c>
      <c r="H1228">
        <v>237</v>
      </c>
      <c r="I1228">
        <v>96</v>
      </c>
      <c r="J1228">
        <v>110</v>
      </c>
      <c r="K1228">
        <v>0.34499999999999997</v>
      </c>
      <c r="L1228">
        <v>0.26300000000000001</v>
      </c>
      <c r="M1228">
        <v>0.77600000000000002</v>
      </c>
      <c r="N1228">
        <v>-0.4</v>
      </c>
      <c r="O1228">
        <v>-2.1999999999999999E-2</v>
      </c>
      <c r="P1228">
        <v>2017</v>
      </c>
      <c r="Q1228">
        <v>15.1</v>
      </c>
      <c r="R1228">
        <v>4.2</v>
      </c>
      <c r="S1228">
        <v>1.7</v>
      </c>
      <c r="T1228">
        <v>2</v>
      </c>
      <c r="U1228">
        <v>2</v>
      </c>
      <c r="V1228">
        <v>9</v>
      </c>
      <c r="W1228">
        <f>IF(nba_draft[[#This Row],[years_played]]&gt;5,1,0)</f>
        <v>0</v>
      </c>
    </row>
    <row r="1229" spans="1:23" x14ac:dyDescent="0.25">
      <c r="A1229">
        <v>14</v>
      </c>
      <c r="B1229" t="s">
        <v>22</v>
      </c>
      <c r="C1229" t="s">
        <v>349</v>
      </c>
      <c r="D1229" t="s">
        <v>350</v>
      </c>
      <c r="E1229">
        <v>4</v>
      </c>
      <c r="F1229">
        <v>110</v>
      </c>
      <c r="G1229">
        <v>1002</v>
      </c>
      <c r="H1229">
        <v>233</v>
      </c>
      <c r="I1229">
        <v>281</v>
      </c>
      <c r="J1229">
        <v>4</v>
      </c>
      <c r="K1229">
        <v>0.39600000000000002</v>
      </c>
      <c r="L1229">
        <v>0</v>
      </c>
      <c r="M1229">
        <v>0.56999999999999995</v>
      </c>
      <c r="N1229">
        <v>-0.7</v>
      </c>
      <c r="O1229">
        <v>-3.3000000000000002E-2</v>
      </c>
      <c r="P1229">
        <v>1994</v>
      </c>
      <c r="Q1229">
        <v>9.1</v>
      </c>
      <c r="R1229">
        <v>2.1</v>
      </c>
      <c r="S1229">
        <v>2.6</v>
      </c>
      <c r="T1229">
        <v>0</v>
      </c>
      <c r="U1229">
        <v>1</v>
      </c>
      <c r="V1229">
        <v>14</v>
      </c>
      <c r="W1229">
        <f>IF(nba_draft[[#This Row],[years_played]]&gt;5,1,0)</f>
        <v>0</v>
      </c>
    </row>
    <row r="1230" spans="1:23" x14ac:dyDescent="0.25">
      <c r="A1230">
        <v>40</v>
      </c>
      <c r="B1230" t="s">
        <v>40</v>
      </c>
      <c r="C1230" t="s">
        <v>1752</v>
      </c>
      <c r="D1230" t="s">
        <v>408</v>
      </c>
      <c r="E1230">
        <v>2</v>
      </c>
      <c r="F1230">
        <v>72</v>
      </c>
      <c r="G1230">
        <v>542</v>
      </c>
      <c r="H1230">
        <v>228</v>
      </c>
      <c r="I1230">
        <v>62</v>
      </c>
      <c r="J1230">
        <v>40</v>
      </c>
      <c r="K1230">
        <v>0.44600000000000001</v>
      </c>
      <c r="L1230">
        <v>0.34300000000000003</v>
      </c>
      <c r="M1230">
        <v>0.54400000000000004</v>
      </c>
      <c r="N1230">
        <v>0.3</v>
      </c>
      <c r="O1230">
        <v>2.4E-2</v>
      </c>
      <c r="P1230">
        <v>2019</v>
      </c>
      <c r="Q1230">
        <v>7.5</v>
      </c>
      <c r="R1230">
        <v>3.2</v>
      </c>
      <c r="S1230">
        <v>0.9</v>
      </c>
      <c r="T1230">
        <v>0.6</v>
      </c>
      <c r="U1230">
        <v>2</v>
      </c>
      <c r="V1230">
        <v>10</v>
      </c>
      <c r="W1230">
        <f>IF(nba_draft[[#This Row],[years_played]]&gt;5,1,0)</f>
        <v>0</v>
      </c>
    </row>
    <row r="1231" spans="1:23" x14ac:dyDescent="0.25">
      <c r="A1231">
        <v>21</v>
      </c>
      <c r="B1231" t="s">
        <v>25</v>
      </c>
      <c r="C1231" t="s">
        <v>1462</v>
      </c>
      <c r="D1231" t="s">
        <v>51</v>
      </c>
      <c r="E1231">
        <v>2</v>
      </c>
      <c r="F1231">
        <v>52</v>
      </c>
      <c r="G1231">
        <v>557</v>
      </c>
      <c r="H1231">
        <v>227</v>
      </c>
      <c r="I1231">
        <v>183</v>
      </c>
      <c r="J1231">
        <v>17</v>
      </c>
      <c r="K1231">
        <v>0.52700000000000002</v>
      </c>
      <c r="L1231">
        <v>0</v>
      </c>
      <c r="M1231">
        <v>0.57999999999999996</v>
      </c>
      <c r="N1231">
        <v>1.3</v>
      </c>
      <c r="O1231">
        <v>0.108</v>
      </c>
      <c r="P1231">
        <v>2014</v>
      </c>
      <c r="Q1231">
        <v>10.7</v>
      </c>
      <c r="R1231">
        <v>4.4000000000000004</v>
      </c>
      <c r="S1231">
        <v>3.5</v>
      </c>
      <c r="T1231">
        <v>0.3</v>
      </c>
      <c r="U1231">
        <v>1</v>
      </c>
      <c r="V1231">
        <v>21</v>
      </c>
      <c r="W1231">
        <f>IF(nba_draft[[#This Row],[years_played]]&gt;5,1,0)</f>
        <v>0</v>
      </c>
    </row>
    <row r="1232" spans="1:23" x14ac:dyDescent="0.25">
      <c r="A1232">
        <v>33</v>
      </c>
      <c r="B1232" t="s">
        <v>28</v>
      </c>
      <c r="C1232" t="s">
        <v>665</v>
      </c>
      <c r="D1232" t="s">
        <v>609</v>
      </c>
      <c r="E1232">
        <v>2</v>
      </c>
      <c r="F1232">
        <v>70</v>
      </c>
      <c r="G1232">
        <v>1005</v>
      </c>
      <c r="H1232">
        <v>224</v>
      </c>
      <c r="I1232">
        <v>73</v>
      </c>
      <c r="J1232">
        <v>167</v>
      </c>
      <c r="K1232">
        <v>0.33600000000000002</v>
      </c>
      <c r="L1232">
        <v>0.32800000000000001</v>
      </c>
      <c r="M1232">
        <v>0.69199999999999995</v>
      </c>
      <c r="N1232">
        <v>0.5</v>
      </c>
      <c r="O1232">
        <v>2.5000000000000001E-2</v>
      </c>
      <c r="P1232">
        <v>1999</v>
      </c>
      <c r="Q1232">
        <v>14.4</v>
      </c>
      <c r="R1232">
        <v>3.2</v>
      </c>
      <c r="S1232">
        <v>1</v>
      </c>
      <c r="T1232">
        <v>2.4</v>
      </c>
      <c r="U1232">
        <v>2</v>
      </c>
      <c r="V1232">
        <v>4</v>
      </c>
      <c r="W1232">
        <f>IF(nba_draft[[#This Row],[years_played]]&gt;5,1,0)</f>
        <v>0</v>
      </c>
    </row>
    <row r="1233" spans="1:23" x14ac:dyDescent="0.25">
      <c r="A1233">
        <v>43</v>
      </c>
      <c r="B1233" t="s">
        <v>90</v>
      </c>
      <c r="C1233" t="s">
        <v>1258</v>
      </c>
      <c r="D1233" t="s">
        <v>1115</v>
      </c>
      <c r="E1233">
        <v>3</v>
      </c>
      <c r="F1233">
        <v>63</v>
      </c>
      <c r="G1233">
        <v>711</v>
      </c>
      <c r="H1233">
        <v>224</v>
      </c>
      <c r="I1233">
        <v>122</v>
      </c>
      <c r="J1233">
        <v>24</v>
      </c>
      <c r="K1233">
        <v>0.38500000000000001</v>
      </c>
      <c r="L1233">
        <v>0.222</v>
      </c>
      <c r="M1233">
        <v>0.72199999999999998</v>
      </c>
      <c r="N1233">
        <v>0.5</v>
      </c>
      <c r="O1233">
        <v>3.5000000000000003E-2</v>
      </c>
      <c r="P1233">
        <v>2010</v>
      </c>
      <c r="Q1233">
        <v>11.3</v>
      </c>
      <c r="R1233">
        <v>3.6</v>
      </c>
      <c r="S1233">
        <v>1.9</v>
      </c>
      <c r="T1233">
        <v>0.4</v>
      </c>
      <c r="U1233">
        <v>2</v>
      </c>
      <c r="V1233">
        <v>13</v>
      </c>
      <c r="W1233">
        <f>IF(nba_draft[[#This Row],[years_played]]&gt;5,1,0)</f>
        <v>0</v>
      </c>
    </row>
    <row r="1234" spans="1:23" x14ac:dyDescent="0.25">
      <c r="A1234">
        <v>54</v>
      </c>
      <c r="B1234" t="s">
        <v>49</v>
      </c>
      <c r="C1234" t="s">
        <v>1591</v>
      </c>
      <c r="D1234" t="s">
        <v>1320</v>
      </c>
      <c r="E1234">
        <v>2</v>
      </c>
      <c r="F1234">
        <v>58</v>
      </c>
      <c r="G1234">
        <v>526</v>
      </c>
      <c r="H1234">
        <v>223</v>
      </c>
      <c r="I1234">
        <v>59</v>
      </c>
      <c r="J1234">
        <v>78</v>
      </c>
      <c r="K1234">
        <v>0.36399999999999999</v>
      </c>
      <c r="L1234">
        <v>0.26800000000000002</v>
      </c>
      <c r="M1234">
        <v>0.754</v>
      </c>
      <c r="N1234">
        <v>-0.4</v>
      </c>
      <c r="O1234">
        <v>-4.1000000000000002E-2</v>
      </c>
      <c r="P1234">
        <v>2016</v>
      </c>
      <c r="Q1234">
        <v>9.1</v>
      </c>
      <c r="R1234">
        <v>3.8</v>
      </c>
      <c r="S1234">
        <v>1</v>
      </c>
      <c r="T1234">
        <v>1.3</v>
      </c>
      <c r="U1234">
        <v>2</v>
      </c>
      <c r="V1234">
        <v>24</v>
      </c>
      <c r="W1234">
        <f>IF(nba_draft[[#This Row],[years_played]]&gt;5,1,0)</f>
        <v>0</v>
      </c>
    </row>
    <row r="1235" spans="1:23" x14ac:dyDescent="0.25">
      <c r="A1235">
        <v>56</v>
      </c>
      <c r="B1235" t="s">
        <v>70</v>
      </c>
      <c r="C1235" t="s">
        <v>894</v>
      </c>
      <c r="D1235" t="s">
        <v>62</v>
      </c>
      <c r="E1235">
        <v>2</v>
      </c>
      <c r="F1235">
        <v>67</v>
      </c>
      <c r="G1235">
        <v>630</v>
      </c>
      <c r="H1235">
        <v>220</v>
      </c>
      <c r="I1235">
        <v>187</v>
      </c>
      <c r="J1235">
        <v>22</v>
      </c>
      <c r="K1235">
        <v>0.47599999999999998</v>
      </c>
      <c r="L1235">
        <v>0</v>
      </c>
      <c r="M1235">
        <v>0.48799999999999999</v>
      </c>
      <c r="N1235">
        <v>0.7</v>
      </c>
      <c r="O1235">
        <v>5.5E-2</v>
      </c>
      <c r="P1235">
        <v>2003</v>
      </c>
      <c r="Q1235">
        <v>9.4</v>
      </c>
      <c r="R1235">
        <v>3.3</v>
      </c>
      <c r="S1235">
        <v>2.8</v>
      </c>
      <c r="T1235">
        <v>0.3</v>
      </c>
      <c r="U1235">
        <v>2</v>
      </c>
      <c r="V1235">
        <v>27</v>
      </c>
      <c r="W1235">
        <f>IF(nba_draft[[#This Row],[years_played]]&gt;5,1,0)</f>
        <v>0</v>
      </c>
    </row>
    <row r="1236" spans="1:23" x14ac:dyDescent="0.25">
      <c r="A1236">
        <v>47</v>
      </c>
      <c r="B1236" t="s">
        <v>46</v>
      </c>
      <c r="C1236" t="s">
        <v>941</v>
      </c>
      <c r="D1236" t="s">
        <v>133</v>
      </c>
      <c r="E1236">
        <v>3</v>
      </c>
      <c r="F1236">
        <v>76</v>
      </c>
      <c r="G1236">
        <v>879</v>
      </c>
      <c r="H1236">
        <v>219</v>
      </c>
      <c r="I1236">
        <v>214</v>
      </c>
      <c r="J1236">
        <v>12</v>
      </c>
      <c r="K1236">
        <v>0.41599999999999998</v>
      </c>
      <c r="L1236">
        <v>0</v>
      </c>
      <c r="M1236">
        <v>0.67800000000000005</v>
      </c>
      <c r="N1236">
        <v>0.8</v>
      </c>
      <c r="O1236">
        <v>4.3999999999999997E-2</v>
      </c>
      <c r="P1236">
        <v>2004</v>
      </c>
      <c r="Q1236">
        <v>11.6</v>
      </c>
      <c r="R1236">
        <v>2.9</v>
      </c>
      <c r="S1236">
        <v>2.8</v>
      </c>
      <c r="T1236">
        <v>0.2</v>
      </c>
      <c r="U1236">
        <v>2</v>
      </c>
      <c r="V1236">
        <v>18</v>
      </c>
      <c r="W1236">
        <f>IF(nba_draft[[#This Row],[years_played]]&gt;5,1,0)</f>
        <v>0</v>
      </c>
    </row>
    <row r="1237" spans="1:23" x14ac:dyDescent="0.25">
      <c r="A1237">
        <v>17</v>
      </c>
      <c r="B1237" t="s">
        <v>70</v>
      </c>
      <c r="C1237" t="s">
        <v>1458</v>
      </c>
      <c r="D1237" t="s">
        <v>282</v>
      </c>
      <c r="E1237">
        <v>4</v>
      </c>
      <c r="F1237">
        <v>95</v>
      </c>
      <c r="G1237">
        <v>812</v>
      </c>
      <c r="H1237">
        <v>219</v>
      </c>
      <c r="I1237">
        <v>96</v>
      </c>
      <c r="J1237">
        <v>28</v>
      </c>
      <c r="K1237">
        <v>0.36699999999999999</v>
      </c>
      <c r="L1237">
        <v>0.27700000000000002</v>
      </c>
      <c r="M1237">
        <v>0.56299999999999994</v>
      </c>
      <c r="N1237">
        <v>0.8</v>
      </c>
      <c r="O1237">
        <v>4.5999999999999999E-2</v>
      </c>
      <c r="P1237">
        <v>2014</v>
      </c>
      <c r="Q1237">
        <v>8.5</v>
      </c>
      <c r="R1237">
        <v>2.2999999999999998</v>
      </c>
      <c r="S1237">
        <v>1</v>
      </c>
      <c r="T1237">
        <v>0.3</v>
      </c>
      <c r="U1237">
        <v>1</v>
      </c>
      <c r="V1237">
        <v>17</v>
      </c>
      <c r="W1237">
        <f>IF(nba_draft[[#This Row],[years_played]]&gt;5,1,0)</f>
        <v>0</v>
      </c>
    </row>
    <row r="1238" spans="1:23" x14ac:dyDescent="0.25">
      <c r="A1238">
        <v>46</v>
      </c>
      <c r="B1238" t="s">
        <v>85</v>
      </c>
      <c r="C1238" t="s">
        <v>1817</v>
      </c>
      <c r="D1238" t="s">
        <v>487</v>
      </c>
      <c r="E1238">
        <v>2</v>
      </c>
      <c r="F1238">
        <v>65</v>
      </c>
      <c r="G1238">
        <v>722</v>
      </c>
      <c r="H1238">
        <v>219</v>
      </c>
      <c r="I1238">
        <v>135</v>
      </c>
      <c r="J1238">
        <v>49</v>
      </c>
      <c r="K1238">
        <v>0.38800000000000001</v>
      </c>
      <c r="L1238">
        <v>0.26</v>
      </c>
      <c r="M1238">
        <v>0.78</v>
      </c>
      <c r="N1238">
        <v>0.7</v>
      </c>
      <c r="O1238">
        <v>4.4999999999999998E-2</v>
      </c>
      <c r="P1238">
        <v>2020</v>
      </c>
      <c r="Q1238">
        <v>11.1</v>
      </c>
      <c r="R1238">
        <v>3.4</v>
      </c>
      <c r="S1238">
        <v>2.1</v>
      </c>
      <c r="T1238">
        <v>0.8</v>
      </c>
      <c r="U1238">
        <v>2</v>
      </c>
      <c r="V1238">
        <v>16</v>
      </c>
      <c r="W1238">
        <f>IF(nba_draft[[#This Row],[years_played]]&gt;5,1,0)</f>
        <v>0</v>
      </c>
    </row>
    <row r="1239" spans="1:23" x14ac:dyDescent="0.25">
      <c r="A1239">
        <v>34</v>
      </c>
      <c r="B1239" t="s">
        <v>43</v>
      </c>
      <c r="C1239" t="s">
        <v>1038</v>
      </c>
      <c r="D1239" t="s">
        <v>148</v>
      </c>
      <c r="E1239">
        <v>4</v>
      </c>
      <c r="F1239">
        <v>82</v>
      </c>
      <c r="G1239">
        <v>702</v>
      </c>
      <c r="H1239">
        <v>217</v>
      </c>
      <c r="I1239">
        <v>158</v>
      </c>
      <c r="J1239">
        <v>32</v>
      </c>
      <c r="K1239">
        <v>0.40200000000000002</v>
      </c>
      <c r="L1239">
        <v>0</v>
      </c>
      <c r="M1239">
        <v>0.73199999999999998</v>
      </c>
      <c r="N1239">
        <v>0.5</v>
      </c>
      <c r="O1239">
        <v>3.5000000000000003E-2</v>
      </c>
      <c r="P1239">
        <v>2006</v>
      </c>
      <c r="Q1239">
        <v>8.6</v>
      </c>
      <c r="R1239">
        <v>2.6</v>
      </c>
      <c r="S1239">
        <v>1.9</v>
      </c>
      <c r="T1239">
        <v>0.4</v>
      </c>
      <c r="U1239">
        <v>2</v>
      </c>
      <c r="V1239">
        <v>4</v>
      </c>
      <c r="W1239">
        <f>IF(nba_draft[[#This Row],[years_played]]&gt;5,1,0)</f>
        <v>0</v>
      </c>
    </row>
    <row r="1240" spans="1:23" x14ac:dyDescent="0.25">
      <c r="A1240">
        <v>29</v>
      </c>
      <c r="B1240" t="s">
        <v>95</v>
      </c>
      <c r="C1240" t="s">
        <v>1357</v>
      </c>
      <c r="D1240" t="s">
        <v>282</v>
      </c>
      <c r="E1240">
        <v>3</v>
      </c>
      <c r="F1240">
        <v>91</v>
      </c>
      <c r="G1240">
        <v>909</v>
      </c>
      <c r="H1240">
        <v>217</v>
      </c>
      <c r="I1240">
        <v>90</v>
      </c>
      <c r="J1240">
        <v>134</v>
      </c>
      <c r="K1240">
        <v>0.34300000000000003</v>
      </c>
      <c r="L1240">
        <v>0.222</v>
      </c>
      <c r="M1240">
        <v>0.66100000000000003</v>
      </c>
      <c r="N1240">
        <v>-0.9</v>
      </c>
      <c r="O1240">
        <v>-4.4999999999999998E-2</v>
      </c>
      <c r="P1240">
        <v>2012</v>
      </c>
      <c r="Q1240">
        <v>10</v>
      </c>
      <c r="R1240">
        <v>2.4</v>
      </c>
      <c r="S1240">
        <v>1</v>
      </c>
      <c r="T1240">
        <v>1.5</v>
      </c>
      <c r="U1240">
        <v>1</v>
      </c>
      <c r="V1240">
        <v>29</v>
      </c>
      <c r="W1240">
        <f>IF(nba_draft[[#This Row],[years_played]]&gt;5,1,0)</f>
        <v>0</v>
      </c>
    </row>
    <row r="1241" spans="1:23" x14ac:dyDescent="0.25">
      <c r="A1241">
        <v>36</v>
      </c>
      <c r="B1241" t="s">
        <v>102</v>
      </c>
      <c r="C1241" t="s">
        <v>1631</v>
      </c>
      <c r="D1241" t="s">
        <v>97</v>
      </c>
      <c r="E1241">
        <v>2</v>
      </c>
      <c r="F1241">
        <v>51</v>
      </c>
      <c r="G1241">
        <v>686</v>
      </c>
      <c r="H1241">
        <v>217</v>
      </c>
      <c r="I1241">
        <v>174</v>
      </c>
      <c r="J1241">
        <v>40</v>
      </c>
      <c r="K1241">
        <v>0.48599999999999999</v>
      </c>
      <c r="L1241">
        <v>0.34</v>
      </c>
      <c r="M1241">
        <v>0.48399999999999999</v>
      </c>
      <c r="N1241">
        <v>1.4</v>
      </c>
      <c r="O1241">
        <v>9.8000000000000004E-2</v>
      </c>
      <c r="P1241">
        <v>2017</v>
      </c>
      <c r="Q1241">
        <v>13.5</v>
      </c>
      <c r="R1241">
        <v>4.3</v>
      </c>
      <c r="S1241">
        <v>3.4</v>
      </c>
      <c r="T1241">
        <v>0.8</v>
      </c>
      <c r="U1241">
        <v>2</v>
      </c>
      <c r="V1241">
        <v>6</v>
      </c>
      <c r="W1241">
        <f>IF(nba_draft[[#This Row],[years_played]]&gt;5,1,0)</f>
        <v>0</v>
      </c>
    </row>
    <row r="1242" spans="1:23" x14ac:dyDescent="0.25">
      <c r="A1242">
        <v>30</v>
      </c>
      <c r="B1242" t="s">
        <v>65</v>
      </c>
      <c r="C1242" t="s">
        <v>876</v>
      </c>
      <c r="D1242" t="s">
        <v>97</v>
      </c>
      <c r="E1242">
        <v>3</v>
      </c>
      <c r="F1242">
        <v>64</v>
      </c>
      <c r="G1242">
        <v>632</v>
      </c>
      <c r="H1242">
        <v>215</v>
      </c>
      <c r="I1242">
        <v>142</v>
      </c>
      <c r="J1242">
        <v>22</v>
      </c>
      <c r="K1242">
        <v>0.40699999999999997</v>
      </c>
      <c r="L1242">
        <v>0.25</v>
      </c>
      <c r="M1242">
        <v>0.67600000000000005</v>
      </c>
      <c r="N1242">
        <v>-0.2</v>
      </c>
      <c r="O1242">
        <v>-1.4E-2</v>
      </c>
      <c r="P1242">
        <v>2003</v>
      </c>
      <c r="Q1242">
        <v>9.9</v>
      </c>
      <c r="R1242">
        <v>3.4</v>
      </c>
      <c r="S1242">
        <v>2.2000000000000002</v>
      </c>
      <c r="T1242">
        <v>0.3</v>
      </c>
      <c r="U1242">
        <v>2</v>
      </c>
      <c r="V1242">
        <v>1</v>
      </c>
      <c r="W1242">
        <f>IF(nba_draft[[#This Row],[years_played]]&gt;5,1,0)</f>
        <v>0</v>
      </c>
    </row>
    <row r="1243" spans="1:23" x14ac:dyDescent="0.25">
      <c r="A1243">
        <v>29</v>
      </c>
      <c r="B1243" t="s">
        <v>75</v>
      </c>
      <c r="C1243" t="s">
        <v>1087</v>
      </c>
      <c r="D1243" t="s">
        <v>412</v>
      </c>
      <c r="E1243">
        <v>3</v>
      </c>
      <c r="F1243">
        <v>51</v>
      </c>
      <c r="G1243">
        <v>426</v>
      </c>
      <c r="H1243">
        <v>211</v>
      </c>
      <c r="I1243">
        <v>49</v>
      </c>
      <c r="J1243">
        <v>16</v>
      </c>
      <c r="K1243">
        <v>0.42299999999999999</v>
      </c>
      <c r="L1243">
        <v>0.29399999999999998</v>
      </c>
      <c r="M1243">
        <v>0.78300000000000003</v>
      </c>
      <c r="N1243">
        <v>0.4</v>
      </c>
      <c r="O1243">
        <v>4.4999999999999998E-2</v>
      </c>
      <c r="P1243">
        <v>2007</v>
      </c>
      <c r="Q1243">
        <v>8.4</v>
      </c>
      <c r="R1243">
        <v>4.0999999999999996</v>
      </c>
      <c r="S1243">
        <v>1</v>
      </c>
      <c r="T1243">
        <v>0.3</v>
      </c>
      <c r="U1243">
        <v>1</v>
      </c>
      <c r="V1243">
        <v>29</v>
      </c>
      <c r="W1243">
        <f>IF(nba_draft[[#This Row],[years_played]]&gt;5,1,0)</f>
        <v>0</v>
      </c>
    </row>
    <row r="1244" spans="1:23" x14ac:dyDescent="0.25">
      <c r="A1244">
        <v>29</v>
      </c>
      <c r="B1244" t="s">
        <v>22</v>
      </c>
      <c r="C1244" t="s">
        <v>1681</v>
      </c>
      <c r="D1244" t="s">
        <v>97</v>
      </c>
      <c r="E1244">
        <v>2</v>
      </c>
      <c r="F1244">
        <v>49</v>
      </c>
      <c r="G1244">
        <v>526</v>
      </c>
      <c r="H1244">
        <v>211</v>
      </c>
      <c r="I1244">
        <v>91</v>
      </c>
      <c r="J1244">
        <v>45</v>
      </c>
      <c r="K1244">
        <v>0.376</v>
      </c>
      <c r="L1244">
        <v>0.22700000000000001</v>
      </c>
      <c r="M1244">
        <v>0.72599999999999998</v>
      </c>
      <c r="N1244">
        <v>0</v>
      </c>
      <c r="O1244">
        <v>3.0000000000000001E-3</v>
      </c>
      <c r="P1244">
        <v>2018</v>
      </c>
      <c r="Q1244">
        <v>10.7</v>
      </c>
      <c r="R1244">
        <v>4.3</v>
      </c>
      <c r="S1244">
        <v>1.9</v>
      </c>
      <c r="T1244">
        <v>0.9</v>
      </c>
      <c r="U1244">
        <v>1</v>
      </c>
      <c r="V1244">
        <v>29</v>
      </c>
      <c r="W1244">
        <f>IF(nba_draft[[#This Row],[years_played]]&gt;5,1,0)</f>
        <v>0</v>
      </c>
    </row>
    <row r="1245" spans="1:23" x14ac:dyDescent="0.25">
      <c r="A1245">
        <v>27</v>
      </c>
      <c r="B1245" t="s">
        <v>46</v>
      </c>
      <c r="C1245" t="s">
        <v>1355</v>
      </c>
      <c r="D1245" t="s">
        <v>461</v>
      </c>
      <c r="E1245">
        <v>2</v>
      </c>
      <c r="F1245">
        <v>59</v>
      </c>
      <c r="G1245">
        <v>729</v>
      </c>
      <c r="H1245">
        <v>210</v>
      </c>
      <c r="I1245">
        <v>180</v>
      </c>
      <c r="J1245">
        <v>12</v>
      </c>
      <c r="K1245">
        <v>0.54700000000000004</v>
      </c>
      <c r="L1245">
        <v>0</v>
      </c>
      <c r="M1245">
        <v>0.66700000000000004</v>
      </c>
      <c r="N1245">
        <v>1.7</v>
      </c>
      <c r="O1245">
        <v>0.113</v>
      </c>
      <c r="P1245">
        <v>2012</v>
      </c>
      <c r="Q1245">
        <v>12.4</v>
      </c>
      <c r="R1245">
        <v>3.6</v>
      </c>
      <c r="S1245">
        <v>3.1</v>
      </c>
      <c r="T1245">
        <v>0.2</v>
      </c>
      <c r="U1245">
        <v>1</v>
      </c>
      <c r="V1245">
        <v>27</v>
      </c>
      <c r="W1245">
        <f>IF(nba_draft[[#This Row],[years_played]]&gt;5,1,0)</f>
        <v>0</v>
      </c>
    </row>
    <row r="1246" spans="1:23" x14ac:dyDescent="0.25">
      <c r="A1246">
        <v>56</v>
      </c>
      <c r="B1246" t="s">
        <v>138</v>
      </c>
      <c r="C1246" t="s">
        <v>504</v>
      </c>
      <c r="D1246" t="s">
        <v>117</v>
      </c>
      <c r="E1246">
        <v>2</v>
      </c>
      <c r="F1246">
        <v>101</v>
      </c>
      <c r="G1246">
        <v>931</v>
      </c>
      <c r="H1246">
        <v>209</v>
      </c>
      <c r="I1246">
        <v>82</v>
      </c>
      <c r="J1246">
        <v>110</v>
      </c>
      <c r="K1246">
        <v>0.34399999999999997</v>
      </c>
      <c r="L1246">
        <v>0.32800000000000001</v>
      </c>
      <c r="M1246">
        <v>0.49299999999999999</v>
      </c>
      <c r="N1246">
        <v>0.6</v>
      </c>
      <c r="O1246">
        <v>3.2000000000000001E-2</v>
      </c>
      <c r="P1246">
        <v>1996</v>
      </c>
      <c r="Q1246">
        <v>9.1999999999999993</v>
      </c>
      <c r="R1246">
        <v>2.1</v>
      </c>
      <c r="S1246">
        <v>0.8</v>
      </c>
      <c r="T1246">
        <v>1.1000000000000001</v>
      </c>
      <c r="U1246">
        <v>2</v>
      </c>
      <c r="V1246">
        <v>27</v>
      </c>
      <c r="W1246">
        <f>IF(nba_draft[[#This Row],[years_played]]&gt;5,1,0)</f>
        <v>0</v>
      </c>
    </row>
    <row r="1247" spans="1:23" x14ac:dyDescent="0.25">
      <c r="A1247">
        <v>30</v>
      </c>
      <c r="B1247" t="s">
        <v>109</v>
      </c>
      <c r="C1247" t="s">
        <v>1247</v>
      </c>
      <c r="D1247" t="s">
        <v>137</v>
      </c>
      <c r="E1247">
        <v>3</v>
      </c>
      <c r="F1247">
        <v>72</v>
      </c>
      <c r="G1247">
        <v>591</v>
      </c>
      <c r="H1247">
        <v>207</v>
      </c>
      <c r="I1247">
        <v>90</v>
      </c>
      <c r="J1247">
        <v>35</v>
      </c>
      <c r="K1247">
        <v>0.34699999999999998</v>
      </c>
      <c r="L1247">
        <v>0.26900000000000002</v>
      </c>
      <c r="M1247">
        <v>0.76700000000000002</v>
      </c>
      <c r="N1247">
        <v>0.2</v>
      </c>
      <c r="O1247">
        <v>0.02</v>
      </c>
      <c r="P1247">
        <v>2010</v>
      </c>
      <c r="Q1247">
        <v>8.1999999999999993</v>
      </c>
      <c r="R1247">
        <v>2.9</v>
      </c>
      <c r="S1247">
        <v>1.3</v>
      </c>
      <c r="T1247">
        <v>0.5</v>
      </c>
      <c r="U1247">
        <v>1</v>
      </c>
      <c r="V1247">
        <v>30</v>
      </c>
      <c r="W1247">
        <f>IF(nba_draft[[#This Row],[years_played]]&gt;5,1,0)</f>
        <v>0</v>
      </c>
    </row>
    <row r="1248" spans="1:23" x14ac:dyDescent="0.25">
      <c r="A1248">
        <v>60</v>
      </c>
      <c r="B1248" t="s">
        <v>82</v>
      </c>
      <c r="C1248" t="s">
        <v>1495</v>
      </c>
      <c r="D1248" t="s">
        <v>588</v>
      </c>
      <c r="E1248">
        <v>2</v>
      </c>
      <c r="F1248">
        <v>58</v>
      </c>
      <c r="G1248">
        <v>581</v>
      </c>
      <c r="H1248">
        <v>205</v>
      </c>
      <c r="I1248">
        <v>161</v>
      </c>
      <c r="J1248">
        <v>16</v>
      </c>
      <c r="K1248">
        <v>0.44400000000000001</v>
      </c>
      <c r="L1248">
        <v>0.125</v>
      </c>
      <c r="M1248">
        <v>0.58299999999999996</v>
      </c>
      <c r="N1248">
        <v>0.9</v>
      </c>
      <c r="O1248">
        <v>7.0999999999999994E-2</v>
      </c>
      <c r="P1248">
        <v>2014</v>
      </c>
      <c r="Q1248">
        <v>10</v>
      </c>
      <c r="R1248">
        <v>3.5</v>
      </c>
      <c r="S1248">
        <v>2.8</v>
      </c>
      <c r="T1248">
        <v>0.3</v>
      </c>
      <c r="U1248">
        <v>2</v>
      </c>
      <c r="V1248">
        <v>30</v>
      </c>
      <c r="W1248">
        <f>IF(nba_draft[[#This Row],[years_played]]&gt;5,1,0)</f>
        <v>0</v>
      </c>
    </row>
    <row r="1249" spans="1:23" x14ac:dyDescent="0.25">
      <c r="A1249">
        <v>26</v>
      </c>
      <c r="B1249" t="s">
        <v>85</v>
      </c>
      <c r="C1249" t="s">
        <v>246</v>
      </c>
      <c r="D1249" t="s">
        <v>24</v>
      </c>
      <c r="E1249">
        <v>2</v>
      </c>
      <c r="F1249">
        <v>59</v>
      </c>
      <c r="G1249">
        <v>475</v>
      </c>
      <c r="H1249">
        <v>204</v>
      </c>
      <c r="I1249">
        <v>64</v>
      </c>
      <c r="J1249">
        <v>17</v>
      </c>
      <c r="K1249">
        <v>0.36499999999999999</v>
      </c>
      <c r="L1249">
        <v>0.2</v>
      </c>
      <c r="M1249">
        <v>0.66300000000000003</v>
      </c>
      <c r="N1249">
        <v>-0.3</v>
      </c>
      <c r="O1249">
        <v>-3.2000000000000001E-2</v>
      </c>
      <c r="P1249">
        <v>1992</v>
      </c>
      <c r="Q1249">
        <v>8.1</v>
      </c>
      <c r="R1249">
        <v>3.5</v>
      </c>
      <c r="S1249">
        <v>1.1000000000000001</v>
      </c>
      <c r="T1249">
        <v>0.3</v>
      </c>
      <c r="U1249">
        <v>1</v>
      </c>
      <c r="V1249">
        <v>26</v>
      </c>
      <c r="W1249">
        <f>IF(nba_draft[[#This Row],[years_played]]&gt;5,1,0)</f>
        <v>0</v>
      </c>
    </row>
    <row r="1250" spans="1:23" x14ac:dyDescent="0.25">
      <c r="A1250">
        <v>36</v>
      </c>
      <c r="B1250" t="s">
        <v>90</v>
      </c>
      <c r="C1250" t="s">
        <v>260</v>
      </c>
      <c r="D1250" t="s">
        <v>230</v>
      </c>
      <c r="E1250">
        <v>2</v>
      </c>
      <c r="F1250">
        <v>88</v>
      </c>
      <c r="G1250">
        <v>781</v>
      </c>
      <c r="H1250">
        <v>204</v>
      </c>
      <c r="I1250">
        <v>59</v>
      </c>
      <c r="J1250">
        <v>178</v>
      </c>
      <c r="K1250">
        <v>0.40200000000000002</v>
      </c>
      <c r="L1250">
        <v>0.216</v>
      </c>
      <c r="M1250">
        <v>0.72</v>
      </c>
      <c r="N1250">
        <v>-0.5</v>
      </c>
      <c r="O1250">
        <v>-3.2000000000000001E-2</v>
      </c>
      <c r="P1250">
        <v>1992</v>
      </c>
      <c r="Q1250">
        <v>8.9</v>
      </c>
      <c r="R1250">
        <v>2.2999999999999998</v>
      </c>
      <c r="S1250">
        <v>0.7</v>
      </c>
      <c r="T1250">
        <v>2</v>
      </c>
      <c r="U1250">
        <v>2</v>
      </c>
      <c r="V1250">
        <v>9</v>
      </c>
      <c r="W1250">
        <f>IF(nba_draft[[#This Row],[years_played]]&gt;5,1,0)</f>
        <v>0</v>
      </c>
    </row>
    <row r="1251" spans="1:23" x14ac:dyDescent="0.25">
      <c r="A1251">
        <v>49</v>
      </c>
      <c r="B1251" t="s">
        <v>31</v>
      </c>
      <c r="C1251" t="s">
        <v>499</v>
      </c>
      <c r="D1251" t="s">
        <v>137</v>
      </c>
      <c r="E1251">
        <v>4</v>
      </c>
      <c r="F1251">
        <v>114</v>
      </c>
      <c r="G1251">
        <v>968</v>
      </c>
      <c r="H1251">
        <v>204</v>
      </c>
      <c r="I1251">
        <v>213</v>
      </c>
      <c r="J1251">
        <v>36</v>
      </c>
      <c r="K1251">
        <v>0.377</v>
      </c>
      <c r="L1251">
        <v>0</v>
      </c>
      <c r="M1251">
        <v>0.60899999999999999</v>
      </c>
      <c r="N1251">
        <v>0.5</v>
      </c>
      <c r="O1251">
        <v>2.4E-2</v>
      </c>
      <c r="P1251">
        <v>1996</v>
      </c>
      <c r="Q1251">
        <v>8.5</v>
      </c>
      <c r="R1251">
        <v>1.8</v>
      </c>
      <c r="S1251">
        <v>1.9</v>
      </c>
      <c r="T1251">
        <v>0.3</v>
      </c>
      <c r="U1251">
        <v>2</v>
      </c>
      <c r="V1251">
        <v>20</v>
      </c>
      <c r="W1251">
        <f>IF(nba_draft[[#This Row],[years_played]]&gt;5,1,0)</f>
        <v>0</v>
      </c>
    </row>
    <row r="1252" spans="1:23" x14ac:dyDescent="0.25">
      <c r="A1252">
        <v>22</v>
      </c>
      <c r="B1252" t="s">
        <v>31</v>
      </c>
      <c r="C1252" t="s">
        <v>762</v>
      </c>
      <c r="D1252" t="s">
        <v>763</v>
      </c>
      <c r="E1252">
        <v>2</v>
      </c>
      <c r="F1252">
        <v>82</v>
      </c>
      <c r="G1252">
        <v>1061</v>
      </c>
      <c r="H1252">
        <v>204</v>
      </c>
      <c r="I1252">
        <v>191</v>
      </c>
      <c r="J1252">
        <v>67</v>
      </c>
      <c r="K1252">
        <v>0.30299999999999999</v>
      </c>
      <c r="L1252">
        <v>0.29499999999999998</v>
      </c>
      <c r="M1252">
        <v>0.68700000000000006</v>
      </c>
      <c r="N1252">
        <v>0.7</v>
      </c>
      <c r="O1252">
        <v>3.2000000000000001E-2</v>
      </c>
      <c r="P1252">
        <v>2001</v>
      </c>
      <c r="Q1252">
        <v>12.9</v>
      </c>
      <c r="R1252">
        <v>2.5</v>
      </c>
      <c r="S1252">
        <v>2.2999999999999998</v>
      </c>
      <c r="T1252">
        <v>0.8</v>
      </c>
      <c r="U1252">
        <v>1</v>
      </c>
      <c r="V1252">
        <v>22</v>
      </c>
      <c r="W1252">
        <f>IF(nba_draft[[#This Row],[years_played]]&gt;5,1,0)</f>
        <v>0</v>
      </c>
    </row>
    <row r="1253" spans="1:23" x14ac:dyDescent="0.25">
      <c r="A1253">
        <v>15</v>
      </c>
      <c r="B1253" t="s">
        <v>49</v>
      </c>
      <c r="C1253" t="s">
        <v>297</v>
      </c>
      <c r="D1253" t="s">
        <v>298</v>
      </c>
      <c r="E1253">
        <v>3</v>
      </c>
      <c r="F1253">
        <v>85</v>
      </c>
      <c r="G1253">
        <v>838</v>
      </c>
      <c r="H1253">
        <v>203</v>
      </c>
      <c r="I1253">
        <v>153</v>
      </c>
      <c r="J1253">
        <v>60</v>
      </c>
      <c r="K1253">
        <v>0.378</v>
      </c>
      <c r="L1253">
        <v>0</v>
      </c>
      <c r="M1253">
        <v>0.70899999999999996</v>
      </c>
      <c r="N1253">
        <v>0.2</v>
      </c>
      <c r="O1253">
        <v>1.2999999999999999E-2</v>
      </c>
      <c r="P1253">
        <v>1993</v>
      </c>
      <c r="Q1253">
        <v>9.9</v>
      </c>
      <c r="R1253">
        <v>2.4</v>
      </c>
      <c r="S1253">
        <v>1.8</v>
      </c>
      <c r="T1253">
        <v>0.7</v>
      </c>
      <c r="U1253">
        <v>1</v>
      </c>
      <c r="V1253">
        <v>15</v>
      </c>
      <c r="W1253">
        <f>IF(nba_draft[[#This Row],[years_played]]&gt;5,1,0)</f>
        <v>0</v>
      </c>
    </row>
    <row r="1254" spans="1:23" x14ac:dyDescent="0.25">
      <c r="A1254">
        <v>45</v>
      </c>
      <c r="B1254" t="s">
        <v>95</v>
      </c>
      <c r="C1254" t="s">
        <v>782</v>
      </c>
      <c r="D1254" t="s">
        <v>336</v>
      </c>
      <c r="E1254">
        <v>2</v>
      </c>
      <c r="F1254">
        <v>45</v>
      </c>
      <c r="G1254">
        <v>550</v>
      </c>
      <c r="H1254">
        <v>203</v>
      </c>
      <c r="I1254">
        <v>94</v>
      </c>
      <c r="J1254">
        <v>33</v>
      </c>
      <c r="K1254">
        <v>0.46300000000000002</v>
      </c>
      <c r="L1254">
        <v>0</v>
      </c>
      <c r="M1254">
        <v>0.69099999999999995</v>
      </c>
      <c r="N1254">
        <v>1.1000000000000001</v>
      </c>
      <c r="O1254">
        <v>9.6000000000000002E-2</v>
      </c>
      <c r="P1254">
        <v>2001</v>
      </c>
      <c r="Q1254">
        <v>12.2</v>
      </c>
      <c r="R1254">
        <v>4.5</v>
      </c>
      <c r="S1254">
        <v>2.1</v>
      </c>
      <c r="T1254">
        <v>0.7</v>
      </c>
      <c r="U1254">
        <v>2</v>
      </c>
      <c r="V1254">
        <v>16</v>
      </c>
      <c r="W1254">
        <f>IF(nba_draft[[#This Row],[years_played]]&gt;5,1,0)</f>
        <v>0</v>
      </c>
    </row>
    <row r="1255" spans="1:23" x14ac:dyDescent="0.25">
      <c r="A1255">
        <v>33</v>
      </c>
      <c r="B1255" t="s">
        <v>138</v>
      </c>
      <c r="C1255" t="s">
        <v>1361</v>
      </c>
      <c r="D1255" t="s">
        <v>298</v>
      </c>
      <c r="E1255">
        <v>3</v>
      </c>
      <c r="F1255">
        <v>92</v>
      </c>
      <c r="G1255">
        <v>761</v>
      </c>
      <c r="H1255">
        <v>203</v>
      </c>
      <c r="I1255">
        <v>212</v>
      </c>
      <c r="J1255">
        <v>13</v>
      </c>
      <c r="K1255">
        <v>0.497</v>
      </c>
      <c r="L1255">
        <v>0</v>
      </c>
      <c r="M1255">
        <v>0.68</v>
      </c>
      <c r="N1255">
        <v>1.9</v>
      </c>
      <c r="O1255">
        <v>0.11700000000000001</v>
      </c>
      <c r="P1255">
        <v>2012</v>
      </c>
      <c r="Q1255">
        <v>8.3000000000000007</v>
      </c>
      <c r="R1255">
        <v>2.2000000000000002</v>
      </c>
      <c r="S1255">
        <v>2.2999999999999998</v>
      </c>
      <c r="T1255">
        <v>0.1</v>
      </c>
      <c r="U1255">
        <v>2</v>
      </c>
      <c r="V1255">
        <v>3</v>
      </c>
      <c r="W1255">
        <f>IF(nba_draft[[#This Row],[years_played]]&gt;5,1,0)</f>
        <v>0</v>
      </c>
    </row>
    <row r="1256" spans="1:23" x14ac:dyDescent="0.25">
      <c r="A1256">
        <v>50</v>
      </c>
      <c r="B1256" t="s">
        <v>49</v>
      </c>
      <c r="C1256" t="s">
        <v>1820</v>
      </c>
      <c r="D1256" t="s">
        <v>30</v>
      </c>
      <c r="E1256">
        <v>2</v>
      </c>
      <c r="F1256">
        <v>56</v>
      </c>
      <c r="G1256">
        <v>476</v>
      </c>
      <c r="H1256">
        <v>202</v>
      </c>
      <c r="I1256">
        <v>60</v>
      </c>
      <c r="J1256">
        <v>46</v>
      </c>
      <c r="K1256">
        <v>0.47199999999999998</v>
      </c>
      <c r="L1256">
        <v>0.33800000000000002</v>
      </c>
      <c r="M1256">
        <v>0.88200000000000001</v>
      </c>
      <c r="N1256">
        <v>1.1000000000000001</v>
      </c>
      <c r="O1256">
        <v>0.108</v>
      </c>
      <c r="P1256">
        <v>2020</v>
      </c>
      <c r="Q1256">
        <v>8.5</v>
      </c>
      <c r="R1256">
        <v>3.6</v>
      </c>
      <c r="S1256">
        <v>1.1000000000000001</v>
      </c>
      <c r="T1256">
        <v>0.8</v>
      </c>
      <c r="U1256">
        <v>2</v>
      </c>
      <c r="V1256">
        <v>20</v>
      </c>
      <c r="W1256">
        <f>IF(nba_draft[[#This Row],[years_played]]&gt;5,1,0)</f>
        <v>0</v>
      </c>
    </row>
    <row r="1257" spans="1:23" x14ac:dyDescent="0.25">
      <c r="A1257">
        <v>41</v>
      </c>
      <c r="B1257" t="s">
        <v>43</v>
      </c>
      <c r="C1257" t="s">
        <v>829</v>
      </c>
      <c r="D1257" t="s">
        <v>97</v>
      </c>
      <c r="E1257">
        <v>2</v>
      </c>
      <c r="F1257">
        <v>73</v>
      </c>
      <c r="G1257">
        <v>569</v>
      </c>
      <c r="H1257">
        <v>198</v>
      </c>
      <c r="I1257">
        <v>188</v>
      </c>
      <c r="J1257">
        <v>11</v>
      </c>
      <c r="K1257">
        <v>0.46700000000000003</v>
      </c>
      <c r="L1257">
        <v>0</v>
      </c>
      <c r="M1257">
        <v>0.63600000000000001</v>
      </c>
      <c r="N1257">
        <v>0.8</v>
      </c>
      <c r="O1257">
        <v>6.9000000000000006E-2</v>
      </c>
      <c r="P1257">
        <v>2002</v>
      </c>
      <c r="Q1257">
        <v>7.8</v>
      </c>
      <c r="R1257">
        <v>2.7</v>
      </c>
      <c r="S1257">
        <v>2.6</v>
      </c>
      <c r="T1257">
        <v>0.2</v>
      </c>
      <c r="U1257">
        <v>2</v>
      </c>
      <c r="V1257">
        <v>12</v>
      </c>
      <c r="W1257">
        <f>IF(nba_draft[[#This Row],[years_played]]&gt;5,1,0)</f>
        <v>0</v>
      </c>
    </row>
    <row r="1258" spans="1:23" x14ac:dyDescent="0.25">
      <c r="A1258">
        <v>22</v>
      </c>
      <c r="B1258" t="s">
        <v>34</v>
      </c>
      <c r="C1258" t="s">
        <v>1562</v>
      </c>
      <c r="D1258" t="s">
        <v>24</v>
      </c>
      <c r="E1258">
        <v>3</v>
      </c>
      <c r="F1258">
        <v>70</v>
      </c>
      <c r="G1258">
        <v>625</v>
      </c>
      <c r="H1258">
        <v>198</v>
      </c>
      <c r="I1258">
        <v>70</v>
      </c>
      <c r="J1258">
        <v>24</v>
      </c>
      <c r="K1258">
        <v>0.35799999999999998</v>
      </c>
      <c r="L1258">
        <v>0.30099999999999999</v>
      </c>
      <c r="M1258">
        <v>0.78300000000000003</v>
      </c>
      <c r="N1258">
        <v>-0.1</v>
      </c>
      <c r="O1258">
        <v>-8.9999999999999993E-3</v>
      </c>
      <c r="P1258">
        <v>2016</v>
      </c>
      <c r="Q1258">
        <v>8.9</v>
      </c>
      <c r="R1258">
        <v>2.8</v>
      </c>
      <c r="S1258">
        <v>1</v>
      </c>
      <c r="T1258">
        <v>0.3</v>
      </c>
      <c r="U1258">
        <v>1</v>
      </c>
      <c r="V1258">
        <v>22</v>
      </c>
      <c r="W1258">
        <f>IF(nba_draft[[#This Row],[years_played]]&gt;5,1,0)</f>
        <v>0</v>
      </c>
    </row>
    <row r="1259" spans="1:23" x14ac:dyDescent="0.25">
      <c r="A1259">
        <v>19</v>
      </c>
      <c r="B1259" t="s">
        <v>104</v>
      </c>
      <c r="C1259" t="s">
        <v>809</v>
      </c>
      <c r="D1259" t="s">
        <v>218</v>
      </c>
      <c r="E1259">
        <v>3</v>
      </c>
      <c r="F1259">
        <v>85</v>
      </c>
      <c r="G1259">
        <v>772</v>
      </c>
      <c r="H1259">
        <v>197</v>
      </c>
      <c r="I1259">
        <v>189</v>
      </c>
      <c r="J1259">
        <v>18</v>
      </c>
      <c r="K1259">
        <v>0.34399999999999997</v>
      </c>
      <c r="L1259">
        <v>0</v>
      </c>
      <c r="M1259">
        <v>0.53900000000000003</v>
      </c>
      <c r="N1259">
        <v>-0.4</v>
      </c>
      <c r="O1259">
        <v>-2.7E-2</v>
      </c>
      <c r="P1259">
        <v>2002</v>
      </c>
      <c r="Q1259">
        <v>9.1</v>
      </c>
      <c r="R1259">
        <v>2.2999999999999998</v>
      </c>
      <c r="S1259">
        <v>2.2000000000000002</v>
      </c>
      <c r="T1259">
        <v>0.2</v>
      </c>
      <c r="U1259">
        <v>1</v>
      </c>
      <c r="V1259">
        <v>19</v>
      </c>
      <c r="W1259">
        <f>IF(nba_draft[[#This Row],[years_played]]&gt;5,1,0)</f>
        <v>0</v>
      </c>
    </row>
    <row r="1260" spans="1:23" x14ac:dyDescent="0.25">
      <c r="A1260">
        <v>36</v>
      </c>
      <c r="B1260" t="s">
        <v>22</v>
      </c>
      <c r="C1260" t="s">
        <v>1307</v>
      </c>
      <c r="D1260" t="s">
        <v>67</v>
      </c>
      <c r="E1260">
        <v>1</v>
      </c>
      <c r="F1260">
        <v>43</v>
      </c>
      <c r="G1260">
        <v>635</v>
      </c>
      <c r="H1260">
        <v>197</v>
      </c>
      <c r="I1260">
        <v>156</v>
      </c>
      <c r="J1260">
        <v>11</v>
      </c>
      <c r="K1260">
        <v>0.50700000000000001</v>
      </c>
      <c r="L1260">
        <v>0</v>
      </c>
      <c r="M1260">
        <v>0.65200000000000002</v>
      </c>
      <c r="N1260">
        <v>1.3</v>
      </c>
      <c r="O1260">
        <v>0.10100000000000001</v>
      </c>
      <c r="P1260">
        <v>2011</v>
      </c>
      <c r="Q1260">
        <v>14.8</v>
      </c>
      <c r="R1260">
        <v>4.5999999999999996</v>
      </c>
      <c r="S1260">
        <v>3.6</v>
      </c>
      <c r="T1260">
        <v>0.3</v>
      </c>
      <c r="U1260">
        <v>2</v>
      </c>
      <c r="V1260">
        <v>6</v>
      </c>
      <c r="W1260">
        <f>IF(nba_draft[[#This Row],[years_played]]&gt;5,1,0)</f>
        <v>0</v>
      </c>
    </row>
    <row r="1261" spans="1:23" x14ac:dyDescent="0.25">
      <c r="A1261">
        <v>46</v>
      </c>
      <c r="B1261" t="s">
        <v>90</v>
      </c>
      <c r="C1261" t="s">
        <v>1317</v>
      </c>
      <c r="D1261" t="s">
        <v>551</v>
      </c>
      <c r="E1261">
        <v>3</v>
      </c>
      <c r="F1261">
        <v>49</v>
      </c>
      <c r="G1261">
        <v>475</v>
      </c>
      <c r="H1261">
        <v>197</v>
      </c>
      <c r="I1261">
        <v>34</v>
      </c>
      <c r="J1261">
        <v>24</v>
      </c>
      <c r="K1261">
        <v>0.39300000000000002</v>
      </c>
      <c r="L1261">
        <v>0.34499999999999997</v>
      </c>
      <c r="M1261">
        <v>0.875</v>
      </c>
      <c r="N1261">
        <v>0</v>
      </c>
      <c r="O1261">
        <v>3.0000000000000001E-3</v>
      </c>
      <c r="P1261">
        <v>2011</v>
      </c>
      <c r="Q1261">
        <v>9.6999999999999993</v>
      </c>
      <c r="R1261">
        <v>4</v>
      </c>
      <c r="S1261">
        <v>0.7</v>
      </c>
      <c r="T1261">
        <v>0.5</v>
      </c>
      <c r="U1261">
        <v>2</v>
      </c>
      <c r="V1261">
        <v>16</v>
      </c>
      <c r="W1261">
        <f>IF(nba_draft[[#This Row],[years_played]]&gt;5,1,0)</f>
        <v>0</v>
      </c>
    </row>
    <row r="1262" spans="1:23" x14ac:dyDescent="0.25">
      <c r="A1262">
        <v>24</v>
      </c>
      <c r="B1262" t="s">
        <v>138</v>
      </c>
      <c r="C1262" t="s">
        <v>1352</v>
      </c>
      <c r="D1262" t="s">
        <v>27</v>
      </c>
      <c r="E1262">
        <v>4</v>
      </c>
      <c r="F1262">
        <v>84</v>
      </c>
      <c r="G1262">
        <v>605</v>
      </c>
      <c r="H1262">
        <v>197</v>
      </c>
      <c r="I1262">
        <v>56</v>
      </c>
      <c r="J1262">
        <v>39</v>
      </c>
      <c r="K1262">
        <v>0.34699999999999998</v>
      </c>
      <c r="L1262">
        <v>0.30599999999999999</v>
      </c>
      <c r="M1262">
        <v>0.67400000000000004</v>
      </c>
      <c r="N1262">
        <v>0.2</v>
      </c>
      <c r="O1262">
        <v>1.7000000000000001E-2</v>
      </c>
      <c r="P1262">
        <v>2012</v>
      </c>
      <c r="Q1262">
        <v>7.2</v>
      </c>
      <c r="R1262">
        <v>2.2999999999999998</v>
      </c>
      <c r="S1262">
        <v>0.7</v>
      </c>
      <c r="T1262">
        <v>0.5</v>
      </c>
      <c r="U1262">
        <v>1</v>
      </c>
      <c r="V1262">
        <v>24</v>
      </c>
      <c r="W1262">
        <f>IF(nba_draft[[#This Row],[years_played]]&gt;5,1,0)</f>
        <v>0</v>
      </c>
    </row>
    <row r="1263" spans="1:23" x14ac:dyDescent="0.25">
      <c r="A1263">
        <v>20</v>
      </c>
      <c r="B1263" t="s">
        <v>102</v>
      </c>
      <c r="C1263" t="s">
        <v>357</v>
      </c>
      <c r="D1263" t="s">
        <v>60</v>
      </c>
      <c r="E1263">
        <v>1</v>
      </c>
      <c r="F1263">
        <v>55</v>
      </c>
      <c r="G1263">
        <v>809</v>
      </c>
      <c r="H1263">
        <v>195</v>
      </c>
      <c r="I1263">
        <v>62</v>
      </c>
      <c r="J1263">
        <v>174</v>
      </c>
      <c r="K1263">
        <v>0.38100000000000001</v>
      </c>
      <c r="L1263">
        <v>0.314</v>
      </c>
      <c r="M1263">
        <v>0.7</v>
      </c>
      <c r="N1263">
        <v>-0.7</v>
      </c>
      <c r="O1263">
        <v>-3.9E-2</v>
      </c>
      <c r="P1263">
        <v>1994</v>
      </c>
      <c r="Q1263">
        <v>14.7</v>
      </c>
      <c r="R1263">
        <v>3.5</v>
      </c>
      <c r="S1263">
        <v>1.1000000000000001</v>
      </c>
      <c r="T1263">
        <v>3.2</v>
      </c>
      <c r="U1263">
        <v>1</v>
      </c>
      <c r="V1263">
        <v>20</v>
      </c>
      <c r="W1263">
        <f>IF(nba_draft[[#This Row],[years_played]]&gt;5,1,0)</f>
        <v>0</v>
      </c>
    </row>
    <row r="1264" spans="1:23" x14ac:dyDescent="0.25">
      <c r="A1264">
        <v>39</v>
      </c>
      <c r="B1264" t="s">
        <v>65</v>
      </c>
      <c r="C1264" t="s">
        <v>725</v>
      </c>
      <c r="D1264" t="s">
        <v>77</v>
      </c>
      <c r="E1264">
        <v>3</v>
      </c>
      <c r="F1264">
        <v>61</v>
      </c>
      <c r="G1264">
        <v>446</v>
      </c>
      <c r="H1264">
        <v>195</v>
      </c>
      <c r="I1264">
        <v>45</v>
      </c>
      <c r="J1264">
        <v>13</v>
      </c>
      <c r="K1264">
        <v>0.33500000000000002</v>
      </c>
      <c r="L1264">
        <v>0.25</v>
      </c>
      <c r="M1264">
        <v>0.79500000000000004</v>
      </c>
      <c r="N1264">
        <v>-0.2</v>
      </c>
      <c r="O1264">
        <v>-2.5000000000000001E-2</v>
      </c>
      <c r="P1264">
        <v>2000</v>
      </c>
      <c r="Q1264">
        <v>7.3</v>
      </c>
      <c r="R1264">
        <v>3.2</v>
      </c>
      <c r="S1264">
        <v>0.7</v>
      </c>
      <c r="T1264">
        <v>0.2</v>
      </c>
      <c r="U1264">
        <v>2</v>
      </c>
      <c r="V1264">
        <v>10</v>
      </c>
      <c r="W1264">
        <f>IF(nba_draft[[#This Row],[years_played]]&gt;5,1,0)</f>
        <v>0</v>
      </c>
    </row>
    <row r="1265" spans="1:23" x14ac:dyDescent="0.25">
      <c r="A1265">
        <v>52</v>
      </c>
      <c r="B1265" t="s">
        <v>40</v>
      </c>
      <c r="C1265" t="s">
        <v>333</v>
      </c>
      <c r="D1265" t="s">
        <v>148</v>
      </c>
      <c r="E1265">
        <v>3</v>
      </c>
      <c r="F1265">
        <v>68</v>
      </c>
      <c r="G1265">
        <v>705</v>
      </c>
      <c r="H1265">
        <v>194</v>
      </c>
      <c r="I1265">
        <v>176</v>
      </c>
      <c r="J1265">
        <v>26</v>
      </c>
      <c r="K1265">
        <v>0.55600000000000005</v>
      </c>
      <c r="L1265">
        <v>0</v>
      </c>
      <c r="M1265">
        <v>0.53100000000000003</v>
      </c>
      <c r="N1265">
        <v>1</v>
      </c>
      <c r="O1265">
        <v>6.7000000000000004E-2</v>
      </c>
      <c r="P1265">
        <v>1993</v>
      </c>
      <c r="Q1265">
        <v>10.4</v>
      </c>
      <c r="R1265">
        <v>2.9</v>
      </c>
      <c r="S1265">
        <v>2.6</v>
      </c>
      <c r="T1265">
        <v>0.4</v>
      </c>
      <c r="U1265">
        <v>2</v>
      </c>
      <c r="V1265">
        <v>25</v>
      </c>
      <c r="W1265">
        <f>IF(nba_draft[[#This Row],[years_played]]&gt;5,1,0)</f>
        <v>0</v>
      </c>
    </row>
    <row r="1266" spans="1:23" x14ac:dyDescent="0.25">
      <c r="A1266">
        <v>29</v>
      </c>
      <c r="B1266" t="s">
        <v>22</v>
      </c>
      <c r="C1266" t="s">
        <v>1524</v>
      </c>
      <c r="D1266" t="s">
        <v>24</v>
      </c>
      <c r="E1266">
        <v>3</v>
      </c>
      <c r="F1266">
        <v>59</v>
      </c>
      <c r="G1266">
        <v>532</v>
      </c>
      <c r="H1266">
        <v>194</v>
      </c>
      <c r="I1266">
        <v>112</v>
      </c>
      <c r="J1266">
        <v>15</v>
      </c>
      <c r="K1266">
        <v>0.42599999999999999</v>
      </c>
      <c r="L1266">
        <v>0.30599999999999999</v>
      </c>
      <c r="M1266">
        <v>0.54800000000000004</v>
      </c>
      <c r="N1266">
        <v>0.6</v>
      </c>
      <c r="O1266">
        <v>5.3999999999999999E-2</v>
      </c>
      <c r="P1266">
        <v>2015</v>
      </c>
      <c r="Q1266">
        <v>9</v>
      </c>
      <c r="R1266">
        <v>3.3</v>
      </c>
      <c r="S1266">
        <v>1.9</v>
      </c>
      <c r="T1266">
        <v>0.3</v>
      </c>
      <c r="U1266">
        <v>1</v>
      </c>
      <c r="V1266">
        <v>29</v>
      </c>
      <c r="W1266">
        <f>IF(nba_draft[[#This Row],[years_played]]&gt;5,1,0)</f>
        <v>0</v>
      </c>
    </row>
    <row r="1267" spans="1:23" x14ac:dyDescent="0.25">
      <c r="A1267">
        <v>32</v>
      </c>
      <c r="B1267" t="s">
        <v>75</v>
      </c>
      <c r="C1267" t="s">
        <v>1627</v>
      </c>
      <c r="D1267" t="s">
        <v>657</v>
      </c>
      <c r="E1267">
        <v>3</v>
      </c>
      <c r="F1267">
        <v>60</v>
      </c>
      <c r="G1267">
        <v>688</v>
      </c>
      <c r="H1267">
        <v>192</v>
      </c>
      <c r="I1267">
        <v>118</v>
      </c>
      <c r="J1267">
        <v>45</v>
      </c>
      <c r="K1267">
        <v>0.39300000000000002</v>
      </c>
      <c r="L1267">
        <v>0.379</v>
      </c>
      <c r="M1267">
        <v>0.70599999999999996</v>
      </c>
      <c r="N1267">
        <v>0.8</v>
      </c>
      <c r="O1267">
        <v>5.3999999999999999E-2</v>
      </c>
      <c r="P1267">
        <v>2017</v>
      </c>
      <c r="Q1267">
        <v>11.5</v>
      </c>
      <c r="R1267">
        <v>3.2</v>
      </c>
      <c r="S1267">
        <v>2</v>
      </c>
      <c r="T1267">
        <v>0.8</v>
      </c>
      <c r="U1267">
        <v>2</v>
      </c>
      <c r="V1267">
        <v>2</v>
      </c>
      <c r="W1267">
        <f>IF(nba_draft[[#This Row],[years_played]]&gt;5,1,0)</f>
        <v>0</v>
      </c>
    </row>
    <row r="1268" spans="1:23" x14ac:dyDescent="0.25">
      <c r="A1268">
        <v>43</v>
      </c>
      <c r="B1268" t="s">
        <v>85</v>
      </c>
      <c r="C1268" t="s">
        <v>379</v>
      </c>
      <c r="D1268" t="s">
        <v>77</v>
      </c>
      <c r="E1268">
        <v>4</v>
      </c>
      <c r="F1268">
        <v>105</v>
      </c>
      <c r="G1268">
        <v>634</v>
      </c>
      <c r="H1268">
        <v>189</v>
      </c>
      <c r="I1268">
        <v>228</v>
      </c>
      <c r="J1268">
        <v>20</v>
      </c>
      <c r="K1268">
        <v>0.46400000000000002</v>
      </c>
      <c r="L1268">
        <v>0</v>
      </c>
      <c r="M1268">
        <v>0.46500000000000002</v>
      </c>
      <c r="N1268">
        <v>1.3</v>
      </c>
      <c r="O1268">
        <v>0.10100000000000001</v>
      </c>
      <c r="P1268">
        <v>1994</v>
      </c>
      <c r="Q1268">
        <v>6</v>
      </c>
      <c r="R1268">
        <v>1.8</v>
      </c>
      <c r="S1268">
        <v>2.2000000000000002</v>
      </c>
      <c r="T1268">
        <v>0.2</v>
      </c>
      <c r="U1268">
        <v>2</v>
      </c>
      <c r="V1268">
        <v>16</v>
      </c>
      <c r="W1268">
        <f>IF(nba_draft[[#This Row],[years_played]]&gt;5,1,0)</f>
        <v>0</v>
      </c>
    </row>
    <row r="1269" spans="1:23" x14ac:dyDescent="0.25">
      <c r="A1269">
        <v>33</v>
      </c>
      <c r="B1269" t="s">
        <v>70</v>
      </c>
      <c r="C1269" t="s">
        <v>426</v>
      </c>
      <c r="D1269" t="s">
        <v>232</v>
      </c>
      <c r="E1269">
        <v>1</v>
      </c>
      <c r="F1269">
        <v>61</v>
      </c>
      <c r="G1269">
        <v>495</v>
      </c>
      <c r="H1269">
        <v>189</v>
      </c>
      <c r="I1269">
        <v>109</v>
      </c>
      <c r="J1269">
        <v>15</v>
      </c>
      <c r="K1269">
        <v>0.376</v>
      </c>
      <c r="L1269">
        <v>0</v>
      </c>
      <c r="M1269">
        <v>0.65600000000000003</v>
      </c>
      <c r="N1269">
        <v>-0.2</v>
      </c>
      <c r="O1269">
        <v>-1.7999999999999999E-2</v>
      </c>
      <c r="P1269">
        <v>1995</v>
      </c>
      <c r="Q1269">
        <v>8.1</v>
      </c>
      <c r="R1269">
        <v>3.1</v>
      </c>
      <c r="S1269">
        <v>1.8</v>
      </c>
      <c r="T1269">
        <v>0.2</v>
      </c>
      <c r="U1269">
        <v>2</v>
      </c>
      <c r="V1269">
        <v>4</v>
      </c>
      <c r="W1269">
        <f>IF(nba_draft[[#This Row],[years_played]]&gt;5,1,0)</f>
        <v>0</v>
      </c>
    </row>
    <row r="1270" spans="1:23" x14ac:dyDescent="0.25">
      <c r="A1270">
        <v>29</v>
      </c>
      <c r="B1270" t="s">
        <v>25</v>
      </c>
      <c r="C1270" t="s">
        <v>1470</v>
      </c>
      <c r="D1270" t="s">
        <v>226</v>
      </c>
      <c r="E1270">
        <v>3</v>
      </c>
      <c r="F1270">
        <v>76</v>
      </c>
      <c r="G1270">
        <v>1068</v>
      </c>
      <c r="H1270">
        <v>187</v>
      </c>
      <c r="I1270">
        <v>180</v>
      </c>
      <c r="J1270">
        <v>23</v>
      </c>
      <c r="K1270">
        <v>0.34599999999999997</v>
      </c>
      <c r="L1270">
        <v>0.312</v>
      </c>
      <c r="M1270">
        <v>0.24</v>
      </c>
      <c r="N1270">
        <v>0.7</v>
      </c>
      <c r="O1270">
        <v>0.03</v>
      </c>
      <c r="P1270">
        <v>2014</v>
      </c>
      <c r="Q1270">
        <v>14.1</v>
      </c>
      <c r="R1270">
        <v>2.5</v>
      </c>
      <c r="S1270">
        <v>2.4</v>
      </c>
      <c r="T1270">
        <v>0.3</v>
      </c>
      <c r="U1270">
        <v>1</v>
      </c>
      <c r="V1270">
        <v>29</v>
      </c>
      <c r="W1270">
        <f>IF(nba_draft[[#This Row],[years_played]]&gt;5,1,0)</f>
        <v>0</v>
      </c>
    </row>
    <row r="1271" spans="1:23" x14ac:dyDescent="0.25">
      <c r="A1271">
        <v>47</v>
      </c>
      <c r="B1271" t="s">
        <v>40</v>
      </c>
      <c r="C1271" t="s">
        <v>1759</v>
      </c>
      <c r="D1271" t="s">
        <v>51</v>
      </c>
      <c r="E1271">
        <v>3</v>
      </c>
      <c r="F1271">
        <v>50</v>
      </c>
      <c r="G1271">
        <v>553</v>
      </c>
      <c r="H1271">
        <v>187</v>
      </c>
      <c r="I1271">
        <v>86</v>
      </c>
      <c r="J1271">
        <v>42</v>
      </c>
      <c r="K1271">
        <v>0.377</v>
      </c>
      <c r="L1271">
        <v>0.31900000000000001</v>
      </c>
      <c r="M1271">
        <v>0.76500000000000001</v>
      </c>
      <c r="N1271">
        <v>0.1</v>
      </c>
      <c r="O1271">
        <v>6.0000000000000001E-3</v>
      </c>
      <c r="P1271">
        <v>2019</v>
      </c>
      <c r="Q1271">
        <v>11.1</v>
      </c>
      <c r="R1271">
        <v>3.7</v>
      </c>
      <c r="S1271">
        <v>1.7</v>
      </c>
      <c r="T1271">
        <v>0.8</v>
      </c>
      <c r="U1271">
        <v>2</v>
      </c>
      <c r="V1271">
        <v>17</v>
      </c>
      <c r="W1271">
        <f>IF(nba_draft[[#This Row],[years_played]]&gt;5,1,0)</f>
        <v>0</v>
      </c>
    </row>
    <row r="1272" spans="1:23" x14ac:dyDescent="0.25">
      <c r="A1272">
        <v>51</v>
      </c>
      <c r="B1272" t="s">
        <v>75</v>
      </c>
      <c r="C1272" t="s">
        <v>787</v>
      </c>
      <c r="D1272" t="s">
        <v>99</v>
      </c>
      <c r="E1272">
        <v>3</v>
      </c>
      <c r="F1272">
        <v>73</v>
      </c>
      <c r="G1272">
        <v>524</v>
      </c>
      <c r="H1272">
        <v>186</v>
      </c>
      <c r="I1272">
        <v>124</v>
      </c>
      <c r="J1272">
        <v>11</v>
      </c>
      <c r="K1272">
        <v>0.50700000000000001</v>
      </c>
      <c r="L1272">
        <v>0</v>
      </c>
      <c r="M1272">
        <v>0.69699999999999995</v>
      </c>
      <c r="N1272">
        <v>0.8</v>
      </c>
      <c r="O1272">
        <v>7.3999999999999996E-2</v>
      </c>
      <c r="P1272">
        <v>2001</v>
      </c>
      <c r="Q1272">
        <v>7.2</v>
      </c>
      <c r="R1272">
        <v>2.5</v>
      </c>
      <c r="S1272">
        <v>1.7</v>
      </c>
      <c r="T1272">
        <v>0.2</v>
      </c>
      <c r="U1272">
        <v>2</v>
      </c>
      <c r="V1272">
        <v>22</v>
      </c>
      <c r="W1272">
        <f>IF(nba_draft[[#This Row],[years_played]]&gt;5,1,0)</f>
        <v>0</v>
      </c>
    </row>
    <row r="1273" spans="1:23" x14ac:dyDescent="0.25">
      <c r="A1273">
        <v>36</v>
      </c>
      <c r="B1273" t="s">
        <v>31</v>
      </c>
      <c r="C1273" t="s">
        <v>934</v>
      </c>
      <c r="D1273" t="s">
        <v>196</v>
      </c>
      <c r="E1273">
        <v>2</v>
      </c>
      <c r="F1273">
        <v>81</v>
      </c>
      <c r="G1273">
        <v>789</v>
      </c>
      <c r="H1273">
        <v>186</v>
      </c>
      <c r="I1273">
        <v>49</v>
      </c>
      <c r="J1273">
        <v>104</v>
      </c>
      <c r="K1273">
        <v>0.38700000000000001</v>
      </c>
      <c r="L1273">
        <v>0.23499999999999999</v>
      </c>
      <c r="M1273">
        <v>0.57099999999999995</v>
      </c>
      <c r="N1273">
        <v>0.1</v>
      </c>
      <c r="O1273">
        <v>4.0000000000000001E-3</v>
      </c>
      <c r="P1273">
        <v>2004</v>
      </c>
      <c r="Q1273">
        <v>9.6999999999999993</v>
      </c>
      <c r="R1273">
        <v>2.2999999999999998</v>
      </c>
      <c r="S1273">
        <v>0.6</v>
      </c>
      <c r="T1273">
        <v>1.3</v>
      </c>
      <c r="U1273">
        <v>2</v>
      </c>
      <c r="V1273">
        <v>7</v>
      </c>
      <c r="W1273">
        <f>IF(nba_draft[[#This Row],[years_played]]&gt;5,1,0)</f>
        <v>0</v>
      </c>
    </row>
    <row r="1274" spans="1:23" x14ac:dyDescent="0.25">
      <c r="A1274">
        <v>9</v>
      </c>
      <c r="B1274" t="s">
        <v>52</v>
      </c>
      <c r="C1274" t="s">
        <v>1011</v>
      </c>
      <c r="D1274" t="s">
        <v>531</v>
      </c>
      <c r="E1274">
        <v>4</v>
      </c>
      <c r="F1274">
        <v>90</v>
      </c>
      <c r="G1274">
        <v>524</v>
      </c>
      <c r="H1274">
        <v>186</v>
      </c>
      <c r="I1274">
        <v>127</v>
      </c>
      <c r="J1274">
        <v>25</v>
      </c>
      <c r="K1274">
        <v>0.49399999999999999</v>
      </c>
      <c r="L1274">
        <v>0</v>
      </c>
      <c r="M1274">
        <v>0.58299999999999996</v>
      </c>
      <c r="N1274">
        <v>0.5</v>
      </c>
      <c r="O1274">
        <v>4.5999999999999999E-2</v>
      </c>
      <c r="P1274">
        <v>2006</v>
      </c>
      <c r="Q1274">
        <v>5.8</v>
      </c>
      <c r="R1274">
        <v>2.1</v>
      </c>
      <c r="S1274">
        <v>1.4</v>
      </c>
      <c r="T1274">
        <v>0.3</v>
      </c>
      <c r="U1274">
        <v>1</v>
      </c>
      <c r="V1274">
        <v>9</v>
      </c>
      <c r="W1274">
        <f>IF(nba_draft[[#This Row],[years_played]]&gt;5,1,0)</f>
        <v>0</v>
      </c>
    </row>
    <row r="1275" spans="1:23" x14ac:dyDescent="0.25">
      <c r="A1275">
        <v>54</v>
      </c>
      <c r="B1275" t="s">
        <v>22</v>
      </c>
      <c r="C1275" t="s">
        <v>1053</v>
      </c>
      <c r="D1275" t="s">
        <v>117</v>
      </c>
      <c r="E1275">
        <v>2</v>
      </c>
      <c r="F1275">
        <v>73</v>
      </c>
      <c r="G1275">
        <v>547</v>
      </c>
      <c r="H1275">
        <v>185</v>
      </c>
      <c r="I1275">
        <v>84</v>
      </c>
      <c r="J1275">
        <v>14</v>
      </c>
      <c r="K1275">
        <v>0.53400000000000003</v>
      </c>
      <c r="L1275">
        <v>0</v>
      </c>
      <c r="M1275">
        <v>0.64300000000000002</v>
      </c>
      <c r="N1275">
        <v>0.8</v>
      </c>
      <c r="O1275">
        <v>7.1999999999999995E-2</v>
      </c>
      <c r="P1275">
        <v>2006</v>
      </c>
      <c r="Q1275">
        <v>7.5</v>
      </c>
      <c r="R1275">
        <v>2.5</v>
      </c>
      <c r="S1275">
        <v>1.2</v>
      </c>
      <c r="T1275">
        <v>0.2</v>
      </c>
      <c r="U1275">
        <v>2</v>
      </c>
      <c r="V1275">
        <v>24</v>
      </c>
      <c r="W1275">
        <f>IF(nba_draft[[#This Row],[years_played]]&gt;5,1,0)</f>
        <v>0</v>
      </c>
    </row>
    <row r="1276" spans="1:23" x14ac:dyDescent="0.25">
      <c r="A1276">
        <v>39</v>
      </c>
      <c r="B1276" t="s">
        <v>63</v>
      </c>
      <c r="C1276" t="s">
        <v>1043</v>
      </c>
      <c r="D1276" t="s">
        <v>179</v>
      </c>
      <c r="E1276">
        <v>1</v>
      </c>
      <c r="F1276">
        <v>68</v>
      </c>
      <c r="G1276">
        <v>792</v>
      </c>
      <c r="H1276">
        <v>184</v>
      </c>
      <c r="I1276">
        <v>123</v>
      </c>
      <c r="J1276">
        <v>65</v>
      </c>
      <c r="K1276">
        <v>0.36699999999999999</v>
      </c>
      <c r="L1276">
        <v>0.32100000000000001</v>
      </c>
      <c r="M1276">
        <v>0.86</v>
      </c>
      <c r="N1276">
        <v>0.4</v>
      </c>
      <c r="O1276">
        <v>2.4E-2</v>
      </c>
      <c r="P1276">
        <v>2006</v>
      </c>
      <c r="Q1276">
        <v>11.6</v>
      </c>
      <c r="R1276">
        <v>2.7</v>
      </c>
      <c r="S1276">
        <v>1.8</v>
      </c>
      <c r="T1276">
        <v>1</v>
      </c>
      <c r="U1276">
        <v>2</v>
      </c>
      <c r="V1276">
        <v>9</v>
      </c>
      <c r="W1276">
        <f>IF(nba_draft[[#This Row],[years_played]]&gt;5,1,0)</f>
        <v>0</v>
      </c>
    </row>
    <row r="1277" spans="1:23" x14ac:dyDescent="0.25">
      <c r="A1277">
        <v>55</v>
      </c>
      <c r="B1277" t="s">
        <v>46</v>
      </c>
      <c r="C1277" t="s">
        <v>1492</v>
      </c>
      <c r="D1277" t="s">
        <v>54</v>
      </c>
      <c r="E1277">
        <v>1</v>
      </c>
      <c r="F1277">
        <v>64</v>
      </c>
      <c r="G1277">
        <v>973</v>
      </c>
      <c r="H1277">
        <v>183</v>
      </c>
      <c r="I1277">
        <v>87</v>
      </c>
      <c r="J1277">
        <v>130</v>
      </c>
      <c r="K1277">
        <v>0.34499999999999997</v>
      </c>
      <c r="L1277">
        <v>0.19</v>
      </c>
      <c r="M1277">
        <v>0.54800000000000004</v>
      </c>
      <c r="N1277">
        <v>0.1</v>
      </c>
      <c r="O1277">
        <v>6.0000000000000001E-3</v>
      </c>
      <c r="P1277">
        <v>2014</v>
      </c>
      <c r="Q1277">
        <v>15.2</v>
      </c>
      <c r="R1277">
        <v>2.9</v>
      </c>
      <c r="S1277">
        <v>1.4</v>
      </c>
      <c r="T1277">
        <v>2</v>
      </c>
      <c r="U1277">
        <v>2</v>
      </c>
      <c r="V1277">
        <v>25</v>
      </c>
      <c r="W1277">
        <f>IF(nba_draft[[#This Row],[years_played]]&gt;5,1,0)</f>
        <v>0</v>
      </c>
    </row>
    <row r="1278" spans="1:23" x14ac:dyDescent="0.25">
      <c r="A1278">
        <v>40</v>
      </c>
      <c r="B1278" t="s">
        <v>49</v>
      </c>
      <c r="C1278" t="s">
        <v>324</v>
      </c>
      <c r="D1278" t="s">
        <v>325</v>
      </c>
      <c r="E1278">
        <v>2</v>
      </c>
      <c r="F1278">
        <v>55</v>
      </c>
      <c r="G1278">
        <v>512</v>
      </c>
      <c r="H1278">
        <v>182</v>
      </c>
      <c r="I1278">
        <v>94</v>
      </c>
      <c r="J1278">
        <v>10</v>
      </c>
      <c r="K1278">
        <v>0.41499999999999998</v>
      </c>
      <c r="L1278">
        <v>0.4</v>
      </c>
      <c r="M1278">
        <v>0.64300000000000002</v>
      </c>
      <c r="N1278">
        <v>-0.3</v>
      </c>
      <c r="O1278">
        <v>-2.8000000000000001E-2</v>
      </c>
      <c r="P1278">
        <v>1993</v>
      </c>
      <c r="Q1278">
        <v>9.3000000000000007</v>
      </c>
      <c r="R1278">
        <v>3.3</v>
      </c>
      <c r="S1278">
        <v>1.7</v>
      </c>
      <c r="T1278">
        <v>0.2</v>
      </c>
      <c r="U1278">
        <v>2</v>
      </c>
      <c r="V1278">
        <v>13</v>
      </c>
      <c r="W1278">
        <f>IF(nba_draft[[#This Row],[years_played]]&gt;5,1,0)</f>
        <v>0</v>
      </c>
    </row>
    <row r="1279" spans="1:23" x14ac:dyDescent="0.25">
      <c r="A1279">
        <v>31</v>
      </c>
      <c r="B1279" t="s">
        <v>85</v>
      </c>
      <c r="C1279" t="s">
        <v>1034</v>
      </c>
      <c r="D1279" t="s">
        <v>310</v>
      </c>
      <c r="E1279">
        <v>3</v>
      </c>
      <c r="F1279">
        <v>67</v>
      </c>
      <c r="G1279">
        <v>583</v>
      </c>
      <c r="H1279">
        <v>182</v>
      </c>
      <c r="I1279">
        <v>68</v>
      </c>
      <c r="J1279">
        <v>35</v>
      </c>
      <c r="K1279">
        <v>0.438</v>
      </c>
      <c r="L1279">
        <v>0.34</v>
      </c>
      <c r="M1279">
        <v>0.67600000000000005</v>
      </c>
      <c r="N1279">
        <v>0.8</v>
      </c>
      <c r="O1279">
        <v>6.2E-2</v>
      </c>
      <c r="P1279">
        <v>2006</v>
      </c>
      <c r="Q1279">
        <v>8.6999999999999993</v>
      </c>
      <c r="R1279">
        <v>2.7</v>
      </c>
      <c r="S1279">
        <v>1</v>
      </c>
      <c r="T1279">
        <v>0.5</v>
      </c>
      <c r="U1279">
        <v>2</v>
      </c>
      <c r="V1279">
        <v>1</v>
      </c>
      <c r="W1279">
        <f>IF(nba_draft[[#This Row],[years_played]]&gt;5,1,0)</f>
        <v>0</v>
      </c>
    </row>
    <row r="1280" spans="1:23" x14ac:dyDescent="0.25">
      <c r="A1280">
        <v>42</v>
      </c>
      <c r="B1280" t="s">
        <v>102</v>
      </c>
      <c r="C1280" t="s">
        <v>1754</v>
      </c>
      <c r="D1280" t="s">
        <v>293</v>
      </c>
      <c r="E1280">
        <v>2</v>
      </c>
      <c r="F1280">
        <v>57</v>
      </c>
      <c r="G1280">
        <v>639</v>
      </c>
      <c r="H1280">
        <v>182</v>
      </c>
      <c r="I1280">
        <v>96</v>
      </c>
      <c r="J1280">
        <v>31</v>
      </c>
      <c r="K1280">
        <v>0.41899999999999998</v>
      </c>
      <c r="L1280">
        <v>0.32400000000000001</v>
      </c>
      <c r="M1280">
        <v>0.68200000000000005</v>
      </c>
      <c r="N1280">
        <v>0.4</v>
      </c>
      <c r="O1280">
        <v>2.7E-2</v>
      </c>
      <c r="P1280">
        <v>2019</v>
      </c>
      <c r="Q1280">
        <v>11.2</v>
      </c>
      <c r="R1280">
        <v>3.2</v>
      </c>
      <c r="S1280">
        <v>1.7</v>
      </c>
      <c r="T1280">
        <v>0.5</v>
      </c>
      <c r="U1280">
        <v>2</v>
      </c>
      <c r="V1280">
        <v>12</v>
      </c>
      <c r="W1280">
        <f>IF(nba_draft[[#This Row],[years_played]]&gt;5,1,0)</f>
        <v>0</v>
      </c>
    </row>
    <row r="1281" spans="1:23" x14ac:dyDescent="0.25">
      <c r="A1281">
        <v>29</v>
      </c>
      <c r="B1281" t="s">
        <v>75</v>
      </c>
      <c r="C1281" t="s">
        <v>1860</v>
      </c>
      <c r="D1281" t="s">
        <v>179</v>
      </c>
      <c r="E1281">
        <v>1</v>
      </c>
      <c r="F1281">
        <v>30</v>
      </c>
      <c r="G1281">
        <v>373</v>
      </c>
      <c r="H1281">
        <v>182</v>
      </c>
      <c r="I1281">
        <v>152</v>
      </c>
      <c r="J1281">
        <v>15</v>
      </c>
      <c r="K1281">
        <v>0.57099999999999995</v>
      </c>
      <c r="L1281">
        <v>0.25</v>
      </c>
      <c r="M1281">
        <v>0.56799999999999995</v>
      </c>
      <c r="N1281">
        <v>1.1000000000000001</v>
      </c>
      <c r="O1281">
        <v>0.14599999999999999</v>
      </c>
      <c r="P1281">
        <v>2021</v>
      </c>
      <c r="Q1281">
        <v>12.4</v>
      </c>
      <c r="R1281">
        <v>6.1</v>
      </c>
      <c r="S1281">
        <v>5.0999999999999996</v>
      </c>
      <c r="T1281">
        <v>0.5</v>
      </c>
      <c r="U1281">
        <v>1</v>
      </c>
      <c r="V1281">
        <v>29</v>
      </c>
      <c r="W1281">
        <f>IF(nba_draft[[#This Row],[years_played]]&gt;5,1,0)</f>
        <v>0</v>
      </c>
    </row>
    <row r="1282" spans="1:23" x14ac:dyDescent="0.25">
      <c r="A1282">
        <v>44</v>
      </c>
      <c r="B1282" t="s">
        <v>63</v>
      </c>
      <c r="C1282" t="s">
        <v>1259</v>
      </c>
      <c r="D1282" t="s">
        <v>664</v>
      </c>
      <c r="E1282">
        <v>2</v>
      </c>
      <c r="F1282">
        <v>65</v>
      </c>
      <c r="G1282">
        <v>491</v>
      </c>
      <c r="H1282">
        <v>180</v>
      </c>
      <c r="I1282">
        <v>132</v>
      </c>
      <c r="J1282">
        <v>17</v>
      </c>
      <c r="K1282">
        <v>0.52800000000000002</v>
      </c>
      <c r="L1282">
        <v>0</v>
      </c>
      <c r="M1282">
        <v>0.85199999999999998</v>
      </c>
      <c r="N1282">
        <v>1.7</v>
      </c>
      <c r="O1282">
        <v>0.16800000000000001</v>
      </c>
      <c r="P1282">
        <v>2010</v>
      </c>
      <c r="Q1282">
        <v>7.6</v>
      </c>
      <c r="R1282">
        <v>2.8</v>
      </c>
      <c r="S1282">
        <v>2</v>
      </c>
      <c r="T1282">
        <v>0.3</v>
      </c>
      <c r="U1282">
        <v>2</v>
      </c>
      <c r="V1282">
        <v>14</v>
      </c>
      <c r="W1282">
        <f>IF(nba_draft[[#This Row],[years_played]]&gt;5,1,0)</f>
        <v>0</v>
      </c>
    </row>
    <row r="1283" spans="1:23" x14ac:dyDescent="0.25">
      <c r="A1283">
        <v>44</v>
      </c>
      <c r="B1283" t="s">
        <v>22</v>
      </c>
      <c r="C1283" t="s">
        <v>1874</v>
      </c>
      <c r="D1283" t="s">
        <v>237</v>
      </c>
      <c r="E1283">
        <v>1</v>
      </c>
      <c r="F1283">
        <v>28</v>
      </c>
      <c r="G1283">
        <v>690</v>
      </c>
      <c r="H1283">
        <v>180</v>
      </c>
      <c r="I1283">
        <v>119</v>
      </c>
      <c r="J1283">
        <v>18</v>
      </c>
      <c r="K1283">
        <v>0.39400000000000002</v>
      </c>
      <c r="L1283">
        <v>0.33</v>
      </c>
      <c r="M1283">
        <v>0.8</v>
      </c>
      <c r="N1283">
        <v>0.2</v>
      </c>
      <c r="O1283">
        <v>1.6E-2</v>
      </c>
      <c r="P1283">
        <v>2021</v>
      </c>
      <c r="Q1283">
        <v>24.6</v>
      </c>
      <c r="R1283">
        <v>6.4</v>
      </c>
      <c r="S1283">
        <v>4.3</v>
      </c>
      <c r="T1283">
        <v>0.6</v>
      </c>
      <c r="U1283">
        <v>2</v>
      </c>
      <c r="V1283">
        <v>14</v>
      </c>
      <c r="W1283">
        <f>IF(nba_draft[[#This Row],[years_played]]&gt;5,1,0)</f>
        <v>0</v>
      </c>
    </row>
    <row r="1284" spans="1:23" x14ac:dyDescent="0.25">
      <c r="A1284">
        <v>50</v>
      </c>
      <c r="B1284" t="s">
        <v>52</v>
      </c>
      <c r="C1284" t="s">
        <v>274</v>
      </c>
      <c r="D1284" t="s">
        <v>275</v>
      </c>
      <c r="E1284">
        <v>3</v>
      </c>
      <c r="F1284">
        <v>50</v>
      </c>
      <c r="G1284">
        <v>512</v>
      </c>
      <c r="H1284">
        <v>177</v>
      </c>
      <c r="I1284">
        <v>110</v>
      </c>
      <c r="J1284">
        <v>25</v>
      </c>
      <c r="K1284">
        <v>0.5</v>
      </c>
      <c r="L1284">
        <v>0</v>
      </c>
      <c r="M1284">
        <v>0.625</v>
      </c>
      <c r="N1284">
        <v>0.6</v>
      </c>
      <c r="O1284">
        <v>5.8000000000000003E-2</v>
      </c>
      <c r="P1284">
        <v>1992</v>
      </c>
      <c r="Q1284">
        <v>10.199999999999999</v>
      </c>
      <c r="R1284">
        <v>3.5</v>
      </c>
      <c r="S1284">
        <v>2.2000000000000002</v>
      </c>
      <c r="T1284">
        <v>0.5</v>
      </c>
      <c r="U1284">
        <v>2</v>
      </c>
      <c r="V1284">
        <v>23</v>
      </c>
      <c r="W1284">
        <f>IF(nba_draft[[#This Row],[years_played]]&gt;5,1,0)</f>
        <v>0</v>
      </c>
    </row>
    <row r="1285" spans="1:23" x14ac:dyDescent="0.25">
      <c r="A1285">
        <v>32</v>
      </c>
      <c r="B1285" t="s">
        <v>75</v>
      </c>
      <c r="C1285" t="s">
        <v>1744</v>
      </c>
      <c r="D1285" t="s">
        <v>226</v>
      </c>
      <c r="E1285">
        <v>3</v>
      </c>
      <c r="F1285">
        <v>63</v>
      </c>
      <c r="G1285">
        <v>717</v>
      </c>
      <c r="H1285">
        <v>176</v>
      </c>
      <c r="I1285">
        <v>114</v>
      </c>
      <c r="J1285">
        <v>34</v>
      </c>
      <c r="K1285">
        <v>0.40600000000000003</v>
      </c>
      <c r="L1285">
        <v>0.27300000000000002</v>
      </c>
      <c r="M1285">
        <v>0.60699999999999998</v>
      </c>
      <c r="N1285">
        <v>0.7</v>
      </c>
      <c r="O1285">
        <v>4.8000000000000001E-2</v>
      </c>
      <c r="P1285">
        <v>2019</v>
      </c>
      <c r="Q1285">
        <v>11.4</v>
      </c>
      <c r="R1285">
        <v>2.8</v>
      </c>
      <c r="S1285">
        <v>1.8</v>
      </c>
      <c r="T1285">
        <v>0.5</v>
      </c>
      <c r="U1285">
        <v>2</v>
      </c>
      <c r="V1285">
        <v>2</v>
      </c>
      <c r="W1285">
        <f>IF(nba_draft[[#This Row],[years_played]]&gt;5,1,0)</f>
        <v>0</v>
      </c>
    </row>
    <row r="1286" spans="1:23" x14ac:dyDescent="0.25">
      <c r="A1286">
        <v>41</v>
      </c>
      <c r="B1286" t="s">
        <v>85</v>
      </c>
      <c r="C1286" t="s">
        <v>1370</v>
      </c>
      <c r="D1286" t="s">
        <v>108</v>
      </c>
      <c r="E1286">
        <v>2</v>
      </c>
      <c r="F1286">
        <v>61</v>
      </c>
      <c r="G1286">
        <v>491</v>
      </c>
      <c r="H1286">
        <v>174</v>
      </c>
      <c r="I1286">
        <v>33</v>
      </c>
      <c r="J1286">
        <v>57</v>
      </c>
      <c r="K1286">
        <v>0.35399999999999998</v>
      </c>
      <c r="L1286">
        <v>0.36</v>
      </c>
      <c r="M1286">
        <v>0.68400000000000005</v>
      </c>
      <c r="N1286">
        <v>-0.9</v>
      </c>
      <c r="O1286">
        <v>-8.7999999999999995E-2</v>
      </c>
      <c r="P1286">
        <v>2012</v>
      </c>
      <c r="Q1286">
        <v>8</v>
      </c>
      <c r="R1286">
        <v>2.9</v>
      </c>
      <c r="S1286">
        <v>0.5</v>
      </c>
      <c r="T1286">
        <v>0.9</v>
      </c>
      <c r="U1286">
        <v>2</v>
      </c>
      <c r="V1286">
        <v>11</v>
      </c>
      <c r="W1286">
        <f>IF(nba_draft[[#This Row],[years_played]]&gt;5,1,0)</f>
        <v>0</v>
      </c>
    </row>
    <row r="1287" spans="1:23" x14ac:dyDescent="0.25">
      <c r="A1287">
        <v>17</v>
      </c>
      <c r="B1287" t="s">
        <v>393</v>
      </c>
      <c r="C1287" t="s">
        <v>1557</v>
      </c>
      <c r="D1287" t="s">
        <v>716</v>
      </c>
      <c r="E1287">
        <v>3</v>
      </c>
      <c r="F1287">
        <v>56</v>
      </c>
      <c r="G1287">
        <v>579</v>
      </c>
      <c r="H1287">
        <v>174</v>
      </c>
      <c r="I1287">
        <v>69</v>
      </c>
      <c r="J1287">
        <v>78</v>
      </c>
      <c r="K1287">
        <v>0.35499999999999998</v>
      </c>
      <c r="L1287">
        <v>0.25</v>
      </c>
      <c r="M1287">
        <v>0.77600000000000002</v>
      </c>
      <c r="N1287">
        <v>-0.3</v>
      </c>
      <c r="O1287">
        <v>-2.8000000000000001E-2</v>
      </c>
      <c r="P1287">
        <v>2016</v>
      </c>
      <c r="Q1287">
        <v>10.3</v>
      </c>
      <c r="R1287">
        <v>3.1</v>
      </c>
      <c r="S1287">
        <v>1.2</v>
      </c>
      <c r="T1287">
        <v>1.4</v>
      </c>
      <c r="U1287">
        <v>1</v>
      </c>
      <c r="V1287">
        <v>17</v>
      </c>
      <c r="W1287">
        <f>IF(nba_draft[[#This Row],[years_played]]&gt;5,1,0)</f>
        <v>0</v>
      </c>
    </row>
    <row r="1288" spans="1:23" x14ac:dyDescent="0.25">
      <c r="A1288">
        <v>35</v>
      </c>
      <c r="B1288" t="s">
        <v>149</v>
      </c>
      <c r="C1288" t="s">
        <v>601</v>
      </c>
      <c r="D1288" t="s">
        <v>97</v>
      </c>
      <c r="E1288">
        <v>7</v>
      </c>
      <c r="F1288">
        <v>102</v>
      </c>
      <c r="G1288">
        <v>524</v>
      </c>
      <c r="H1288">
        <v>173</v>
      </c>
      <c r="I1288">
        <v>107</v>
      </c>
      <c r="J1288">
        <v>18</v>
      </c>
      <c r="K1288">
        <v>0.35599999999999998</v>
      </c>
      <c r="L1288">
        <v>0.20799999999999999</v>
      </c>
      <c r="M1288">
        <v>0.52600000000000002</v>
      </c>
      <c r="N1288">
        <v>-0.7</v>
      </c>
      <c r="O1288">
        <v>-6.2E-2</v>
      </c>
      <c r="P1288">
        <v>1998</v>
      </c>
      <c r="Q1288">
        <v>5.0999999999999996</v>
      </c>
      <c r="R1288">
        <v>1.7</v>
      </c>
      <c r="S1288">
        <v>1</v>
      </c>
      <c r="T1288">
        <v>0.2</v>
      </c>
      <c r="U1288">
        <v>2</v>
      </c>
      <c r="V1288">
        <v>6</v>
      </c>
      <c r="W1288">
        <f>IF(nba_draft[[#This Row],[years_played]]&gt;5,1,0)</f>
        <v>1</v>
      </c>
    </row>
    <row r="1289" spans="1:23" x14ac:dyDescent="0.25">
      <c r="A1289">
        <v>54</v>
      </c>
      <c r="B1289" t="s">
        <v>22</v>
      </c>
      <c r="C1289" t="s">
        <v>838</v>
      </c>
      <c r="D1289" t="s">
        <v>839</v>
      </c>
      <c r="E1289">
        <v>3</v>
      </c>
      <c r="F1289">
        <v>66</v>
      </c>
      <c r="G1289">
        <v>517</v>
      </c>
      <c r="H1289">
        <v>173</v>
      </c>
      <c r="I1289">
        <v>70</v>
      </c>
      <c r="J1289">
        <v>31</v>
      </c>
      <c r="K1289">
        <v>0.36099999999999999</v>
      </c>
      <c r="L1289">
        <v>0.26500000000000001</v>
      </c>
      <c r="M1289">
        <v>0.53800000000000003</v>
      </c>
      <c r="N1289">
        <v>-0.3</v>
      </c>
      <c r="O1289">
        <v>-2.9000000000000001E-2</v>
      </c>
      <c r="P1289">
        <v>2002</v>
      </c>
      <c r="Q1289">
        <v>7.8</v>
      </c>
      <c r="R1289">
        <v>2.6</v>
      </c>
      <c r="S1289">
        <v>1.1000000000000001</v>
      </c>
      <c r="T1289">
        <v>0.5</v>
      </c>
      <c r="U1289">
        <v>2</v>
      </c>
      <c r="V1289">
        <v>25</v>
      </c>
      <c r="W1289">
        <f>IF(nba_draft[[#This Row],[years_played]]&gt;5,1,0)</f>
        <v>0</v>
      </c>
    </row>
    <row r="1290" spans="1:23" x14ac:dyDescent="0.25">
      <c r="A1290">
        <v>16</v>
      </c>
      <c r="B1290" t="s">
        <v>70</v>
      </c>
      <c r="C1290" t="s">
        <v>1556</v>
      </c>
      <c r="D1290" t="s">
        <v>97</v>
      </c>
      <c r="E1290">
        <v>2</v>
      </c>
      <c r="F1290">
        <v>74</v>
      </c>
      <c r="G1290">
        <v>486</v>
      </c>
      <c r="H1290">
        <v>173</v>
      </c>
      <c r="I1290">
        <v>105</v>
      </c>
      <c r="J1290">
        <v>31</v>
      </c>
      <c r="K1290">
        <v>0.442</v>
      </c>
      <c r="L1290">
        <v>0.32300000000000001</v>
      </c>
      <c r="M1290">
        <v>0.68200000000000005</v>
      </c>
      <c r="N1290">
        <v>1.1000000000000001</v>
      </c>
      <c r="O1290">
        <v>0.105</v>
      </c>
      <c r="P1290">
        <v>2016</v>
      </c>
      <c r="Q1290">
        <v>6.6</v>
      </c>
      <c r="R1290">
        <v>2.2999999999999998</v>
      </c>
      <c r="S1290">
        <v>1.4</v>
      </c>
      <c r="T1290">
        <v>0.4</v>
      </c>
      <c r="U1290">
        <v>1</v>
      </c>
      <c r="V1290">
        <v>16</v>
      </c>
      <c r="W1290">
        <f>IF(nba_draft[[#This Row],[years_played]]&gt;5,1,0)</f>
        <v>0</v>
      </c>
    </row>
    <row r="1291" spans="1:23" x14ac:dyDescent="0.25">
      <c r="A1291">
        <v>50</v>
      </c>
      <c r="B1291" t="s">
        <v>127</v>
      </c>
      <c r="C1291" t="s">
        <v>1700</v>
      </c>
      <c r="D1291" t="s">
        <v>1701</v>
      </c>
      <c r="E1291">
        <v>4</v>
      </c>
      <c r="F1291">
        <v>68</v>
      </c>
      <c r="G1291">
        <v>510</v>
      </c>
      <c r="H1291">
        <v>173</v>
      </c>
      <c r="I1291">
        <v>205</v>
      </c>
      <c r="J1291">
        <v>30</v>
      </c>
      <c r="K1291">
        <v>0.49299999999999999</v>
      </c>
      <c r="L1291">
        <v>0.25</v>
      </c>
      <c r="M1291">
        <v>0.71799999999999997</v>
      </c>
      <c r="N1291">
        <v>1.3</v>
      </c>
      <c r="O1291">
        <v>0.124</v>
      </c>
      <c r="P1291">
        <v>2018</v>
      </c>
      <c r="Q1291">
        <v>7.5</v>
      </c>
      <c r="R1291">
        <v>2.5</v>
      </c>
      <c r="S1291">
        <v>3</v>
      </c>
      <c r="T1291">
        <v>0.4</v>
      </c>
      <c r="U1291">
        <v>2</v>
      </c>
      <c r="V1291">
        <v>20</v>
      </c>
      <c r="W1291">
        <f>IF(nba_draft[[#This Row],[years_played]]&gt;5,1,0)</f>
        <v>0</v>
      </c>
    </row>
    <row r="1292" spans="1:23" x14ac:dyDescent="0.25">
      <c r="A1292">
        <v>49</v>
      </c>
      <c r="B1292" t="s">
        <v>49</v>
      </c>
      <c r="C1292" t="s">
        <v>620</v>
      </c>
      <c r="D1292" t="s">
        <v>439</v>
      </c>
      <c r="E1292">
        <v>1</v>
      </c>
      <c r="F1292">
        <v>42</v>
      </c>
      <c r="G1292">
        <v>624</v>
      </c>
      <c r="H1292">
        <v>171</v>
      </c>
      <c r="I1292">
        <v>49</v>
      </c>
      <c r="J1292">
        <v>66</v>
      </c>
      <c r="K1292">
        <v>0.32900000000000001</v>
      </c>
      <c r="L1292">
        <v>0.16700000000000001</v>
      </c>
      <c r="M1292">
        <v>0.75</v>
      </c>
      <c r="N1292">
        <v>-1.2</v>
      </c>
      <c r="O1292">
        <v>-8.8999999999999996E-2</v>
      </c>
      <c r="P1292">
        <v>1998</v>
      </c>
      <c r="Q1292">
        <v>14.9</v>
      </c>
      <c r="R1292">
        <v>4.0999999999999996</v>
      </c>
      <c r="S1292">
        <v>1.2</v>
      </c>
      <c r="T1292">
        <v>1.6</v>
      </c>
      <c r="U1292">
        <v>2</v>
      </c>
      <c r="V1292">
        <v>20</v>
      </c>
      <c r="W1292">
        <f>IF(nba_draft[[#This Row],[years_played]]&gt;5,1,0)</f>
        <v>0</v>
      </c>
    </row>
    <row r="1293" spans="1:23" x14ac:dyDescent="0.25">
      <c r="A1293">
        <v>46</v>
      </c>
      <c r="B1293" t="s">
        <v>395</v>
      </c>
      <c r="C1293" t="s">
        <v>1875</v>
      </c>
      <c r="D1293" t="s">
        <v>162</v>
      </c>
      <c r="E1293">
        <v>1</v>
      </c>
      <c r="F1293">
        <v>47</v>
      </c>
      <c r="G1293">
        <v>555</v>
      </c>
      <c r="H1293">
        <v>170</v>
      </c>
      <c r="I1293">
        <v>104</v>
      </c>
      <c r="J1293">
        <v>75</v>
      </c>
      <c r="K1293">
        <v>0.41299999999999998</v>
      </c>
      <c r="L1293">
        <v>0.25600000000000001</v>
      </c>
      <c r="M1293">
        <v>0.61799999999999999</v>
      </c>
      <c r="N1293">
        <v>0.3</v>
      </c>
      <c r="O1293">
        <v>2.3E-2</v>
      </c>
      <c r="P1293">
        <v>2021</v>
      </c>
      <c r="Q1293">
        <v>11.8</v>
      </c>
      <c r="R1293">
        <v>3.6</v>
      </c>
      <c r="S1293">
        <v>2.2000000000000002</v>
      </c>
      <c r="T1293">
        <v>1.6</v>
      </c>
      <c r="U1293">
        <v>2</v>
      </c>
      <c r="V1293">
        <v>16</v>
      </c>
      <c r="W1293">
        <f>IF(nba_draft[[#This Row],[years_played]]&gt;5,1,0)</f>
        <v>0</v>
      </c>
    </row>
    <row r="1294" spans="1:23" x14ac:dyDescent="0.25">
      <c r="A1294">
        <v>29</v>
      </c>
      <c r="B1294" t="s">
        <v>46</v>
      </c>
      <c r="C1294" t="s">
        <v>974</v>
      </c>
      <c r="D1294" t="s">
        <v>108</v>
      </c>
      <c r="E1294">
        <v>2</v>
      </c>
      <c r="F1294">
        <v>51</v>
      </c>
      <c r="G1294">
        <v>507</v>
      </c>
      <c r="H1294">
        <v>169</v>
      </c>
      <c r="I1294">
        <v>99</v>
      </c>
      <c r="J1294">
        <v>11</v>
      </c>
      <c r="K1294">
        <v>0.46899999999999997</v>
      </c>
      <c r="L1294">
        <v>0</v>
      </c>
      <c r="M1294">
        <v>0.85399999999999998</v>
      </c>
      <c r="N1294">
        <v>0.9</v>
      </c>
      <c r="O1294">
        <v>8.3000000000000004E-2</v>
      </c>
      <c r="P1294">
        <v>2005</v>
      </c>
      <c r="Q1294">
        <v>9.9</v>
      </c>
      <c r="R1294">
        <v>3.3</v>
      </c>
      <c r="S1294">
        <v>1.9</v>
      </c>
      <c r="T1294">
        <v>0.2</v>
      </c>
      <c r="U1294">
        <v>1</v>
      </c>
      <c r="V1294">
        <v>29</v>
      </c>
      <c r="W1294">
        <f>IF(nba_draft[[#This Row],[years_played]]&gt;5,1,0)</f>
        <v>0</v>
      </c>
    </row>
    <row r="1295" spans="1:23" x14ac:dyDescent="0.25">
      <c r="A1295">
        <v>28</v>
      </c>
      <c r="B1295" t="s">
        <v>149</v>
      </c>
      <c r="C1295" t="s">
        <v>1031</v>
      </c>
      <c r="D1295" t="s">
        <v>148</v>
      </c>
      <c r="E1295">
        <v>4</v>
      </c>
      <c r="F1295">
        <v>82</v>
      </c>
      <c r="G1295">
        <v>505</v>
      </c>
      <c r="H1295">
        <v>169</v>
      </c>
      <c r="I1295">
        <v>46</v>
      </c>
      <c r="J1295">
        <v>19</v>
      </c>
      <c r="K1295">
        <v>0.33900000000000002</v>
      </c>
      <c r="L1295">
        <v>0.25</v>
      </c>
      <c r="M1295">
        <v>0.56599999999999995</v>
      </c>
      <c r="N1295">
        <v>-0.9</v>
      </c>
      <c r="O1295">
        <v>-8.8999999999999996E-2</v>
      </c>
      <c r="P1295">
        <v>2006</v>
      </c>
      <c r="Q1295">
        <v>6.2</v>
      </c>
      <c r="R1295">
        <v>2.1</v>
      </c>
      <c r="S1295">
        <v>0.6</v>
      </c>
      <c r="T1295">
        <v>0.2</v>
      </c>
      <c r="U1295">
        <v>1</v>
      </c>
      <c r="V1295">
        <v>28</v>
      </c>
      <c r="W1295">
        <f>IF(nba_draft[[#This Row],[years_played]]&gt;5,1,0)</f>
        <v>0</v>
      </c>
    </row>
    <row r="1296" spans="1:23" x14ac:dyDescent="0.25">
      <c r="A1296">
        <v>26</v>
      </c>
      <c r="B1296" t="s">
        <v>85</v>
      </c>
      <c r="C1296" t="s">
        <v>1621</v>
      </c>
      <c r="D1296" t="s">
        <v>119</v>
      </c>
      <c r="E1296">
        <v>3</v>
      </c>
      <c r="F1296">
        <v>75</v>
      </c>
      <c r="G1296">
        <v>655</v>
      </c>
      <c r="H1296">
        <v>169</v>
      </c>
      <c r="I1296">
        <v>218</v>
      </c>
      <c r="J1296">
        <v>56</v>
      </c>
      <c r="K1296">
        <v>0.438</v>
      </c>
      <c r="L1296">
        <v>0.11799999999999999</v>
      </c>
      <c r="M1296">
        <v>0.61399999999999999</v>
      </c>
      <c r="N1296">
        <v>-0.2</v>
      </c>
      <c r="O1296">
        <v>-1.4999999999999999E-2</v>
      </c>
      <c r="P1296">
        <v>2017</v>
      </c>
      <c r="Q1296">
        <v>8.6999999999999993</v>
      </c>
      <c r="R1296">
        <v>2.2999999999999998</v>
      </c>
      <c r="S1296">
        <v>2.9</v>
      </c>
      <c r="T1296">
        <v>0.7</v>
      </c>
      <c r="U1296">
        <v>1</v>
      </c>
      <c r="V1296">
        <v>26</v>
      </c>
      <c r="W1296">
        <f>IF(nba_draft[[#This Row],[years_played]]&gt;5,1,0)</f>
        <v>0</v>
      </c>
    </row>
    <row r="1297" spans="1:23" x14ac:dyDescent="0.25">
      <c r="A1297">
        <v>28</v>
      </c>
      <c r="B1297" t="s">
        <v>52</v>
      </c>
      <c r="C1297" t="s">
        <v>1680</v>
      </c>
      <c r="D1297" t="s">
        <v>310</v>
      </c>
      <c r="E1297">
        <v>2</v>
      </c>
      <c r="F1297">
        <v>59</v>
      </c>
      <c r="G1297">
        <v>622</v>
      </c>
      <c r="H1297">
        <v>168</v>
      </c>
      <c r="I1297">
        <v>66</v>
      </c>
      <c r="J1297">
        <v>54</v>
      </c>
      <c r="K1297">
        <v>0.33700000000000002</v>
      </c>
      <c r="L1297">
        <v>0.315</v>
      </c>
      <c r="M1297">
        <v>0.83299999999999996</v>
      </c>
      <c r="N1297">
        <v>-0.6</v>
      </c>
      <c r="O1297">
        <v>-4.7E-2</v>
      </c>
      <c r="P1297">
        <v>2018</v>
      </c>
      <c r="Q1297">
        <v>10.5</v>
      </c>
      <c r="R1297">
        <v>2.8</v>
      </c>
      <c r="S1297">
        <v>1.1000000000000001</v>
      </c>
      <c r="T1297">
        <v>0.9</v>
      </c>
      <c r="U1297">
        <v>1</v>
      </c>
      <c r="V1297">
        <v>28</v>
      </c>
      <c r="W1297">
        <f>IF(nba_draft[[#This Row],[years_played]]&gt;5,1,0)</f>
        <v>0</v>
      </c>
    </row>
    <row r="1298" spans="1:23" x14ac:dyDescent="0.25">
      <c r="A1298">
        <v>45</v>
      </c>
      <c r="B1298" t="s">
        <v>52</v>
      </c>
      <c r="C1298" t="s">
        <v>380</v>
      </c>
      <c r="D1298" t="s">
        <v>39</v>
      </c>
      <c r="E1298">
        <v>1</v>
      </c>
      <c r="F1298">
        <v>41</v>
      </c>
      <c r="G1298">
        <v>395</v>
      </c>
      <c r="H1298">
        <v>167</v>
      </c>
      <c r="I1298">
        <v>58</v>
      </c>
      <c r="J1298">
        <v>18</v>
      </c>
      <c r="K1298">
        <v>0.38800000000000001</v>
      </c>
      <c r="L1298">
        <v>0.36</v>
      </c>
      <c r="M1298">
        <v>0.68200000000000005</v>
      </c>
      <c r="N1298">
        <v>0.2</v>
      </c>
      <c r="O1298">
        <v>2.5000000000000001E-2</v>
      </c>
      <c r="P1298">
        <v>1994</v>
      </c>
      <c r="Q1298">
        <v>9.6</v>
      </c>
      <c r="R1298">
        <v>4.0999999999999996</v>
      </c>
      <c r="S1298">
        <v>1.4</v>
      </c>
      <c r="T1298">
        <v>0.4</v>
      </c>
      <c r="U1298">
        <v>2</v>
      </c>
      <c r="V1298">
        <v>18</v>
      </c>
      <c r="W1298">
        <f>IF(nba_draft[[#This Row],[years_played]]&gt;5,1,0)</f>
        <v>0</v>
      </c>
    </row>
    <row r="1299" spans="1:23" x14ac:dyDescent="0.25">
      <c r="A1299">
        <v>34</v>
      </c>
      <c r="B1299" t="s">
        <v>49</v>
      </c>
      <c r="C1299" t="s">
        <v>931</v>
      </c>
      <c r="D1299" t="s">
        <v>932</v>
      </c>
      <c r="E1299">
        <v>2</v>
      </c>
      <c r="F1299">
        <v>61</v>
      </c>
      <c r="G1299">
        <v>560</v>
      </c>
      <c r="H1299">
        <v>165</v>
      </c>
      <c r="I1299">
        <v>66</v>
      </c>
      <c r="J1299">
        <v>48</v>
      </c>
      <c r="K1299">
        <v>0.42099999999999999</v>
      </c>
      <c r="L1299">
        <v>0.308</v>
      </c>
      <c r="M1299">
        <v>0.65</v>
      </c>
      <c r="N1299">
        <v>0.5</v>
      </c>
      <c r="O1299">
        <v>4.2999999999999997E-2</v>
      </c>
      <c r="P1299">
        <v>2004</v>
      </c>
      <c r="Q1299">
        <v>9.1999999999999993</v>
      </c>
      <c r="R1299">
        <v>2.7</v>
      </c>
      <c r="S1299">
        <v>1.1000000000000001</v>
      </c>
      <c r="T1299">
        <v>0.8</v>
      </c>
      <c r="U1299">
        <v>2</v>
      </c>
      <c r="V1299">
        <v>5</v>
      </c>
      <c r="W1299">
        <f>IF(nba_draft[[#This Row],[years_played]]&gt;5,1,0)</f>
        <v>0</v>
      </c>
    </row>
    <row r="1300" spans="1:23" x14ac:dyDescent="0.25">
      <c r="A1300">
        <v>55</v>
      </c>
      <c r="B1300" t="s">
        <v>65</v>
      </c>
      <c r="C1300" t="s">
        <v>1767</v>
      </c>
      <c r="D1300" t="s">
        <v>232</v>
      </c>
      <c r="E1300">
        <v>3</v>
      </c>
      <c r="F1300">
        <v>49</v>
      </c>
      <c r="G1300">
        <v>420</v>
      </c>
      <c r="H1300">
        <v>164</v>
      </c>
      <c r="I1300">
        <v>49</v>
      </c>
      <c r="J1300">
        <v>50</v>
      </c>
      <c r="K1300">
        <v>0.373</v>
      </c>
      <c r="L1300">
        <v>0.32100000000000001</v>
      </c>
      <c r="M1300">
        <v>0.76700000000000002</v>
      </c>
      <c r="N1300">
        <v>0.2</v>
      </c>
      <c r="O1300">
        <v>1.7999999999999999E-2</v>
      </c>
      <c r="P1300">
        <v>2019</v>
      </c>
      <c r="Q1300">
        <v>8.6</v>
      </c>
      <c r="R1300">
        <v>3.3</v>
      </c>
      <c r="S1300">
        <v>1</v>
      </c>
      <c r="T1300">
        <v>1</v>
      </c>
      <c r="U1300">
        <v>2</v>
      </c>
      <c r="V1300">
        <v>25</v>
      </c>
      <c r="W1300">
        <f>IF(nba_draft[[#This Row],[years_played]]&gt;5,1,0)</f>
        <v>0</v>
      </c>
    </row>
    <row r="1301" spans="1:23" x14ac:dyDescent="0.25">
      <c r="A1301">
        <v>15</v>
      </c>
      <c r="B1301" t="s">
        <v>34</v>
      </c>
      <c r="C1301" t="s">
        <v>1017</v>
      </c>
      <c r="D1301" t="s">
        <v>184</v>
      </c>
      <c r="E1301">
        <v>3</v>
      </c>
      <c r="F1301">
        <v>75</v>
      </c>
      <c r="G1301">
        <v>705</v>
      </c>
      <c r="H1301">
        <v>163</v>
      </c>
      <c r="I1301">
        <v>141</v>
      </c>
      <c r="J1301">
        <v>14</v>
      </c>
      <c r="K1301">
        <v>0.40899999999999997</v>
      </c>
      <c r="L1301">
        <v>0</v>
      </c>
      <c r="M1301">
        <v>0.39</v>
      </c>
      <c r="N1301">
        <v>0.1</v>
      </c>
      <c r="O1301">
        <v>5.0000000000000001E-3</v>
      </c>
      <c r="P1301">
        <v>2006</v>
      </c>
      <c r="Q1301">
        <v>9.4</v>
      </c>
      <c r="R1301">
        <v>2.2000000000000002</v>
      </c>
      <c r="S1301">
        <v>1.9</v>
      </c>
      <c r="T1301">
        <v>0.2</v>
      </c>
      <c r="U1301">
        <v>1</v>
      </c>
      <c r="V1301">
        <v>15</v>
      </c>
      <c r="W1301">
        <f>IF(nba_draft[[#This Row],[years_played]]&gt;5,1,0)</f>
        <v>0</v>
      </c>
    </row>
    <row r="1302" spans="1:23" x14ac:dyDescent="0.25">
      <c r="A1302">
        <v>36</v>
      </c>
      <c r="B1302" t="s">
        <v>52</v>
      </c>
      <c r="C1302" t="s">
        <v>1092</v>
      </c>
      <c r="D1302" t="s">
        <v>228</v>
      </c>
      <c r="E1302">
        <v>2</v>
      </c>
      <c r="F1302">
        <v>52</v>
      </c>
      <c r="G1302">
        <v>433</v>
      </c>
      <c r="H1302">
        <v>162</v>
      </c>
      <c r="I1302">
        <v>96</v>
      </c>
      <c r="J1302">
        <v>14</v>
      </c>
      <c r="K1302">
        <v>0.42499999999999999</v>
      </c>
      <c r="L1302">
        <v>0</v>
      </c>
      <c r="M1302">
        <v>0.57799999999999996</v>
      </c>
      <c r="N1302">
        <v>0</v>
      </c>
      <c r="O1302">
        <v>0</v>
      </c>
      <c r="P1302">
        <v>2007</v>
      </c>
      <c r="Q1302">
        <v>8.3000000000000007</v>
      </c>
      <c r="R1302">
        <v>3.1</v>
      </c>
      <c r="S1302">
        <v>1.8</v>
      </c>
      <c r="T1302">
        <v>0.3</v>
      </c>
      <c r="U1302">
        <v>2</v>
      </c>
      <c r="V1302">
        <v>6</v>
      </c>
      <c r="W1302">
        <f>IF(nba_draft[[#This Row],[years_played]]&gt;5,1,0)</f>
        <v>0</v>
      </c>
    </row>
    <row r="1303" spans="1:23" x14ac:dyDescent="0.25">
      <c r="A1303">
        <v>49</v>
      </c>
      <c r="B1303" t="s">
        <v>28</v>
      </c>
      <c r="C1303" t="s">
        <v>1644</v>
      </c>
      <c r="D1303" t="s">
        <v>97</v>
      </c>
      <c r="E1303">
        <v>3</v>
      </c>
      <c r="F1303">
        <v>69</v>
      </c>
      <c r="G1303">
        <v>478</v>
      </c>
      <c r="H1303">
        <v>162</v>
      </c>
      <c r="I1303">
        <v>83</v>
      </c>
      <c r="J1303">
        <v>30</v>
      </c>
      <c r="K1303">
        <v>0.48399999999999999</v>
      </c>
      <c r="L1303">
        <v>0.33300000000000002</v>
      </c>
      <c r="M1303">
        <v>0.79300000000000004</v>
      </c>
      <c r="N1303">
        <v>0.8</v>
      </c>
      <c r="O1303">
        <v>7.8E-2</v>
      </c>
      <c r="P1303">
        <v>2017</v>
      </c>
      <c r="Q1303">
        <v>6.9</v>
      </c>
      <c r="R1303">
        <v>2.2999999999999998</v>
      </c>
      <c r="S1303">
        <v>1.2</v>
      </c>
      <c r="T1303">
        <v>0.4</v>
      </c>
      <c r="U1303">
        <v>2</v>
      </c>
      <c r="V1303">
        <v>19</v>
      </c>
      <c r="W1303">
        <f>IF(nba_draft[[#This Row],[years_played]]&gt;5,1,0)</f>
        <v>0</v>
      </c>
    </row>
    <row r="1304" spans="1:23" x14ac:dyDescent="0.25">
      <c r="A1304">
        <v>34</v>
      </c>
      <c r="B1304" t="s">
        <v>90</v>
      </c>
      <c r="C1304" t="s">
        <v>1529</v>
      </c>
      <c r="D1304" t="s">
        <v>226</v>
      </c>
      <c r="E1304">
        <v>3</v>
      </c>
      <c r="F1304">
        <v>41</v>
      </c>
      <c r="G1304">
        <v>762</v>
      </c>
      <c r="H1304">
        <v>161</v>
      </c>
      <c r="I1304">
        <v>103</v>
      </c>
      <c r="J1304">
        <v>28</v>
      </c>
      <c r="K1304">
        <v>0.32800000000000001</v>
      </c>
      <c r="L1304">
        <v>0.28599999999999998</v>
      </c>
      <c r="M1304">
        <v>0.85</v>
      </c>
      <c r="N1304">
        <v>-0.2</v>
      </c>
      <c r="O1304">
        <v>-1.6E-2</v>
      </c>
      <c r="P1304">
        <v>2015</v>
      </c>
      <c r="Q1304">
        <v>18.600000000000001</v>
      </c>
      <c r="R1304">
        <v>3.9</v>
      </c>
      <c r="S1304">
        <v>2.5</v>
      </c>
      <c r="T1304">
        <v>0.7</v>
      </c>
      <c r="U1304">
        <v>2</v>
      </c>
      <c r="V1304">
        <v>4</v>
      </c>
      <c r="W1304">
        <f>IF(nba_draft[[#This Row],[years_played]]&gt;5,1,0)</f>
        <v>0</v>
      </c>
    </row>
    <row r="1305" spans="1:23" x14ac:dyDescent="0.25">
      <c r="A1305">
        <v>13</v>
      </c>
      <c r="B1305" t="s">
        <v>75</v>
      </c>
      <c r="C1305" t="s">
        <v>1553</v>
      </c>
      <c r="D1305" t="s">
        <v>97</v>
      </c>
      <c r="E1305">
        <v>2</v>
      </c>
      <c r="F1305">
        <v>39</v>
      </c>
      <c r="G1305">
        <v>477</v>
      </c>
      <c r="H1305">
        <v>160</v>
      </c>
      <c r="I1305">
        <v>123</v>
      </c>
      <c r="J1305">
        <v>29</v>
      </c>
      <c r="K1305">
        <v>0.51400000000000001</v>
      </c>
      <c r="L1305">
        <v>0</v>
      </c>
      <c r="M1305">
        <v>0.85699999999999998</v>
      </c>
      <c r="N1305">
        <v>0.4</v>
      </c>
      <c r="O1305">
        <v>4.3999999999999997E-2</v>
      </c>
      <c r="P1305">
        <v>2016</v>
      </c>
      <c r="Q1305">
        <v>12.2</v>
      </c>
      <c r="R1305">
        <v>4.0999999999999996</v>
      </c>
      <c r="S1305">
        <v>3.2</v>
      </c>
      <c r="T1305">
        <v>0.7</v>
      </c>
      <c r="U1305">
        <v>1</v>
      </c>
      <c r="V1305">
        <v>13</v>
      </c>
      <c r="W1305">
        <f>IF(nba_draft[[#This Row],[years_played]]&gt;5,1,0)</f>
        <v>0</v>
      </c>
    </row>
    <row r="1306" spans="1:23" x14ac:dyDescent="0.25">
      <c r="A1306">
        <v>38</v>
      </c>
      <c r="B1306" t="s">
        <v>102</v>
      </c>
      <c r="C1306" t="s">
        <v>1690</v>
      </c>
      <c r="D1306" t="s">
        <v>188</v>
      </c>
      <c r="E1306">
        <v>3</v>
      </c>
      <c r="F1306">
        <v>39</v>
      </c>
      <c r="G1306">
        <v>409</v>
      </c>
      <c r="H1306">
        <v>160</v>
      </c>
      <c r="I1306">
        <v>39</v>
      </c>
      <c r="J1306">
        <v>36</v>
      </c>
      <c r="K1306">
        <v>0.38800000000000001</v>
      </c>
      <c r="L1306">
        <v>0.316</v>
      </c>
      <c r="M1306">
        <v>0.75</v>
      </c>
      <c r="N1306">
        <v>0.5</v>
      </c>
      <c r="O1306">
        <v>5.8000000000000003E-2</v>
      </c>
      <c r="P1306">
        <v>2018</v>
      </c>
      <c r="Q1306">
        <v>10.5</v>
      </c>
      <c r="R1306">
        <v>4.0999999999999996</v>
      </c>
      <c r="S1306">
        <v>1</v>
      </c>
      <c r="T1306">
        <v>0.9</v>
      </c>
      <c r="U1306">
        <v>2</v>
      </c>
      <c r="V1306">
        <v>8</v>
      </c>
      <c r="W1306">
        <f>IF(nba_draft[[#This Row],[years_played]]&gt;5,1,0)</f>
        <v>0</v>
      </c>
    </row>
    <row r="1307" spans="1:23" x14ac:dyDescent="0.25">
      <c r="A1307">
        <v>17</v>
      </c>
      <c r="B1307" t="s">
        <v>393</v>
      </c>
      <c r="C1307" t="s">
        <v>1848</v>
      </c>
      <c r="D1307" t="s">
        <v>232</v>
      </c>
      <c r="E1307">
        <v>1</v>
      </c>
      <c r="F1307">
        <v>41</v>
      </c>
      <c r="G1307">
        <v>519</v>
      </c>
      <c r="H1307">
        <v>160</v>
      </c>
      <c r="I1307">
        <v>88</v>
      </c>
      <c r="J1307">
        <v>20</v>
      </c>
      <c r="K1307">
        <v>0.33800000000000002</v>
      </c>
      <c r="L1307">
        <v>0.33600000000000002</v>
      </c>
      <c r="M1307">
        <v>0.85699999999999998</v>
      </c>
      <c r="N1307">
        <v>0.6</v>
      </c>
      <c r="O1307">
        <v>5.1999999999999998E-2</v>
      </c>
      <c r="P1307">
        <v>2021</v>
      </c>
      <c r="Q1307">
        <v>12.7</v>
      </c>
      <c r="R1307">
        <v>3.9</v>
      </c>
      <c r="S1307">
        <v>2.1</v>
      </c>
      <c r="T1307">
        <v>0.5</v>
      </c>
      <c r="U1307">
        <v>1</v>
      </c>
      <c r="V1307">
        <v>17</v>
      </c>
      <c r="W1307">
        <f>IF(nba_draft[[#This Row],[years_played]]&gt;5,1,0)</f>
        <v>0</v>
      </c>
    </row>
    <row r="1308" spans="1:23" x14ac:dyDescent="0.25">
      <c r="A1308">
        <v>46</v>
      </c>
      <c r="B1308" t="s">
        <v>104</v>
      </c>
      <c r="C1308" t="s">
        <v>1434</v>
      </c>
      <c r="D1308" t="s">
        <v>121</v>
      </c>
      <c r="E1308">
        <v>2</v>
      </c>
      <c r="F1308">
        <v>52</v>
      </c>
      <c r="G1308">
        <v>452</v>
      </c>
      <c r="H1308">
        <v>159</v>
      </c>
      <c r="I1308">
        <v>37</v>
      </c>
      <c r="J1308">
        <v>42</v>
      </c>
      <c r="K1308">
        <v>0.377</v>
      </c>
      <c r="L1308">
        <v>0.28799999999999998</v>
      </c>
      <c r="M1308">
        <v>0.85699999999999998</v>
      </c>
      <c r="N1308">
        <v>0.1</v>
      </c>
      <c r="O1308">
        <v>1.0999999999999999E-2</v>
      </c>
      <c r="P1308">
        <v>2013</v>
      </c>
      <c r="Q1308">
        <v>8.6999999999999993</v>
      </c>
      <c r="R1308">
        <v>3.1</v>
      </c>
      <c r="S1308">
        <v>0.7</v>
      </c>
      <c r="T1308">
        <v>0.8</v>
      </c>
      <c r="U1308">
        <v>2</v>
      </c>
      <c r="V1308">
        <v>16</v>
      </c>
      <c r="W1308">
        <f>IF(nba_draft[[#This Row],[years_played]]&gt;5,1,0)</f>
        <v>0</v>
      </c>
    </row>
    <row r="1309" spans="1:23" x14ac:dyDescent="0.25">
      <c r="A1309">
        <v>43</v>
      </c>
      <c r="B1309" t="s">
        <v>28</v>
      </c>
      <c r="C1309" t="s">
        <v>327</v>
      </c>
      <c r="D1309" t="s">
        <v>328</v>
      </c>
      <c r="E1309">
        <v>1</v>
      </c>
      <c r="F1309">
        <v>53</v>
      </c>
      <c r="G1309">
        <v>382</v>
      </c>
      <c r="H1309">
        <v>157</v>
      </c>
      <c r="I1309">
        <v>89</v>
      </c>
      <c r="J1309">
        <v>24</v>
      </c>
      <c r="K1309">
        <v>0.40400000000000003</v>
      </c>
      <c r="L1309">
        <v>0.27900000000000003</v>
      </c>
      <c r="M1309">
        <v>0.75900000000000001</v>
      </c>
      <c r="N1309">
        <v>0.5</v>
      </c>
      <c r="O1309">
        <v>0.06</v>
      </c>
      <c r="P1309">
        <v>1993</v>
      </c>
      <c r="Q1309">
        <v>7.2</v>
      </c>
      <c r="R1309">
        <v>3</v>
      </c>
      <c r="S1309">
        <v>1.7</v>
      </c>
      <c r="T1309">
        <v>0.5</v>
      </c>
      <c r="U1309">
        <v>2</v>
      </c>
      <c r="V1309">
        <v>16</v>
      </c>
      <c r="W1309">
        <f>IF(nba_draft[[#This Row],[years_played]]&gt;5,1,0)</f>
        <v>0</v>
      </c>
    </row>
    <row r="1310" spans="1:23" x14ac:dyDescent="0.25">
      <c r="A1310">
        <v>34</v>
      </c>
      <c r="B1310" t="s">
        <v>85</v>
      </c>
      <c r="C1310" t="s">
        <v>1251</v>
      </c>
      <c r="D1310" t="s">
        <v>912</v>
      </c>
      <c r="E1310">
        <v>2</v>
      </c>
      <c r="F1310">
        <v>47</v>
      </c>
      <c r="G1310">
        <v>401</v>
      </c>
      <c r="H1310">
        <v>157</v>
      </c>
      <c r="I1310">
        <v>49</v>
      </c>
      <c r="J1310">
        <v>56</v>
      </c>
      <c r="K1310">
        <v>0.45800000000000002</v>
      </c>
      <c r="L1310">
        <v>0.4</v>
      </c>
      <c r="M1310">
        <v>0.67900000000000005</v>
      </c>
      <c r="N1310">
        <v>-0.1</v>
      </c>
      <c r="O1310">
        <v>-1.4999999999999999E-2</v>
      </c>
      <c r="P1310">
        <v>2010</v>
      </c>
      <c r="Q1310">
        <v>8.5</v>
      </c>
      <c r="R1310">
        <v>3.3</v>
      </c>
      <c r="S1310">
        <v>1</v>
      </c>
      <c r="T1310">
        <v>1.2</v>
      </c>
      <c r="U1310">
        <v>2</v>
      </c>
      <c r="V1310">
        <v>4</v>
      </c>
      <c r="W1310">
        <f>IF(nba_draft[[#This Row],[years_played]]&gt;5,1,0)</f>
        <v>0</v>
      </c>
    </row>
    <row r="1311" spans="1:23" x14ac:dyDescent="0.25">
      <c r="A1311">
        <v>25</v>
      </c>
      <c r="B1311" t="s">
        <v>31</v>
      </c>
      <c r="C1311" t="s">
        <v>1620</v>
      </c>
      <c r="D1311" t="s">
        <v>97</v>
      </c>
      <c r="E1311">
        <v>2</v>
      </c>
      <c r="F1311">
        <v>28</v>
      </c>
      <c r="G1311">
        <v>443</v>
      </c>
      <c r="H1311">
        <v>156</v>
      </c>
      <c r="I1311">
        <v>108</v>
      </c>
      <c r="J1311">
        <v>19</v>
      </c>
      <c r="K1311">
        <v>0.52100000000000002</v>
      </c>
      <c r="L1311">
        <v>0</v>
      </c>
      <c r="M1311">
        <v>0.58599999999999997</v>
      </c>
      <c r="N1311">
        <v>0.4</v>
      </c>
      <c r="O1311">
        <v>3.7999999999999999E-2</v>
      </c>
      <c r="P1311">
        <v>2017</v>
      </c>
      <c r="Q1311">
        <v>15.8</v>
      </c>
      <c r="R1311">
        <v>5.6</v>
      </c>
      <c r="S1311">
        <v>3.9</v>
      </c>
      <c r="T1311">
        <v>0.7</v>
      </c>
      <c r="U1311">
        <v>1</v>
      </c>
      <c r="V1311">
        <v>25</v>
      </c>
      <c r="W1311">
        <f>IF(nba_draft[[#This Row],[years_played]]&gt;5,1,0)</f>
        <v>0</v>
      </c>
    </row>
    <row r="1312" spans="1:23" x14ac:dyDescent="0.25">
      <c r="A1312">
        <v>42</v>
      </c>
      <c r="B1312" t="s">
        <v>863</v>
      </c>
      <c r="C1312" t="s">
        <v>1813</v>
      </c>
      <c r="D1312" t="s">
        <v>282</v>
      </c>
      <c r="E1312">
        <v>2</v>
      </c>
      <c r="F1312">
        <v>59</v>
      </c>
      <c r="G1312">
        <v>407</v>
      </c>
      <c r="H1312">
        <v>155</v>
      </c>
      <c r="I1312">
        <v>91</v>
      </c>
      <c r="J1312">
        <v>15</v>
      </c>
      <c r="K1312">
        <v>0.65600000000000003</v>
      </c>
      <c r="L1312">
        <v>0</v>
      </c>
      <c r="M1312">
        <v>0.71199999999999997</v>
      </c>
      <c r="N1312">
        <v>1</v>
      </c>
      <c r="O1312">
        <v>0.124</v>
      </c>
      <c r="P1312">
        <v>2020</v>
      </c>
      <c r="Q1312">
        <v>6.9</v>
      </c>
      <c r="R1312">
        <v>2.6</v>
      </c>
      <c r="S1312">
        <v>1.5</v>
      </c>
      <c r="T1312">
        <v>0.3</v>
      </c>
      <c r="U1312">
        <v>2</v>
      </c>
      <c r="V1312">
        <v>12</v>
      </c>
      <c r="W1312">
        <f>IF(nba_draft[[#This Row],[years_played]]&gt;5,1,0)</f>
        <v>0</v>
      </c>
    </row>
    <row r="1313" spans="1:23" x14ac:dyDescent="0.25">
      <c r="A1313">
        <v>33</v>
      </c>
      <c r="B1313" t="s">
        <v>70</v>
      </c>
      <c r="C1313" t="s">
        <v>1528</v>
      </c>
      <c r="D1313" t="s">
        <v>30</v>
      </c>
      <c r="E1313">
        <v>3</v>
      </c>
      <c r="F1313">
        <v>64</v>
      </c>
      <c r="G1313">
        <v>482</v>
      </c>
      <c r="H1313">
        <v>152</v>
      </c>
      <c r="I1313">
        <v>128</v>
      </c>
      <c r="J1313">
        <v>17</v>
      </c>
      <c r="K1313">
        <v>0.44900000000000001</v>
      </c>
      <c r="L1313">
        <v>0.11799999999999999</v>
      </c>
      <c r="M1313">
        <v>0.60499999999999998</v>
      </c>
      <c r="N1313">
        <v>0.5</v>
      </c>
      <c r="O1313">
        <v>0.05</v>
      </c>
      <c r="P1313">
        <v>2015</v>
      </c>
      <c r="Q1313">
        <v>7.5</v>
      </c>
      <c r="R1313">
        <v>2.4</v>
      </c>
      <c r="S1313">
        <v>2</v>
      </c>
      <c r="T1313">
        <v>0.3</v>
      </c>
      <c r="U1313">
        <v>2</v>
      </c>
      <c r="V1313">
        <v>3</v>
      </c>
      <c r="W1313">
        <f>IF(nba_draft[[#This Row],[years_played]]&gt;5,1,0)</f>
        <v>0</v>
      </c>
    </row>
    <row r="1314" spans="1:23" x14ac:dyDescent="0.25">
      <c r="A1314">
        <v>52</v>
      </c>
      <c r="B1314" t="s">
        <v>88</v>
      </c>
      <c r="C1314" t="s">
        <v>1879</v>
      </c>
      <c r="D1314" t="s">
        <v>94</v>
      </c>
      <c r="E1314">
        <v>1</v>
      </c>
      <c r="F1314">
        <v>29</v>
      </c>
      <c r="G1314">
        <v>340</v>
      </c>
      <c r="H1314">
        <v>151</v>
      </c>
      <c r="I1314">
        <v>87</v>
      </c>
      <c r="J1314">
        <v>16</v>
      </c>
      <c r="K1314">
        <v>0.44400000000000001</v>
      </c>
      <c r="L1314">
        <v>0.34100000000000003</v>
      </c>
      <c r="M1314">
        <v>0.64300000000000002</v>
      </c>
      <c r="N1314">
        <v>0.5</v>
      </c>
      <c r="O1314">
        <v>7.4999999999999997E-2</v>
      </c>
      <c r="P1314">
        <v>2021</v>
      </c>
      <c r="Q1314">
        <v>11.7</v>
      </c>
      <c r="R1314">
        <v>5.2</v>
      </c>
      <c r="S1314">
        <v>3</v>
      </c>
      <c r="T1314">
        <v>0.6</v>
      </c>
      <c r="U1314">
        <v>2</v>
      </c>
      <c r="V1314">
        <v>22</v>
      </c>
      <c r="W1314">
        <f>IF(nba_draft[[#This Row],[years_played]]&gt;5,1,0)</f>
        <v>0</v>
      </c>
    </row>
    <row r="1315" spans="1:23" x14ac:dyDescent="0.25">
      <c r="A1315">
        <v>24</v>
      </c>
      <c r="B1315" t="s">
        <v>49</v>
      </c>
      <c r="C1315" t="s">
        <v>1241</v>
      </c>
      <c r="D1315" t="s">
        <v>60</v>
      </c>
      <c r="E1315">
        <v>4</v>
      </c>
      <c r="F1315">
        <v>39</v>
      </c>
      <c r="G1315">
        <v>623</v>
      </c>
      <c r="H1315">
        <v>150</v>
      </c>
      <c r="I1315">
        <v>131</v>
      </c>
      <c r="J1315">
        <v>26</v>
      </c>
      <c r="K1315">
        <v>0.41499999999999998</v>
      </c>
      <c r="L1315">
        <v>0</v>
      </c>
      <c r="M1315">
        <v>0.66700000000000004</v>
      </c>
      <c r="N1315">
        <v>0</v>
      </c>
      <c r="O1315">
        <v>-1E-3</v>
      </c>
      <c r="P1315">
        <v>2010</v>
      </c>
      <c r="Q1315">
        <v>16</v>
      </c>
      <c r="R1315">
        <v>3.8</v>
      </c>
      <c r="S1315">
        <v>3.4</v>
      </c>
      <c r="T1315">
        <v>0.7</v>
      </c>
      <c r="U1315">
        <v>1</v>
      </c>
      <c r="V1315">
        <v>24</v>
      </c>
      <c r="W1315">
        <f>IF(nba_draft[[#This Row],[years_played]]&gt;5,1,0)</f>
        <v>0</v>
      </c>
    </row>
    <row r="1316" spans="1:23" x14ac:dyDescent="0.25">
      <c r="A1316">
        <v>48</v>
      </c>
      <c r="B1316" t="s">
        <v>75</v>
      </c>
      <c r="C1316" t="s">
        <v>1156</v>
      </c>
      <c r="D1316" t="s">
        <v>158</v>
      </c>
      <c r="E1316">
        <v>2</v>
      </c>
      <c r="F1316">
        <v>62</v>
      </c>
      <c r="G1316">
        <v>472</v>
      </c>
      <c r="H1316">
        <v>149</v>
      </c>
      <c r="I1316">
        <v>77</v>
      </c>
      <c r="J1316">
        <v>29</v>
      </c>
      <c r="K1316">
        <v>0.51200000000000001</v>
      </c>
      <c r="L1316">
        <v>0.16700000000000001</v>
      </c>
      <c r="M1316">
        <v>0.51400000000000001</v>
      </c>
      <c r="N1316">
        <v>0.8</v>
      </c>
      <c r="O1316">
        <v>8.5999999999999993E-2</v>
      </c>
      <c r="P1316">
        <v>2008</v>
      </c>
      <c r="Q1316">
        <v>7.6</v>
      </c>
      <c r="R1316">
        <v>2.4</v>
      </c>
      <c r="S1316">
        <v>1.2</v>
      </c>
      <c r="T1316">
        <v>0.5</v>
      </c>
      <c r="U1316">
        <v>2</v>
      </c>
      <c r="V1316">
        <v>18</v>
      </c>
      <c r="W1316">
        <f>IF(nba_draft[[#This Row],[years_played]]&gt;5,1,0)</f>
        <v>0</v>
      </c>
    </row>
    <row r="1317" spans="1:23" x14ac:dyDescent="0.25">
      <c r="A1317">
        <v>51</v>
      </c>
      <c r="B1317" t="s">
        <v>70</v>
      </c>
      <c r="C1317" t="s">
        <v>1763</v>
      </c>
      <c r="D1317" t="s">
        <v>30</v>
      </c>
      <c r="E1317">
        <v>3</v>
      </c>
      <c r="F1317">
        <v>40</v>
      </c>
      <c r="G1317">
        <v>407</v>
      </c>
      <c r="H1317">
        <v>149</v>
      </c>
      <c r="I1317">
        <v>37</v>
      </c>
      <c r="J1317">
        <v>85</v>
      </c>
      <c r="K1317">
        <v>0.35399999999999998</v>
      </c>
      <c r="L1317">
        <v>0.29599999999999999</v>
      </c>
      <c r="M1317">
        <v>0.96</v>
      </c>
      <c r="N1317">
        <v>0.1</v>
      </c>
      <c r="O1317">
        <v>1.0999999999999999E-2</v>
      </c>
      <c r="P1317">
        <v>2019</v>
      </c>
      <c r="Q1317">
        <v>10.199999999999999</v>
      </c>
      <c r="R1317">
        <v>3.7</v>
      </c>
      <c r="S1317">
        <v>0.9</v>
      </c>
      <c r="T1317">
        <v>2.1</v>
      </c>
      <c r="U1317">
        <v>2</v>
      </c>
      <c r="V1317">
        <v>21</v>
      </c>
      <c r="W1317">
        <f>IF(nba_draft[[#This Row],[years_played]]&gt;5,1,0)</f>
        <v>0</v>
      </c>
    </row>
    <row r="1318" spans="1:23" x14ac:dyDescent="0.25">
      <c r="A1318">
        <v>12</v>
      </c>
      <c r="B1318" t="s">
        <v>82</v>
      </c>
      <c r="C1318" t="s">
        <v>1843</v>
      </c>
      <c r="D1318" t="s">
        <v>228</v>
      </c>
      <c r="E1318">
        <v>1</v>
      </c>
      <c r="F1318">
        <v>30</v>
      </c>
      <c r="G1318">
        <v>476</v>
      </c>
      <c r="H1318">
        <v>147</v>
      </c>
      <c r="I1318">
        <v>52</v>
      </c>
      <c r="J1318">
        <v>42</v>
      </c>
      <c r="K1318">
        <v>0.36899999999999999</v>
      </c>
      <c r="L1318">
        <v>0.32</v>
      </c>
      <c r="M1318">
        <v>0.76</v>
      </c>
      <c r="N1318">
        <v>0.1</v>
      </c>
      <c r="O1318">
        <v>7.0000000000000001E-3</v>
      </c>
      <c r="P1318">
        <v>2021</v>
      </c>
      <c r="Q1318">
        <v>15.9</v>
      </c>
      <c r="R1318">
        <v>4.9000000000000004</v>
      </c>
      <c r="S1318">
        <v>1.7</v>
      </c>
      <c r="T1318">
        <v>1.4</v>
      </c>
      <c r="U1318">
        <v>1</v>
      </c>
      <c r="V1318">
        <v>12</v>
      </c>
      <c r="W1318">
        <f>IF(nba_draft[[#This Row],[years_played]]&gt;5,1,0)</f>
        <v>0</v>
      </c>
    </row>
    <row r="1319" spans="1:23" x14ac:dyDescent="0.25">
      <c r="A1319">
        <v>58</v>
      </c>
      <c r="B1319" t="s">
        <v>102</v>
      </c>
      <c r="C1319" t="s">
        <v>1828</v>
      </c>
      <c r="D1319" t="s">
        <v>701</v>
      </c>
      <c r="E1319">
        <v>2</v>
      </c>
      <c r="F1319">
        <v>50</v>
      </c>
      <c r="G1319">
        <v>406</v>
      </c>
      <c r="H1319">
        <v>146</v>
      </c>
      <c r="I1319">
        <v>126</v>
      </c>
      <c r="J1319">
        <v>22</v>
      </c>
      <c r="K1319">
        <v>0.5</v>
      </c>
      <c r="L1319">
        <v>0</v>
      </c>
      <c r="M1319">
        <v>0.44400000000000001</v>
      </c>
      <c r="N1319">
        <v>1.2</v>
      </c>
      <c r="O1319">
        <v>0.13600000000000001</v>
      </c>
      <c r="P1319">
        <v>2020</v>
      </c>
      <c r="Q1319">
        <v>8.1</v>
      </c>
      <c r="R1319">
        <v>2.9</v>
      </c>
      <c r="S1319">
        <v>2.5</v>
      </c>
      <c r="T1319">
        <v>0.4</v>
      </c>
      <c r="U1319">
        <v>2</v>
      </c>
      <c r="V1319">
        <v>28</v>
      </c>
      <c r="W1319">
        <f>IF(nba_draft[[#This Row],[years_played]]&gt;5,1,0)</f>
        <v>0</v>
      </c>
    </row>
    <row r="1320" spans="1:23" x14ac:dyDescent="0.25">
      <c r="A1320">
        <v>58</v>
      </c>
      <c r="B1320" t="s">
        <v>52</v>
      </c>
      <c r="C1320" t="s">
        <v>1769</v>
      </c>
      <c r="D1320" t="s">
        <v>1770</v>
      </c>
      <c r="E1320">
        <v>3</v>
      </c>
      <c r="F1320">
        <v>80</v>
      </c>
      <c r="G1320">
        <v>672</v>
      </c>
      <c r="H1320">
        <v>145</v>
      </c>
      <c r="I1320">
        <v>108</v>
      </c>
      <c r="J1320">
        <v>37</v>
      </c>
      <c r="K1320">
        <v>0.35</v>
      </c>
      <c r="L1320">
        <v>0.33</v>
      </c>
      <c r="M1320">
        <v>0.75</v>
      </c>
      <c r="N1320">
        <v>1</v>
      </c>
      <c r="O1320">
        <v>7.0000000000000007E-2</v>
      </c>
      <c r="P1320">
        <v>2019</v>
      </c>
      <c r="Q1320">
        <v>8.4</v>
      </c>
      <c r="R1320">
        <v>1.8</v>
      </c>
      <c r="S1320">
        <v>1.4</v>
      </c>
      <c r="T1320">
        <v>0.5</v>
      </c>
      <c r="U1320">
        <v>2</v>
      </c>
      <c r="V1320">
        <v>28</v>
      </c>
      <c r="W1320">
        <f>IF(nba_draft[[#This Row],[years_played]]&gt;5,1,0)</f>
        <v>0</v>
      </c>
    </row>
    <row r="1321" spans="1:23" x14ac:dyDescent="0.25">
      <c r="A1321">
        <v>29</v>
      </c>
      <c r="B1321" t="s">
        <v>31</v>
      </c>
      <c r="C1321" t="s">
        <v>1246</v>
      </c>
      <c r="D1321" t="s">
        <v>282</v>
      </c>
      <c r="E1321">
        <v>3</v>
      </c>
      <c r="F1321">
        <v>51</v>
      </c>
      <c r="G1321">
        <v>542</v>
      </c>
      <c r="H1321">
        <v>143</v>
      </c>
      <c r="I1321">
        <v>126</v>
      </c>
      <c r="J1321">
        <v>24</v>
      </c>
      <c r="K1321">
        <v>0.48499999999999999</v>
      </c>
      <c r="L1321">
        <v>0</v>
      </c>
      <c r="M1321">
        <v>0.59699999999999998</v>
      </c>
      <c r="N1321">
        <v>1</v>
      </c>
      <c r="O1321">
        <v>9.2999999999999999E-2</v>
      </c>
      <c r="P1321">
        <v>2010</v>
      </c>
      <c r="Q1321">
        <v>10.6</v>
      </c>
      <c r="R1321">
        <v>2.8</v>
      </c>
      <c r="S1321">
        <v>2.5</v>
      </c>
      <c r="T1321">
        <v>0.5</v>
      </c>
      <c r="U1321">
        <v>1</v>
      </c>
      <c r="V1321">
        <v>29</v>
      </c>
      <c r="W1321">
        <f>IF(nba_draft[[#This Row],[years_played]]&gt;5,1,0)</f>
        <v>0</v>
      </c>
    </row>
    <row r="1322" spans="1:23" x14ac:dyDescent="0.25">
      <c r="A1322">
        <v>47</v>
      </c>
      <c r="B1322" t="s">
        <v>104</v>
      </c>
      <c r="C1322" t="s">
        <v>834</v>
      </c>
      <c r="D1322" t="s">
        <v>336</v>
      </c>
      <c r="E1322">
        <v>5</v>
      </c>
      <c r="F1322">
        <v>72</v>
      </c>
      <c r="G1322">
        <v>631</v>
      </c>
      <c r="H1322">
        <v>142</v>
      </c>
      <c r="I1322">
        <v>242</v>
      </c>
      <c r="J1322">
        <v>26</v>
      </c>
      <c r="K1322">
        <v>0.49099999999999999</v>
      </c>
      <c r="L1322">
        <v>0</v>
      </c>
      <c r="M1322">
        <v>0.53700000000000003</v>
      </c>
      <c r="N1322">
        <v>1.4</v>
      </c>
      <c r="O1322">
        <v>0.106</v>
      </c>
      <c r="P1322">
        <v>2002</v>
      </c>
      <c r="Q1322">
        <v>8.8000000000000007</v>
      </c>
      <c r="R1322">
        <v>2</v>
      </c>
      <c r="S1322">
        <v>3.4</v>
      </c>
      <c r="T1322">
        <v>0.4</v>
      </c>
      <c r="U1322">
        <v>2</v>
      </c>
      <c r="V1322">
        <v>18</v>
      </c>
      <c r="W1322">
        <f>IF(nba_draft[[#This Row],[years_played]]&gt;5,1,0)</f>
        <v>0</v>
      </c>
    </row>
    <row r="1323" spans="1:23" x14ac:dyDescent="0.25">
      <c r="A1323">
        <v>44</v>
      </c>
      <c r="B1323" t="s">
        <v>46</v>
      </c>
      <c r="C1323" t="s">
        <v>1756</v>
      </c>
      <c r="D1323" t="s">
        <v>158</v>
      </c>
      <c r="E1323">
        <v>3</v>
      </c>
      <c r="F1323">
        <v>53</v>
      </c>
      <c r="G1323">
        <v>328</v>
      </c>
      <c r="H1323">
        <v>142</v>
      </c>
      <c r="I1323">
        <v>63</v>
      </c>
      <c r="J1323">
        <v>18</v>
      </c>
      <c r="K1323">
        <v>0.47799999999999998</v>
      </c>
      <c r="L1323">
        <v>0.378</v>
      </c>
      <c r="M1323">
        <v>0.66700000000000004</v>
      </c>
      <c r="N1323">
        <v>0.2</v>
      </c>
      <c r="O1323">
        <v>3.3000000000000002E-2</v>
      </c>
      <c r="P1323">
        <v>2019</v>
      </c>
      <c r="Q1323">
        <v>6.2</v>
      </c>
      <c r="R1323">
        <v>2.7</v>
      </c>
      <c r="S1323">
        <v>1.2</v>
      </c>
      <c r="T1323">
        <v>0.3</v>
      </c>
      <c r="U1323">
        <v>2</v>
      </c>
      <c r="V1323">
        <v>14</v>
      </c>
      <c r="W1323">
        <f>IF(nba_draft[[#This Row],[years_played]]&gt;5,1,0)</f>
        <v>0</v>
      </c>
    </row>
    <row r="1324" spans="1:23" x14ac:dyDescent="0.25">
      <c r="A1324">
        <v>43</v>
      </c>
      <c r="B1324" t="s">
        <v>95</v>
      </c>
      <c r="C1324" t="s">
        <v>1314</v>
      </c>
      <c r="D1324" t="s">
        <v>113</v>
      </c>
      <c r="E1324">
        <v>3</v>
      </c>
      <c r="F1324">
        <v>36</v>
      </c>
      <c r="G1324">
        <v>534</v>
      </c>
      <c r="H1324">
        <v>140</v>
      </c>
      <c r="I1324">
        <v>65</v>
      </c>
      <c r="J1324">
        <v>51</v>
      </c>
      <c r="K1324">
        <v>0.38200000000000001</v>
      </c>
      <c r="L1324">
        <v>0.29399999999999998</v>
      </c>
      <c r="M1324">
        <v>0.70299999999999996</v>
      </c>
      <c r="N1324">
        <v>0.4</v>
      </c>
      <c r="O1324">
        <v>0.04</v>
      </c>
      <c r="P1324">
        <v>2011</v>
      </c>
      <c r="Q1324">
        <v>14.8</v>
      </c>
      <c r="R1324">
        <v>3.9</v>
      </c>
      <c r="S1324">
        <v>1.8</v>
      </c>
      <c r="T1324">
        <v>1.4</v>
      </c>
      <c r="U1324">
        <v>2</v>
      </c>
      <c r="V1324">
        <v>13</v>
      </c>
      <c r="W1324">
        <f>IF(nba_draft[[#This Row],[years_played]]&gt;5,1,0)</f>
        <v>0</v>
      </c>
    </row>
    <row r="1325" spans="1:23" x14ac:dyDescent="0.25">
      <c r="A1325">
        <v>11</v>
      </c>
      <c r="B1325" t="s">
        <v>34</v>
      </c>
      <c r="C1325" t="s">
        <v>1842</v>
      </c>
      <c r="D1325" t="s">
        <v>79</v>
      </c>
      <c r="E1325">
        <v>1</v>
      </c>
      <c r="F1325">
        <v>28</v>
      </c>
      <c r="G1325">
        <v>296</v>
      </c>
      <c r="H1325">
        <v>140</v>
      </c>
      <c r="I1325">
        <v>48</v>
      </c>
      <c r="J1325">
        <v>23</v>
      </c>
      <c r="K1325">
        <v>0.35299999999999998</v>
      </c>
      <c r="L1325">
        <v>0.34699999999999998</v>
      </c>
      <c r="M1325">
        <v>0.871</v>
      </c>
      <c r="N1325">
        <v>0.1</v>
      </c>
      <c r="O1325">
        <v>1.4999999999999999E-2</v>
      </c>
      <c r="P1325">
        <v>2021</v>
      </c>
      <c r="Q1325">
        <v>10.6</v>
      </c>
      <c r="R1325">
        <v>5</v>
      </c>
      <c r="S1325">
        <v>1.7</v>
      </c>
      <c r="T1325">
        <v>0.8</v>
      </c>
      <c r="U1325">
        <v>1</v>
      </c>
      <c r="V1325">
        <v>11</v>
      </c>
      <c r="W1325">
        <f>IF(nba_draft[[#This Row],[years_played]]&gt;5,1,0)</f>
        <v>0</v>
      </c>
    </row>
    <row r="1326" spans="1:23" x14ac:dyDescent="0.25">
      <c r="A1326">
        <v>19</v>
      </c>
      <c r="B1326" t="s">
        <v>82</v>
      </c>
      <c r="C1326" t="s">
        <v>1730</v>
      </c>
      <c r="D1326" t="s">
        <v>97</v>
      </c>
      <c r="E1326">
        <v>2</v>
      </c>
      <c r="F1326">
        <v>36</v>
      </c>
      <c r="G1326">
        <v>356</v>
      </c>
      <c r="H1326">
        <v>138</v>
      </c>
      <c r="I1326">
        <v>78</v>
      </c>
      <c r="J1326">
        <v>21</v>
      </c>
      <c r="K1326">
        <v>0.43</v>
      </c>
      <c r="L1326">
        <v>0.29399999999999998</v>
      </c>
      <c r="M1326">
        <v>0.57599999999999996</v>
      </c>
      <c r="N1326">
        <v>0.1</v>
      </c>
      <c r="O1326">
        <v>1.4999999999999999E-2</v>
      </c>
      <c r="P1326">
        <v>2019</v>
      </c>
      <c r="Q1326">
        <v>9.9</v>
      </c>
      <c r="R1326">
        <v>3.8</v>
      </c>
      <c r="S1326">
        <v>2.2000000000000002</v>
      </c>
      <c r="T1326">
        <v>0.6</v>
      </c>
      <c r="U1326">
        <v>1</v>
      </c>
      <c r="V1326">
        <v>19</v>
      </c>
      <c r="W1326">
        <f>IF(nba_draft[[#This Row],[years_played]]&gt;5,1,0)</f>
        <v>0</v>
      </c>
    </row>
    <row r="1327" spans="1:23" x14ac:dyDescent="0.25">
      <c r="A1327">
        <v>27</v>
      </c>
      <c r="B1327" t="s">
        <v>22</v>
      </c>
      <c r="C1327" t="s">
        <v>1739</v>
      </c>
      <c r="D1327" t="s">
        <v>298</v>
      </c>
      <c r="E1327">
        <v>2</v>
      </c>
      <c r="F1327">
        <v>51</v>
      </c>
      <c r="G1327">
        <v>344</v>
      </c>
      <c r="H1327">
        <v>137</v>
      </c>
      <c r="I1327">
        <v>71</v>
      </c>
      <c r="J1327">
        <v>19</v>
      </c>
      <c r="K1327">
        <v>0.38800000000000001</v>
      </c>
      <c r="L1327">
        <v>0.314</v>
      </c>
      <c r="M1327">
        <v>0.84</v>
      </c>
      <c r="N1327">
        <v>0.4</v>
      </c>
      <c r="O1327">
        <v>5.3999999999999999E-2</v>
      </c>
      <c r="P1327">
        <v>2019</v>
      </c>
      <c r="Q1327">
        <v>6.7</v>
      </c>
      <c r="R1327">
        <v>2.7</v>
      </c>
      <c r="S1327">
        <v>1.4</v>
      </c>
      <c r="T1327">
        <v>0.4</v>
      </c>
      <c r="U1327">
        <v>1</v>
      </c>
      <c r="V1327">
        <v>27</v>
      </c>
      <c r="W1327">
        <f>IF(nba_draft[[#This Row],[years_played]]&gt;5,1,0)</f>
        <v>0</v>
      </c>
    </row>
    <row r="1328" spans="1:23" x14ac:dyDescent="0.25">
      <c r="A1328">
        <v>14</v>
      </c>
      <c r="B1328" t="s">
        <v>25</v>
      </c>
      <c r="C1328" t="s">
        <v>161</v>
      </c>
      <c r="D1328" t="s">
        <v>162</v>
      </c>
      <c r="E1328">
        <v>4</v>
      </c>
      <c r="F1328">
        <v>72</v>
      </c>
      <c r="G1328">
        <v>309</v>
      </c>
      <c r="H1328">
        <v>135</v>
      </c>
      <c r="I1328">
        <v>74</v>
      </c>
      <c r="J1328">
        <v>21</v>
      </c>
      <c r="K1328">
        <v>0.39300000000000002</v>
      </c>
      <c r="L1328">
        <v>0</v>
      </c>
      <c r="M1328">
        <v>0.66200000000000003</v>
      </c>
      <c r="N1328">
        <v>0.2</v>
      </c>
      <c r="O1328">
        <v>3.5999999999999997E-2</v>
      </c>
      <c r="P1328">
        <v>1991</v>
      </c>
      <c r="Q1328">
        <v>4.3</v>
      </c>
      <c r="R1328">
        <v>1.9</v>
      </c>
      <c r="S1328">
        <v>1</v>
      </c>
      <c r="T1328">
        <v>0.3</v>
      </c>
      <c r="U1328">
        <v>1</v>
      </c>
      <c r="V1328">
        <v>14</v>
      </c>
      <c r="W1328">
        <f>IF(nba_draft[[#This Row],[years_played]]&gt;5,1,0)</f>
        <v>0</v>
      </c>
    </row>
    <row r="1329" spans="1:23" x14ac:dyDescent="0.25">
      <c r="A1329">
        <v>41</v>
      </c>
      <c r="B1329" t="s">
        <v>37</v>
      </c>
      <c r="C1329" t="s">
        <v>1096</v>
      </c>
      <c r="D1329" t="s">
        <v>84</v>
      </c>
      <c r="E1329">
        <v>2</v>
      </c>
      <c r="F1329">
        <v>70</v>
      </c>
      <c r="G1329">
        <v>780</v>
      </c>
      <c r="H1329">
        <v>135</v>
      </c>
      <c r="I1329">
        <v>194</v>
      </c>
      <c r="J1329">
        <v>25</v>
      </c>
      <c r="K1329">
        <v>0.48299999999999998</v>
      </c>
      <c r="L1329">
        <v>0</v>
      </c>
      <c r="M1329">
        <v>0.60499999999999998</v>
      </c>
      <c r="N1329">
        <v>0.7</v>
      </c>
      <c r="O1329">
        <v>4.4999999999999998E-2</v>
      </c>
      <c r="P1329">
        <v>2007</v>
      </c>
      <c r="Q1329">
        <v>11.1</v>
      </c>
      <c r="R1329">
        <v>1.9</v>
      </c>
      <c r="S1329">
        <v>2.8</v>
      </c>
      <c r="T1329">
        <v>0.4</v>
      </c>
      <c r="U1329">
        <v>2</v>
      </c>
      <c r="V1329">
        <v>11</v>
      </c>
      <c r="W1329">
        <f>IF(nba_draft[[#This Row],[years_played]]&gt;5,1,0)</f>
        <v>0</v>
      </c>
    </row>
    <row r="1330" spans="1:23" x14ac:dyDescent="0.25">
      <c r="A1330">
        <v>57</v>
      </c>
      <c r="B1330" t="s">
        <v>25</v>
      </c>
      <c r="C1330" t="s">
        <v>505</v>
      </c>
      <c r="D1330" t="s">
        <v>33</v>
      </c>
      <c r="E1330">
        <v>3</v>
      </c>
      <c r="F1330">
        <v>60</v>
      </c>
      <c r="G1330">
        <v>598</v>
      </c>
      <c r="H1330">
        <v>134</v>
      </c>
      <c r="I1330">
        <v>67</v>
      </c>
      <c r="J1330">
        <v>111</v>
      </c>
      <c r="K1330">
        <v>0.41699999999999998</v>
      </c>
      <c r="L1330">
        <v>0.38100000000000001</v>
      </c>
      <c r="M1330">
        <v>0.77400000000000002</v>
      </c>
      <c r="N1330">
        <v>0.6</v>
      </c>
      <c r="O1330">
        <v>5.0999999999999997E-2</v>
      </c>
      <c r="P1330">
        <v>1996</v>
      </c>
      <c r="Q1330">
        <v>10</v>
      </c>
      <c r="R1330">
        <v>2.2000000000000002</v>
      </c>
      <c r="S1330">
        <v>1.1000000000000001</v>
      </c>
      <c r="T1330">
        <v>1.9</v>
      </c>
      <c r="U1330">
        <v>2</v>
      </c>
      <c r="V1330">
        <v>28</v>
      </c>
      <c r="W1330">
        <f>IF(nba_draft[[#This Row],[years_played]]&gt;5,1,0)</f>
        <v>0</v>
      </c>
    </row>
    <row r="1331" spans="1:23" x14ac:dyDescent="0.25">
      <c r="A1331">
        <v>53</v>
      </c>
      <c r="B1331" t="s">
        <v>46</v>
      </c>
      <c r="C1331" t="s">
        <v>943</v>
      </c>
      <c r="D1331" t="s">
        <v>716</v>
      </c>
      <c r="E1331">
        <v>2</v>
      </c>
      <c r="F1331">
        <v>42</v>
      </c>
      <c r="G1331">
        <v>588</v>
      </c>
      <c r="H1331">
        <v>133</v>
      </c>
      <c r="I1331">
        <v>85</v>
      </c>
      <c r="J1331">
        <v>27</v>
      </c>
      <c r="K1331">
        <v>0.29299999999999998</v>
      </c>
      <c r="L1331">
        <v>0.224</v>
      </c>
      <c r="M1331">
        <v>0.71399999999999997</v>
      </c>
      <c r="N1331">
        <v>-0.6</v>
      </c>
      <c r="O1331">
        <v>-4.7E-2</v>
      </c>
      <c r="P1331">
        <v>2004</v>
      </c>
      <c r="Q1331">
        <v>14</v>
      </c>
      <c r="R1331">
        <v>3.2</v>
      </c>
      <c r="S1331">
        <v>2</v>
      </c>
      <c r="T1331">
        <v>0.6</v>
      </c>
      <c r="U1331">
        <v>2</v>
      </c>
      <c r="V1331">
        <v>24</v>
      </c>
      <c r="W1331">
        <f>IF(nba_draft[[#This Row],[years_played]]&gt;5,1,0)</f>
        <v>0</v>
      </c>
    </row>
    <row r="1332" spans="1:23" x14ac:dyDescent="0.25">
      <c r="A1332">
        <v>28</v>
      </c>
      <c r="B1332" t="s">
        <v>70</v>
      </c>
      <c r="C1332" t="s">
        <v>1522</v>
      </c>
      <c r="D1332" t="s">
        <v>1523</v>
      </c>
      <c r="E1332">
        <v>4</v>
      </c>
      <c r="F1332">
        <v>45</v>
      </c>
      <c r="G1332">
        <v>395</v>
      </c>
      <c r="H1332">
        <v>133</v>
      </c>
      <c r="I1332">
        <v>46</v>
      </c>
      <c r="J1332">
        <v>19</v>
      </c>
      <c r="K1332">
        <v>0.371</v>
      </c>
      <c r="L1332">
        <v>0.29499999999999998</v>
      </c>
      <c r="M1332">
        <v>0.81799999999999995</v>
      </c>
      <c r="N1332">
        <v>0.4</v>
      </c>
      <c r="O1332">
        <v>5.0999999999999997E-2</v>
      </c>
      <c r="P1332">
        <v>2015</v>
      </c>
      <c r="Q1332">
        <v>8.8000000000000007</v>
      </c>
      <c r="R1332">
        <v>3</v>
      </c>
      <c r="S1332">
        <v>1</v>
      </c>
      <c r="T1332">
        <v>0.4</v>
      </c>
      <c r="U1332">
        <v>1</v>
      </c>
      <c r="V1332">
        <v>28</v>
      </c>
      <c r="W1332">
        <f>IF(nba_draft[[#This Row],[years_played]]&gt;5,1,0)</f>
        <v>0</v>
      </c>
    </row>
    <row r="1333" spans="1:23" x14ac:dyDescent="0.25">
      <c r="A1333">
        <v>28</v>
      </c>
      <c r="B1333" t="s">
        <v>43</v>
      </c>
      <c r="C1333" t="s">
        <v>1469</v>
      </c>
      <c r="D1333" t="s">
        <v>325</v>
      </c>
      <c r="E1333">
        <v>3</v>
      </c>
      <c r="F1333">
        <v>66</v>
      </c>
      <c r="G1333">
        <v>376</v>
      </c>
      <c r="H1333">
        <v>132</v>
      </c>
      <c r="I1333">
        <v>31</v>
      </c>
      <c r="J1333">
        <v>30</v>
      </c>
      <c r="K1333">
        <v>0.37</v>
      </c>
      <c r="L1333">
        <v>0.33300000000000002</v>
      </c>
      <c r="M1333">
        <v>0.81299999999999994</v>
      </c>
      <c r="N1333">
        <v>0.1</v>
      </c>
      <c r="O1333">
        <v>7.0000000000000001E-3</v>
      </c>
      <c r="P1333">
        <v>2014</v>
      </c>
      <c r="Q1333">
        <v>5.7</v>
      </c>
      <c r="R1333">
        <v>2</v>
      </c>
      <c r="S1333">
        <v>0.5</v>
      </c>
      <c r="T1333">
        <v>0.5</v>
      </c>
      <c r="U1333">
        <v>1</v>
      </c>
      <c r="V1333">
        <v>28</v>
      </c>
      <c r="W1333">
        <f>IF(nba_draft[[#This Row],[years_played]]&gt;5,1,0)</f>
        <v>0</v>
      </c>
    </row>
    <row r="1334" spans="1:23" x14ac:dyDescent="0.25">
      <c r="A1334">
        <v>30</v>
      </c>
      <c r="B1334" t="s">
        <v>49</v>
      </c>
      <c r="C1334" t="s">
        <v>183</v>
      </c>
      <c r="D1334" t="s">
        <v>184</v>
      </c>
      <c r="E1334">
        <v>1</v>
      </c>
      <c r="F1334">
        <v>38</v>
      </c>
      <c r="G1334">
        <v>313</v>
      </c>
      <c r="H1334">
        <v>131</v>
      </c>
      <c r="I1334">
        <v>33</v>
      </c>
      <c r="J1334">
        <v>27</v>
      </c>
      <c r="K1334">
        <v>0.36799999999999999</v>
      </c>
      <c r="L1334">
        <v>0.222</v>
      </c>
      <c r="M1334">
        <v>0.82599999999999996</v>
      </c>
      <c r="N1334">
        <v>-0.2</v>
      </c>
      <c r="O1334">
        <v>-3.5000000000000003E-2</v>
      </c>
      <c r="P1334">
        <v>1991</v>
      </c>
      <c r="Q1334">
        <v>8.1999999999999993</v>
      </c>
      <c r="R1334">
        <v>3.4</v>
      </c>
      <c r="S1334">
        <v>0.9</v>
      </c>
      <c r="T1334">
        <v>0.7</v>
      </c>
      <c r="U1334">
        <v>2</v>
      </c>
      <c r="V1334">
        <v>3</v>
      </c>
      <c r="W1334">
        <f>IF(nba_draft[[#This Row],[years_played]]&gt;5,1,0)</f>
        <v>0</v>
      </c>
    </row>
    <row r="1335" spans="1:23" x14ac:dyDescent="0.25">
      <c r="A1335">
        <v>48</v>
      </c>
      <c r="B1335" t="s">
        <v>75</v>
      </c>
      <c r="C1335" t="s">
        <v>273</v>
      </c>
      <c r="D1335" t="s">
        <v>87</v>
      </c>
      <c r="E1335">
        <v>1</v>
      </c>
      <c r="F1335">
        <v>68</v>
      </c>
      <c r="G1335">
        <v>374</v>
      </c>
      <c r="H1335">
        <v>131</v>
      </c>
      <c r="I1335">
        <v>55</v>
      </c>
      <c r="J1335">
        <v>22</v>
      </c>
      <c r="K1335">
        <v>0.317</v>
      </c>
      <c r="L1335">
        <v>0.33300000000000002</v>
      </c>
      <c r="M1335">
        <v>0.73499999999999999</v>
      </c>
      <c r="N1335">
        <v>0</v>
      </c>
      <c r="O1335">
        <v>0</v>
      </c>
      <c r="P1335">
        <v>1992</v>
      </c>
      <c r="Q1335">
        <v>5.5</v>
      </c>
      <c r="R1335">
        <v>1.9</v>
      </c>
      <c r="S1335">
        <v>0.8</v>
      </c>
      <c r="T1335">
        <v>0.3</v>
      </c>
      <c r="U1335">
        <v>2</v>
      </c>
      <c r="V1335">
        <v>21</v>
      </c>
      <c r="W1335">
        <f>IF(nba_draft[[#This Row],[years_played]]&gt;5,1,0)</f>
        <v>0</v>
      </c>
    </row>
    <row r="1336" spans="1:23" x14ac:dyDescent="0.25">
      <c r="A1336">
        <v>30</v>
      </c>
      <c r="B1336" t="s">
        <v>88</v>
      </c>
      <c r="C1336" t="s">
        <v>422</v>
      </c>
      <c r="D1336" t="s">
        <v>423</v>
      </c>
      <c r="E1336">
        <v>2</v>
      </c>
      <c r="F1336">
        <v>66</v>
      </c>
      <c r="G1336">
        <v>479</v>
      </c>
      <c r="H1336">
        <v>130</v>
      </c>
      <c r="I1336">
        <v>92</v>
      </c>
      <c r="J1336">
        <v>21</v>
      </c>
      <c r="K1336">
        <v>0.33300000000000002</v>
      </c>
      <c r="L1336">
        <v>0.25</v>
      </c>
      <c r="M1336">
        <v>0.64700000000000002</v>
      </c>
      <c r="N1336">
        <v>0</v>
      </c>
      <c r="O1336">
        <v>-1E-3</v>
      </c>
      <c r="P1336">
        <v>1995</v>
      </c>
      <c r="Q1336">
        <v>7.3</v>
      </c>
      <c r="R1336">
        <v>2</v>
      </c>
      <c r="S1336">
        <v>1.4</v>
      </c>
      <c r="T1336">
        <v>0.3</v>
      </c>
      <c r="U1336">
        <v>2</v>
      </c>
      <c r="V1336">
        <v>1</v>
      </c>
      <c r="W1336">
        <f>IF(nba_draft[[#This Row],[years_played]]&gt;5,1,0)</f>
        <v>0</v>
      </c>
    </row>
    <row r="1337" spans="1:23" x14ac:dyDescent="0.25">
      <c r="A1337">
        <v>28</v>
      </c>
      <c r="B1337" t="s">
        <v>95</v>
      </c>
      <c r="C1337" t="s">
        <v>538</v>
      </c>
      <c r="D1337" t="s">
        <v>67</v>
      </c>
      <c r="E1337">
        <v>2</v>
      </c>
      <c r="F1337">
        <v>45</v>
      </c>
      <c r="G1337">
        <v>449</v>
      </c>
      <c r="H1337">
        <v>130</v>
      </c>
      <c r="I1337">
        <v>97</v>
      </c>
      <c r="J1337">
        <v>39</v>
      </c>
      <c r="K1337">
        <v>0.32500000000000001</v>
      </c>
      <c r="L1337">
        <v>9.0999999999999998E-2</v>
      </c>
      <c r="M1337">
        <v>0.56299999999999994</v>
      </c>
      <c r="N1337">
        <v>-0.8</v>
      </c>
      <c r="O1337">
        <v>-0.08</v>
      </c>
      <c r="P1337">
        <v>1997</v>
      </c>
      <c r="Q1337">
        <v>10</v>
      </c>
      <c r="R1337">
        <v>2.9</v>
      </c>
      <c r="S1337">
        <v>2.2000000000000002</v>
      </c>
      <c r="T1337">
        <v>0.9</v>
      </c>
      <c r="U1337">
        <v>1</v>
      </c>
      <c r="V1337">
        <v>28</v>
      </c>
      <c r="W1337">
        <f>IF(nba_draft[[#This Row],[years_played]]&gt;5,1,0)</f>
        <v>0</v>
      </c>
    </row>
    <row r="1338" spans="1:23" x14ac:dyDescent="0.25">
      <c r="A1338">
        <v>47</v>
      </c>
      <c r="B1338" t="s">
        <v>37</v>
      </c>
      <c r="C1338" t="s">
        <v>990</v>
      </c>
      <c r="D1338" t="s">
        <v>285</v>
      </c>
      <c r="E1338">
        <v>2</v>
      </c>
      <c r="F1338">
        <v>26</v>
      </c>
      <c r="G1338">
        <v>325</v>
      </c>
      <c r="H1338">
        <v>129</v>
      </c>
      <c r="I1338">
        <v>39</v>
      </c>
      <c r="J1338">
        <v>20</v>
      </c>
      <c r="K1338">
        <v>0.40500000000000003</v>
      </c>
      <c r="L1338">
        <v>0.32400000000000001</v>
      </c>
      <c r="M1338">
        <v>0.79400000000000004</v>
      </c>
      <c r="N1338">
        <v>0.5</v>
      </c>
      <c r="O1338">
        <v>6.8000000000000005E-2</v>
      </c>
      <c r="P1338">
        <v>2005</v>
      </c>
      <c r="Q1338">
        <v>12.5</v>
      </c>
      <c r="R1338">
        <v>5</v>
      </c>
      <c r="S1338">
        <v>1.5</v>
      </c>
      <c r="T1338">
        <v>0.8</v>
      </c>
      <c r="U1338">
        <v>2</v>
      </c>
      <c r="V1338">
        <v>17</v>
      </c>
      <c r="W1338">
        <f>IF(nba_draft[[#This Row],[years_played]]&gt;5,1,0)</f>
        <v>0</v>
      </c>
    </row>
    <row r="1339" spans="1:23" x14ac:dyDescent="0.25">
      <c r="A1339">
        <v>34</v>
      </c>
      <c r="B1339" t="s">
        <v>149</v>
      </c>
      <c r="C1339" t="s">
        <v>542</v>
      </c>
      <c r="D1339" t="s">
        <v>543</v>
      </c>
      <c r="E1339">
        <v>1</v>
      </c>
      <c r="F1339">
        <v>39</v>
      </c>
      <c r="G1339">
        <v>395</v>
      </c>
      <c r="H1339">
        <v>128</v>
      </c>
      <c r="I1339">
        <v>68</v>
      </c>
      <c r="J1339">
        <v>34</v>
      </c>
      <c r="K1339">
        <v>0.41399999999999998</v>
      </c>
      <c r="L1339">
        <v>0.16700000000000001</v>
      </c>
      <c r="M1339">
        <v>0.72099999999999997</v>
      </c>
      <c r="N1339">
        <v>0.1</v>
      </c>
      <c r="O1339">
        <v>1.2999999999999999E-2</v>
      </c>
      <c r="P1339">
        <v>1997</v>
      </c>
      <c r="Q1339">
        <v>10.1</v>
      </c>
      <c r="R1339">
        <v>3.3</v>
      </c>
      <c r="S1339">
        <v>1.7</v>
      </c>
      <c r="T1339">
        <v>0.9</v>
      </c>
      <c r="U1339">
        <v>2</v>
      </c>
      <c r="V1339">
        <v>6</v>
      </c>
      <c r="W1339">
        <f>IF(nba_draft[[#This Row],[years_played]]&gt;5,1,0)</f>
        <v>0</v>
      </c>
    </row>
    <row r="1340" spans="1:23" x14ac:dyDescent="0.25">
      <c r="A1340">
        <v>42</v>
      </c>
      <c r="B1340" t="s">
        <v>25</v>
      </c>
      <c r="C1340" t="s">
        <v>727</v>
      </c>
      <c r="D1340" t="s">
        <v>97</v>
      </c>
      <c r="E1340">
        <v>3</v>
      </c>
      <c r="F1340">
        <v>93</v>
      </c>
      <c r="G1340">
        <v>587</v>
      </c>
      <c r="H1340">
        <v>127</v>
      </c>
      <c r="I1340">
        <v>196</v>
      </c>
      <c r="J1340">
        <v>11</v>
      </c>
      <c r="K1340">
        <v>0.495</v>
      </c>
      <c r="L1340">
        <v>0</v>
      </c>
      <c r="M1340">
        <v>0.65900000000000003</v>
      </c>
      <c r="N1340">
        <v>1.2</v>
      </c>
      <c r="O1340">
        <v>9.5000000000000001E-2</v>
      </c>
      <c r="P1340">
        <v>2000</v>
      </c>
      <c r="Q1340">
        <v>6.3</v>
      </c>
      <c r="R1340">
        <v>1.4</v>
      </c>
      <c r="S1340">
        <v>2.1</v>
      </c>
      <c r="T1340">
        <v>0.1</v>
      </c>
      <c r="U1340">
        <v>2</v>
      </c>
      <c r="V1340">
        <v>13</v>
      </c>
      <c r="W1340">
        <f>IF(nba_draft[[#This Row],[years_played]]&gt;5,1,0)</f>
        <v>0</v>
      </c>
    </row>
    <row r="1341" spans="1:23" x14ac:dyDescent="0.25">
      <c r="A1341">
        <v>41</v>
      </c>
      <c r="B1341" t="s">
        <v>127</v>
      </c>
      <c r="C1341" t="s">
        <v>1151</v>
      </c>
      <c r="D1341" t="s">
        <v>97</v>
      </c>
      <c r="E1341">
        <v>2</v>
      </c>
      <c r="F1341">
        <v>45</v>
      </c>
      <c r="G1341">
        <v>431</v>
      </c>
      <c r="H1341">
        <v>126</v>
      </c>
      <c r="I1341">
        <v>106</v>
      </c>
      <c r="J1341">
        <v>24</v>
      </c>
      <c r="K1341">
        <v>0.435</v>
      </c>
      <c r="L1341">
        <v>0</v>
      </c>
      <c r="M1341">
        <v>0.68400000000000005</v>
      </c>
      <c r="N1341">
        <v>0.2</v>
      </c>
      <c r="O1341">
        <v>0.02</v>
      </c>
      <c r="P1341">
        <v>2008</v>
      </c>
      <c r="Q1341">
        <v>9.6</v>
      </c>
      <c r="R1341">
        <v>2.8</v>
      </c>
      <c r="S1341">
        <v>2.4</v>
      </c>
      <c r="T1341">
        <v>0.5</v>
      </c>
      <c r="U1341">
        <v>2</v>
      </c>
      <c r="V1341">
        <v>11</v>
      </c>
      <c r="W1341">
        <f>IF(nba_draft[[#This Row],[years_played]]&gt;5,1,0)</f>
        <v>0</v>
      </c>
    </row>
    <row r="1342" spans="1:23" x14ac:dyDescent="0.25">
      <c r="A1342">
        <v>32</v>
      </c>
      <c r="B1342" t="s">
        <v>70</v>
      </c>
      <c r="C1342" t="s">
        <v>1089</v>
      </c>
      <c r="D1342" t="s">
        <v>230</v>
      </c>
      <c r="E1342">
        <v>2</v>
      </c>
      <c r="F1342">
        <v>62</v>
      </c>
      <c r="G1342">
        <v>461</v>
      </c>
      <c r="H1342">
        <v>125</v>
      </c>
      <c r="I1342">
        <v>51</v>
      </c>
      <c r="J1342">
        <v>52</v>
      </c>
      <c r="K1342">
        <v>0.32100000000000001</v>
      </c>
      <c r="L1342">
        <v>0.28299999999999997</v>
      </c>
      <c r="M1342">
        <v>0.78300000000000003</v>
      </c>
      <c r="N1342">
        <v>0.4</v>
      </c>
      <c r="O1342">
        <v>4.2999999999999997E-2</v>
      </c>
      <c r="P1342">
        <v>2007</v>
      </c>
      <c r="Q1342">
        <v>7.4</v>
      </c>
      <c r="R1342">
        <v>2</v>
      </c>
      <c r="S1342">
        <v>0.8</v>
      </c>
      <c r="T1342">
        <v>0.8</v>
      </c>
      <c r="U1342">
        <v>2</v>
      </c>
      <c r="V1342">
        <v>2</v>
      </c>
      <c r="W1342">
        <f>IF(nba_draft[[#This Row],[years_played]]&gt;5,1,0)</f>
        <v>0</v>
      </c>
    </row>
    <row r="1343" spans="1:23" x14ac:dyDescent="0.25">
      <c r="A1343">
        <v>19</v>
      </c>
      <c r="B1343" t="s">
        <v>88</v>
      </c>
      <c r="C1343" t="s">
        <v>409</v>
      </c>
      <c r="D1343" t="s">
        <v>269</v>
      </c>
      <c r="E1343">
        <v>2</v>
      </c>
      <c r="F1343">
        <v>51</v>
      </c>
      <c r="G1343">
        <v>405</v>
      </c>
      <c r="H1343">
        <v>124</v>
      </c>
      <c r="I1343">
        <v>25</v>
      </c>
      <c r="J1343">
        <v>49</v>
      </c>
      <c r="K1343">
        <v>0.32800000000000001</v>
      </c>
      <c r="L1343">
        <v>0.27300000000000002</v>
      </c>
      <c r="M1343">
        <v>0.8</v>
      </c>
      <c r="N1343">
        <v>-0.2</v>
      </c>
      <c r="O1343">
        <v>-2.5999999999999999E-2</v>
      </c>
      <c r="P1343">
        <v>1995</v>
      </c>
      <c r="Q1343">
        <v>7.9</v>
      </c>
      <c r="R1343">
        <v>2.4</v>
      </c>
      <c r="S1343">
        <v>0.5</v>
      </c>
      <c r="T1343">
        <v>1</v>
      </c>
      <c r="U1343">
        <v>1</v>
      </c>
      <c r="V1343">
        <v>19</v>
      </c>
      <c r="W1343">
        <f>IF(nba_draft[[#This Row],[years_played]]&gt;5,1,0)</f>
        <v>0</v>
      </c>
    </row>
    <row r="1344" spans="1:23" x14ac:dyDescent="0.25">
      <c r="A1344">
        <v>15</v>
      </c>
      <c r="B1344" t="s">
        <v>31</v>
      </c>
      <c r="C1344" t="s">
        <v>860</v>
      </c>
      <c r="D1344" t="s">
        <v>39</v>
      </c>
      <c r="E1344">
        <v>3</v>
      </c>
      <c r="F1344">
        <v>71</v>
      </c>
      <c r="G1344">
        <v>605</v>
      </c>
      <c r="H1344">
        <v>123</v>
      </c>
      <c r="I1344">
        <v>53</v>
      </c>
      <c r="J1344">
        <v>50</v>
      </c>
      <c r="K1344">
        <v>0.32400000000000001</v>
      </c>
      <c r="L1344">
        <v>0.26900000000000002</v>
      </c>
      <c r="M1344">
        <v>0.60599999999999998</v>
      </c>
      <c r="N1344">
        <v>-0.6</v>
      </c>
      <c r="O1344">
        <v>-4.9000000000000002E-2</v>
      </c>
      <c r="P1344">
        <v>2003</v>
      </c>
      <c r="Q1344">
        <v>8.5</v>
      </c>
      <c r="R1344">
        <v>1.7</v>
      </c>
      <c r="S1344">
        <v>0.7</v>
      </c>
      <c r="T1344">
        <v>0.7</v>
      </c>
      <c r="U1344">
        <v>1</v>
      </c>
      <c r="V1344">
        <v>15</v>
      </c>
      <c r="W1344">
        <f>IF(nba_draft[[#This Row],[years_played]]&gt;5,1,0)</f>
        <v>0</v>
      </c>
    </row>
    <row r="1345" spans="1:23" x14ac:dyDescent="0.25">
      <c r="A1345">
        <v>37</v>
      </c>
      <c r="B1345" t="s">
        <v>49</v>
      </c>
      <c r="C1345" t="s">
        <v>881</v>
      </c>
      <c r="D1345" t="s">
        <v>279</v>
      </c>
      <c r="E1345">
        <v>1</v>
      </c>
      <c r="F1345">
        <v>41</v>
      </c>
      <c r="G1345">
        <v>507</v>
      </c>
      <c r="H1345">
        <v>123</v>
      </c>
      <c r="I1345">
        <v>70</v>
      </c>
      <c r="J1345">
        <v>19</v>
      </c>
      <c r="K1345">
        <v>0.35399999999999998</v>
      </c>
      <c r="L1345">
        <v>0.3</v>
      </c>
      <c r="M1345">
        <v>0.81499999999999995</v>
      </c>
      <c r="N1345">
        <v>0.2</v>
      </c>
      <c r="O1345">
        <v>1.9E-2</v>
      </c>
      <c r="P1345">
        <v>2003</v>
      </c>
      <c r="Q1345">
        <v>12.4</v>
      </c>
      <c r="R1345">
        <v>3</v>
      </c>
      <c r="S1345">
        <v>1.7</v>
      </c>
      <c r="T1345">
        <v>0.5</v>
      </c>
      <c r="U1345">
        <v>2</v>
      </c>
      <c r="V1345">
        <v>8</v>
      </c>
      <c r="W1345">
        <f>IF(nba_draft[[#This Row],[years_played]]&gt;5,1,0)</f>
        <v>0</v>
      </c>
    </row>
    <row r="1346" spans="1:23" x14ac:dyDescent="0.25">
      <c r="A1346">
        <v>48</v>
      </c>
      <c r="B1346" t="s">
        <v>52</v>
      </c>
      <c r="C1346" t="s">
        <v>1818</v>
      </c>
      <c r="D1346" t="s">
        <v>117</v>
      </c>
      <c r="E1346">
        <v>1</v>
      </c>
      <c r="F1346">
        <v>30</v>
      </c>
      <c r="G1346">
        <v>364</v>
      </c>
      <c r="H1346">
        <v>123</v>
      </c>
      <c r="I1346">
        <v>46</v>
      </c>
      <c r="J1346">
        <v>70</v>
      </c>
      <c r="K1346">
        <v>0.34200000000000003</v>
      </c>
      <c r="L1346">
        <v>0.36699999999999999</v>
      </c>
      <c r="M1346">
        <v>0.82099999999999995</v>
      </c>
      <c r="N1346">
        <v>0.2</v>
      </c>
      <c r="O1346">
        <v>2.9000000000000001E-2</v>
      </c>
      <c r="P1346">
        <v>2020</v>
      </c>
      <c r="Q1346">
        <v>12.1</v>
      </c>
      <c r="R1346">
        <v>4.0999999999999996</v>
      </c>
      <c r="S1346">
        <v>1.5</v>
      </c>
      <c r="T1346">
        <v>2.2999999999999998</v>
      </c>
      <c r="U1346">
        <v>2</v>
      </c>
      <c r="V1346">
        <v>18</v>
      </c>
      <c r="W1346">
        <f>IF(nba_draft[[#This Row],[years_played]]&gt;5,1,0)</f>
        <v>0</v>
      </c>
    </row>
    <row r="1347" spans="1:23" x14ac:dyDescent="0.25">
      <c r="A1347">
        <v>31</v>
      </c>
      <c r="B1347" t="s">
        <v>88</v>
      </c>
      <c r="C1347" t="s">
        <v>539</v>
      </c>
      <c r="D1347" t="s">
        <v>113</v>
      </c>
      <c r="E1347">
        <v>2</v>
      </c>
      <c r="F1347">
        <v>48</v>
      </c>
      <c r="G1347">
        <v>399</v>
      </c>
      <c r="H1347">
        <v>120</v>
      </c>
      <c r="I1347">
        <v>67</v>
      </c>
      <c r="J1347">
        <v>29</v>
      </c>
      <c r="K1347">
        <v>0.4</v>
      </c>
      <c r="L1347">
        <v>0</v>
      </c>
      <c r="M1347">
        <v>0.87</v>
      </c>
      <c r="N1347">
        <v>0.6</v>
      </c>
      <c r="O1347">
        <v>7.0000000000000007E-2</v>
      </c>
      <c r="P1347">
        <v>1997</v>
      </c>
      <c r="Q1347">
        <v>8.3000000000000007</v>
      </c>
      <c r="R1347">
        <v>2.5</v>
      </c>
      <c r="S1347">
        <v>1.4</v>
      </c>
      <c r="T1347">
        <v>0.6</v>
      </c>
      <c r="U1347">
        <v>2</v>
      </c>
      <c r="V1347">
        <v>3</v>
      </c>
      <c r="W1347">
        <f>IF(nba_draft[[#This Row],[years_played]]&gt;5,1,0)</f>
        <v>0</v>
      </c>
    </row>
    <row r="1348" spans="1:23" x14ac:dyDescent="0.25">
      <c r="A1348">
        <v>46</v>
      </c>
      <c r="B1348" t="s">
        <v>37</v>
      </c>
      <c r="C1348" t="s">
        <v>617</v>
      </c>
      <c r="D1348" t="s">
        <v>285</v>
      </c>
      <c r="E1348">
        <v>2</v>
      </c>
      <c r="F1348">
        <v>40</v>
      </c>
      <c r="G1348">
        <v>304</v>
      </c>
      <c r="H1348">
        <v>120</v>
      </c>
      <c r="I1348">
        <v>67</v>
      </c>
      <c r="J1348">
        <v>16</v>
      </c>
      <c r="K1348">
        <v>0.45500000000000002</v>
      </c>
      <c r="L1348">
        <v>0</v>
      </c>
      <c r="M1348">
        <v>0.77800000000000002</v>
      </c>
      <c r="N1348">
        <v>0.7</v>
      </c>
      <c r="O1348">
        <v>0.114</v>
      </c>
      <c r="P1348">
        <v>1998</v>
      </c>
      <c r="Q1348">
        <v>7.6</v>
      </c>
      <c r="R1348">
        <v>3</v>
      </c>
      <c r="S1348">
        <v>1.7</v>
      </c>
      <c r="T1348">
        <v>0.4</v>
      </c>
      <c r="U1348">
        <v>2</v>
      </c>
      <c r="V1348">
        <v>17</v>
      </c>
      <c r="W1348">
        <f>IF(nba_draft[[#This Row],[years_played]]&gt;5,1,0)</f>
        <v>0</v>
      </c>
    </row>
    <row r="1349" spans="1:23" x14ac:dyDescent="0.25">
      <c r="A1349">
        <v>25</v>
      </c>
      <c r="B1349" t="s">
        <v>104</v>
      </c>
      <c r="C1349" t="s">
        <v>1082</v>
      </c>
      <c r="D1349" t="s">
        <v>1083</v>
      </c>
      <c r="E1349">
        <v>3</v>
      </c>
      <c r="F1349">
        <v>38</v>
      </c>
      <c r="G1349">
        <v>361</v>
      </c>
      <c r="H1349">
        <v>119</v>
      </c>
      <c r="I1349">
        <v>46</v>
      </c>
      <c r="J1349">
        <v>12</v>
      </c>
      <c r="K1349">
        <v>0.38100000000000001</v>
      </c>
      <c r="L1349">
        <v>0.29199999999999998</v>
      </c>
      <c r="M1349">
        <v>0.74299999999999999</v>
      </c>
      <c r="N1349">
        <v>0</v>
      </c>
      <c r="O1349">
        <v>5.0000000000000001E-3</v>
      </c>
      <c r="P1349">
        <v>2007</v>
      </c>
      <c r="Q1349">
        <v>9.5</v>
      </c>
      <c r="R1349">
        <v>3.1</v>
      </c>
      <c r="S1349">
        <v>1.2</v>
      </c>
      <c r="T1349">
        <v>0.3</v>
      </c>
      <c r="U1349">
        <v>1</v>
      </c>
      <c r="V1349">
        <v>25</v>
      </c>
      <c r="W1349">
        <f>IF(nba_draft[[#This Row],[years_played]]&gt;5,1,0)</f>
        <v>0</v>
      </c>
    </row>
    <row r="1350" spans="1:23" x14ac:dyDescent="0.25">
      <c r="A1350">
        <v>44</v>
      </c>
      <c r="B1350" t="s">
        <v>88</v>
      </c>
      <c r="C1350" t="s">
        <v>1373</v>
      </c>
      <c r="D1350" t="s">
        <v>151</v>
      </c>
      <c r="E1350">
        <v>1</v>
      </c>
      <c r="F1350">
        <v>41</v>
      </c>
      <c r="G1350">
        <v>407</v>
      </c>
      <c r="H1350">
        <v>119</v>
      </c>
      <c r="I1350">
        <v>37</v>
      </c>
      <c r="J1350">
        <v>26</v>
      </c>
      <c r="K1350">
        <v>0.375</v>
      </c>
      <c r="L1350">
        <v>0.28000000000000003</v>
      </c>
      <c r="M1350">
        <v>0.72399999999999998</v>
      </c>
      <c r="N1350">
        <v>0.2</v>
      </c>
      <c r="O1350">
        <v>2.1000000000000001E-2</v>
      </c>
      <c r="P1350">
        <v>2012</v>
      </c>
      <c r="Q1350">
        <v>9.9</v>
      </c>
      <c r="R1350">
        <v>2.9</v>
      </c>
      <c r="S1350">
        <v>0.9</v>
      </c>
      <c r="T1350">
        <v>0.6</v>
      </c>
      <c r="U1350">
        <v>2</v>
      </c>
      <c r="V1350">
        <v>14</v>
      </c>
      <c r="W1350">
        <f>IF(nba_draft[[#This Row],[years_played]]&gt;5,1,0)</f>
        <v>0</v>
      </c>
    </row>
    <row r="1351" spans="1:23" x14ac:dyDescent="0.25">
      <c r="A1351">
        <v>20</v>
      </c>
      <c r="B1351" t="s">
        <v>55</v>
      </c>
      <c r="C1351" t="s">
        <v>172</v>
      </c>
      <c r="D1351" t="s">
        <v>173</v>
      </c>
      <c r="E1351">
        <v>1</v>
      </c>
      <c r="F1351">
        <v>42</v>
      </c>
      <c r="G1351">
        <v>345</v>
      </c>
      <c r="H1351">
        <v>117</v>
      </c>
      <c r="I1351">
        <v>78</v>
      </c>
      <c r="J1351">
        <v>12</v>
      </c>
      <c r="K1351">
        <v>0.439</v>
      </c>
      <c r="L1351">
        <v>0</v>
      </c>
      <c r="M1351">
        <v>0.52500000000000002</v>
      </c>
      <c r="N1351">
        <v>-0.1</v>
      </c>
      <c r="O1351">
        <v>-2.1000000000000001E-2</v>
      </c>
      <c r="P1351">
        <v>1991</v>
      </c>
      <c r="Q1351">
        <v>8.1999999999999993</v>
      </c>
      <c r="R1351">
        <v>2.8</v>
      </c>
      <c r="S1351">
        <v>1.9</v>
      </c>
      <c r="T1351">
        <v>0.3</v>
      </c>
      <c r="U1351">
        <v>1</v>
      </c>
      <c r="V1351">
        <v>20</v>
      </c>
      <c r="W1351">
        <f>IF(nba_draft[[#This Row],[years_played]]&gt;5,1,0)</f>
        <v>0</v>
      </c>
    </row>
    <row r="1352" spans="1:23" x14ac:dyDescent="0.25">
      <c r="A1352">
        <v>32</v>
      </c>
      <c r="B1352" t="s">
        <v>46</v>
      </c>
      <c r="C1352" t="s">
        <v>1249</v>
      </c>
      <c r="D1352" t="s">
        <v>60</v>
      </c>
      <c r="E1352">
        <v>4</v>
      </c>
      <c r="F1352">
        <v>50</v>
      </c>
      <c r="G1352">
        <v>347</v>
      </c>
      <c r="H1352">
        <v>116</v>
      </c>
      <c r="I1352">
        <v>89</v>
      </c>
      <c r="J1352">
        <v>9</v>
      </c>
      <c r="K1352">
        <v>0.45</v>
      </c>
      <c r="L1352">
        <v>0</v>
      </c>
      <c r="M1352">
        <v>0.54500000000000004</v>
      </c>
      <c r="N1352">
        <v>0.5</v>
      </c>
      <c r="O1352">
        <v>6.8000000000000005E-2</v>
      </c>
      <c r="P1352">
        <v>2010</v>
      </c>
      <c r="Q1352">
        <v>6.9</v>
      </c>
      <c r="R1352">
        <v>2.2999999999999998</v>
      </c>
      <c r="S1352">
        <v>1.8</v>
      </c>
      <c r="T1352">
        <v>0.2</v>
      </c>
      <c r="U1352">
        <v>2</v>
      </c>
      <c r="V1352">
        <v>2</v>
      </c>
      <c r="W1352">
        <f>IF(nba_draft[[#This Row],[years_played]]&gt;5,1,0)</f>
        <v>0</v>
      </c>
    </row>
    <row r="1353" spans="1:23" x14ac:dyDescent="0.25">
      <c r="A1353">
        <v>22</v>
      </c>
      <c r="B1353" t="s">
        <v>90</v>
      </c>
      <c r="C1353" t="s">
        <v>1853</v>
      </c>
      <c r="D1353" t="s">
        <v>282</v>
      </c>
      <c r="E1353">
        <v>1</v>
      </c>
      <c r="F1353">
        <v>20</v>
      </c>
      <c r="G1353">
        <v>193</v>
      </c>
      <c r="H1353">
        <v>115</v>
      </c>
      <c r="I1353">
        <v>55</v>
      </c>
      <c r="J1353">
        <v>7</v>
      </c>
      <c r="K1353">
        <v>0.54200000000000004</v>
      </c>
      <c r="L1353">
        <v>0.42899999999999999</v>
      </c>
      <c r="M1353">
        <v>0.66700000000000004</v>
      </c>
      <c r="N1353">
        <v>0.7</v>
      </c>
      <c r="O1353">
        <v>0.17299999999999999</v>
      </c>
      <c r="P1353">
        <v>2021</v>
      </c>
      <c r="Q1353">
        <v>9.6999999999999993</v>
      </c>
      <c r="R1353">
        <v>5.8</v>
      </c>
      <c r="S1353">
        <v>2.8</v>
      </c>
      <c r="T1353">
        <v>0.4</v>
      </c>
      <c r="U1353">
        <v>1</v>
      </c>
      <c r="V1353">
        <v>22</v>
      </c>
      <c r="W1353">
        <f>IF(nba_draft[[#This Row],[years_played]]&gt;5,1,0)</f>
        <v>0</v>
      </c>
    </row>
    <row r="1354" spans="1:23" x14ac:dyDescent="0.25">
      <c r="A1354">
        <v>27</v>
      </c>
      <c r="B1354" t="s">
        <v>22</v>
      </c>
      <c r="C1354" t="s">
        <v>1296</v>
      </c>
      <c r="D1354" t="s">
        <v>119</v>
      </c>
      <c r="E1354">
        <v>1</v>
      </c>
      <c r="F1354">
        <v>36</v>
      </c>
      <c r="G1354">
        <v>298</v>
      </c>
      <c r="H1354">
        <v>114</v>
      </c>
      <c r="I1354">
        <v>58</v>
      </c>
      <c r="J1354">
        <v>6</v>
      </c>
      <c r="K1354">
        <v>0.44600000000000001</v>
      </c>
      <c r="L1354">
        <v>0</v>
      </c>
      <c r="M1354">
        <v>0.66700000000000004</v>
      </c>
      <c r="N1354">
        <v>0.2</v>
      </c>
      <c r="O1354">
        <v>3.2000000000000001E-2</v>
      </c>
      <c r="P1354">
        <v>2011</v>
      </c>
      <c r="Q1354">
        <v>8.3000000000000007</v>
      </c>
      <c r="R1354">
        <v>3.2</v>
      </c>
      <c r="S1354">
        <v>1.6</v>
      </c>
      <c r="T1354">
        <v>0.2</v>
      </c>
      <c r="U1354">
        <v>1</v>
      </c>
      <c r="V1354">
        <v>27</v>
      </c>
      <c r="W1354">
        <f>IF(nba_draft[[#This Row],[years_played]]&gt;5,1,0)</f>
        <v>0</v>
      </c>
    </row>
    <row r="1355" spans="1:23" x14ac:dyDescent="0.25">
      <c r="A1355">
        <v>59</v>
      </c>
      <c r="B1355" t="s">
        <v>82</v>
      </c>
      <c r="C1355" t="s">
        <v>1651</v>
      </c>
      <c r="D1355" t="s">
        <v>92</v>
      </c>
      <c r="E1355">
        <v>1</v>
      </c>
      <c r="F1355">
        <v>27</v>
      </c>
      <c r="G1355">
        <v>439</v>
      </c>
      <c r="H1355">
        <v>114</v>
      </c>
      <c r="I1355">
        <v>98</v>
      </c>
      <c r="J1355">
        <v>13</v>
      </c>
      <c r="K1355">
        <v>0.443</v>
      </c>
      <c r="L1355">
        <v>0.25600000000000001</v>
      </c>
      <c r="M1355">
        <v>0.76900000000000002</v>
      </c>
      <c r="N1355">
        <v>0.3</v>
      </c>
      <c r="O1355">
        <v>0.03</v>
      </c>
      <c r="P1355">
        <v>2017</v>
      </c>
      <c r="Q1355">
        <v>16.3</v>
      </c>
      <c r="R1355">
        <v>4.2</v>
      </c>
      <c r="S1355">
        <v>3.6</v>
      </c>
      <c r="T1355">
        <v>0.5</v>
      </c>
      <c r="U1355">
        <v>2</v>
      </c>
      <c r="V1355">
        <v>29</v>
      </c>
      <c r="W1355">
        <f>IF(nba_draft[[#This Row],[years_played]]&gt;5,1,0)</f>
        <v>0</v>
      </c>
    </row>
    <row r="1356" spans="1:23" x14ac:dyDescent="0.25">
      <c r="A1356">
        <v>60</v>
      </c>
      <c r="B1356" t="s">
        <v>863</v>
      </c>
      <c r="C1356" t="s">
        <v>1830</v>
      </c>
      <c r="D1356" t="s">
        <v>1831</v>
      </c>
      <c r="E1356">
        <v>2</v>
      </c>
      <c r="F1356">
        <v>36</v>
      </c>
      <c r="G1356">
        <v>291</v>
      </c>
      <c r="H1356">
        <v>114</v>
      </c>
      <c r="I1356">
        <v>37</v>
      </c>
      <c r="J1356">
        <v>25</v>
      </c>
      <c r="K1356">
        <v>0.41699999999999998</v>
      </c>
      <c r="L1356">
        <v>0.4</v>
      </c>
      <c r="M1356">
        <v>0.75</v>
      </c>
      <c r="N1356">
        <v>0.5</v>
      </c>
      <c r="O1356">
        <v>8.6999999999999994E-2</v>
      </c>
      <c r="P1356">
        <v>2020</v>
      </c>
      <c r="Q1356">
        <v>8.1</v>
      </c>
      <c r="R1356">
        <v>3.2</v>
      </c>
      <c r="S1356">
        <v>1</v>
      </c>
      <c r="T1356">
        <v>0.7</v>
      </c>
      <c r="U1356">
        <v>2</v>
      </c>
      <c r="V1356">
        <v>30</v>
      </c>
      <c r="W1356">
        <f>IF(nba_draft[[#This Row],[years_played]]&gt;5,1,0)</f>
        <v>0</v>
      </c>
    </row>
    <row r="1357" spans="1:23" x14ac:dyDescent="0.25">
      <c r="A1357">
        <v>33</v>
      </c>
      <c r="B1357" t="s">
        <v>43</v>
      </c>
      <c r="C1357" t="s">
        <v>930</v>
      </c>
      <c r="D1357" t="s">
        <v>54</v>
      </c>
      <c r="E1357">
        <v>1</v>
      </c>
      <c r="F1357">
        <v>36</v>
      </c>
      <c r="G1357">
        <v>433</v>
      </c>
      <c r="H1357">
        <v>111</v>
      </c>
      <c r="I1357">
        <v>31</v>
      </c>
      <c r="J1357">
        <v>51</v>
      </c>
      <c r="K1357">
        <v>0.33600000000000002</v>
      </c>
      <c r="L1357">
        <v>0.245</v>
      </c>
      <c r="M1357">
        <v>0.625</v>
      </c>
      <c r="N1357">
        <v>-0.2</v>
      </c>
      <c r="O1357">
        <v>-2.5000000000000001E-2</v>
      </c>
      <c r="P1357">
        <v>2004</v>
      </c>
      <c r="Q1357">
        <v>12</v>
      </c>
      <c r="R1357">
        <v>3.1</v>
      </c>
      <c r="S1357">
        <v>0.9</v>
      </c>
      <c r="T1357">
        <v>1.4</v>
      </c>
      <c r="U1357">
        <v>2</v>
      </c>
      <c r="V1357">
        <v>4</v>
      </c>
      <c r="W1357">
        <f>IF(nba_draft[[#This Row],[years_played]]&gt;5,1,0)</f>
        <v>0</v>
      </c>
    </row>
    <row r="1358" spans="1:23" x14ac:dyDescent="0.25">
      <c r="A1358">
        <v>43</v>
      </c>
      <c r="B1358" t="s">
        <v>63</v>
      </c>
      <c r="C1358" t="s">
        <v>1431</v>
      </c>
      <c r="D1358" t="s">
        <v>175</v>
      </c>
      <c r="E1358">
        <v>2</v>
      </c>
      <c r="F1358">
        <v>28</v>
      </c>
      <c r="G1358">
        <v>277</v>
      </c>
      <c r="H1358">
        <v>109</v>
      </c>
      <c r="I1358">
        <v>38</v>
      </c>
      <c r="J1358">
        <v>21</v>
      </c>
      <c r="K1358">
        <v>0.33600000000000002</v>
      </c>
      <c r="L1358">
        <v>0.371</v>
      </c>
      <c r="M1358">
        <v>0.76900000000000002</v>
      </c>
      <c r="N1358">
        <v>-0.6</v>
      </c>
      <c r="O1358">
        <v>-9.6000000000000002E-2</v>
      </c>
      <c r="P1358">
        <v>2013</v>
      </c>
      <c r="Q1358">
        <v>9.9</v>
      </c>
      <c r="R1358">
        <v>3.9</v>
      </c>
      <c r="S1358">
        <v>1.4</v>
      </c>
      <c r="T1358">
        <v>0.8</v>
      </c>
      <c r="U1358">
        <v>2</v>
      </c>
      <c r="V1358">
        <v>13</v>
      </c>
      <c r="W1358">
        <f>IF(nba_draft[[#This Row],[years_played]]&gt;5,1,0)</f>
        <v>0</v>
      </c>
    </row>
    <row r="1359" spans="1:23" x14ac:dyDescent="0.25">
      <c r="A1359">
        <v>14</v>
      </c>
      <c r="B1359" t="s">
        <v>52</v>
      </c>
      <c r="C1359" t="s">
        <v>1845</v>
      </c>
      <c r="D1359" t="s">
        <v>222</v>
      </c>
      <c r="E1359">
        <v>1</v>
      </c>
      <c r="F1359">
        <v>34</v>
      </c>
      <c r="G1359">
        <v>322</v>
      </c>
      <c r="H1359">
        <v>109</v>
      </c>
      <c r="I1359">
        <v>46</v>
      </c>
      <c r="J1359">
        <v>11</v>
      </c>
      <c r="K1359">
        <v>0.376</v>
      </c>
      <c r="L1359">
        <v>0.30599999999999999</v>
      </c>
      <c r="M1359">
        <v>0.82399999999999995</v>
      </c>
      <c r="N1359">
        <v>0.4</v>
      </c>
      <c r="O1359">
        <v>6.5000000000000002E-2</v>
      </c>
      <c r="P1359">
        <v>2021</v>
      </c>
      <c r="Q1359">
        <v>9.5</v>
      </c>
      <c r="R1359">
        <v>3.2</v>
      </c>
      <c r="S1359">
        <v>1.4</v>
      </c>
      <c r="T1359">
        <v>0.3</v>
      </c>
      <c r="U1359">
        <v>1</v>
      </c>
      <c r="V1359">
        <v>14</v>
      </c>
      <c r="W1359">
        <f>IF(nba_draft[[#This Row],[years_played]]&gt;5,1,0)</f>
        <v>0</v>
      </c>
    </row>
    <row r="1360" spans="1:23" x14ac:dyDescent="0.25">
      <c r="A1360">
        <v>33</v>
      </c>
      <c r="B1360" t="s">
        <v>102</v>
      </c>
      <c r="C1360" t="s">
        <v>541</v>
      </c>
      <c r="D1360" t="s">
        <v>97</v>
      </c>
      <c r="E1360">
        <v>2</v>
      </c>
      <c r="F1360">
        <v>44</v>
      </c>
      <c r="G1360">
        <v>216</v>
      </c>
      <c r="H1360">
        <v>108</v>
      </c>
      <c r="I1360">
        <v>30</v>
      </c>
      <c r="J1360">
        <v>14</v>
      </c>
      <c r="K1360">
        <v>0.56000000000000005</v>
      </c>
      <c r="L1360">
        <v>0.42899999999999999</v>
      </c>
      <c r="M1360">
        <v>0.64700000000000002</v>
      </c>
      <c r="N1360">
        <v>0.2</v>
      </c>
      <c r="O1360">
        <v>4.7E-2</v>
      </c>
      <c r="P1360">
        <v>1997</v>
      </c>
      <c r="Q1360">
        <v>4.9000000000000004</v>
      </c>
      <c r="R1360">
        <v>2.5</v>
      </c>
      <c r="S1360">
        <v>0.7</v>
      </c>
      <c r="T1360">
        <v>0.3</v>
      </c>
      <c r="U1360">
        <v>2</v>
      </c>
      <c r="V1360">
        <v>5</v>
      </c>
      <c r="W1360">
        <f>IF(nba_draft[[#This Row],[years_played]]&gt;5,1,0)</f>
        <v>0</v>
      </c>
    </row>
    <row r="1361" spans="1:23" x14ac:dyDescent="0.25">
      <c r="A1361">
        <v>37</v>
      </c>
      <c r="B1361" t="s">
        <v>102</v>
      </c>
      <c r="C1361" t="s">
        <v>777</v>
      </c>
      <c r="D1361" t="s">
        <v>24</v>
      </c>
      <c r="E1361">
        <v>4</v>
      </c>
      <c r="F1361">
        <v>39</v>
      </c>
      <c r="G1361">
        <v>351</v>
      </c>
      <c r="H1361">
        <v>108</v>
      </c>
      <c r="I1361">
        <v>52</v>
      </c>
      <c r="J1361">
        <v>19</v>
      </c>
      <c r="K1361">
        <v>0.33600000000000002</v>
      </c>
      <c r="L1361">
        <v>0.28599999999999998</v>
      </c>
      <c r="M1361">
        <v>0.66700000000000004</v>
      </c>
      <c r="N1361">
        <v>-0.7</v>
      </c>
      <c r="O1361">
        <v>-0.1</v>
      </c>
      <c r="P1361">
        <v>2001</v>
      </c>
      <c r="Q1361">
        <v>9</v>
      </c>
      <c r="R1361">
        <v>2.8</v>
      </c>
      <c r="S1361">
        <v>1.3</v>
      </c>
      <c r="T1361">
        <v>0.5</v>
      </c>
      <c r="U1361">
        <v>2</v>
      </c>
      <c r="V1361">
        <v>8</v>
      </c>
      <c r="W1361">
        <f>IF(nba_draft[[#This Row],[years_played]]&gt;5,1,0)</f>
        <v>0</v>
      </c>
    </row>
    <row r="1362" spans="1:23" x14ac:dyDescent="0.25">
      <c r="A1362">
        <v>48</v>
      </c>
      <c r="B1362" t="s">
        <v>393</v>
      </c>
      <c r="C1362" t="s">
        <v>784</v>
      </c>
      <c r="D1362" t="s">
        <v>97</v>
      </c>
      <c r="E1362">
        <v>1</v>
      </c>
      <c r="F1362">
        <v>28</v>
      </c>
      <c r="G1362">
        <v>320</v>
      </c>
      <c r="H1362">
        <v>108</v>
      </c>
      <c r="I1362">
        <v>62</v>
      </c>
      <c r="J1362">
        <v>10</v>
      </c>
      <c r="K1362">
        <v>0.40400000000000003</v>
      </c>
      <c r="L1362">
        <v>0.30399999999999999</v>
      </c>
      <c r="M1362">
        <v>0.85</v>
      </c>
      <c r="N1362">
        <v>0.1</v>
      </c>
      <c r="O1362">
        <v>1.7000000000000001E-2</v>
      </c>
      <c r="P1362">
        <v>2001</v>
      </c>
      <c r="Q1362">
        <v>11.4</v>
      </c>
      <c r="R1362">
        <v>3.9</v>
      </c>
      <c r="S1362">
        <v>2.2000000000000002</v>
      </c>
      <c r="T1362">
        <v>0.4</v>
      </c>
      <c r="U1362">
        <v>2</v>
      </c>
      <c r="V1362">
        <v>19</v>
      </c>
      <c r="W1362">
        <f>IF(nba_draft[[#This Row],[years_played]]&gt;5,1,0)</f>
        <v>0</v>
      </c>
    </row>
    <row r="1363" spans="1:23" x14ac:dyDescent="0.25">
      <c r="A1363">
        <v>34</v>
      </c>
      <c r="B1363" t="s">
        <v>149</v>
      </c>
      <c r="C1363" t="s">
        <v>1090</v>
      </c>
      <c r="D1363" t="s">
        <v>912</v>
      </c>
      <c r="E1363">
        <v>1</v>
      </c>
      <c r="F1363">
        <v>26</v>
      </c>
      <c r="G1363">
        <v>269</v>
      </c>
      <c r="H1363">
        <v>107</v>
      </c>
      <c r="I1363">
        <v>89</v>
      </c>
      <c r="J1363">
        <v>11</v>
      </c>
      <c r="K1363">
        <v>0.56100000000000005</v>
      </c>
      <c r="L1363">
        <v>0</v>
      </c>
      <c r="M1363">
        <v>0.68200000000000005</v>
      </c>
      <c r="N1363">
        <v>0.8</v>
      </c>
      <c r="O1363">
        <v>0.14799999999999999</v>
      </c>
      <c r="P1363">
        <v>2007</v>
      </c>
      <c r="Q1363">
        <v>10.3</v>
      </c>
      <c r="R1363">
        <v>4.0999999999999996</v>
      </c>
      <c r="S1363">
        <v>3.4</v>
      </c>
      <c r="T1363">
        <v>0.4</v>
      </c>
      <c r="U1363">
        <v>2</v>
      </c>
      <c r="V1363">
        <v>4</v>
      </c>
      <c r="W1363">
        <f>IF(nba_draft[[#This Row],[years_played]]&gt;5,1,0)</f>
        <v>0</v>
      </c>
    </row>
    <row r="1364" spans="1:23" x14ac:dyDescent="0.25">
      <c r="A1364">
        <v>41</v>
      </c>
      <c r="B1364" t="s">
        <v>46</v>
      </c>
      <c r="C1364" t="s">
        <v>1257</v>
      </c>
      <c r="D1364" t="s">
        <v>461</v>
      </c>
      <c r="E1364">
        <v>2</v>
      </c>
      <c r="F1364">
        <v>37</v>
      </c>
      <c r="G1364">
        <v>397</v>
      </c>
      <c r="H1364">
        <v>107</v>
      </c>
      <c r="I1364">
        <v>72</v>
      </c>
      <c r="J1364">
        <v>16</v>
      </c>
      <c r="K1364">
        <v>0.58199999999999996</v>
      </c>
      <c r="L1364">
        <v>0</v>
      </c>
      <c r="M1364">
        <v>0.51800000000000002</v>
      </c>
      <c r="N1364">
        <v>0.7</v>
      </c>
      <c r="O1364">
        <v>8.8999999999999996E-2</v>
      </c>
      <c r="P1364">
        <v>2010</v>
      </c>
      <c r="Q1364">
        <v>10.7</v>
      </c>
      <c r="R1364">
        <v>2.9</v>
      </c>
      <c r="S1364">
        <v>1.9</v>
      </c>
      <c r="T1364">
        <v>0.4</v>
      </c>
      <c r="U1364">
        <v>2</v>
      </c>
      <c r="V1364">
        <v>11</v>
      </c>
      <c r="W1364">
        <f>IF(nba_draft[[#This Row],[years_played]]&gt;5,1,0)</f>
        <v>0</v>
      </c>
    </row>
    <row r="1365" spans="1:23" x14ac:dyDescent="0.25">
      <c r="A1365">
        <v>32</v>
      </c>
      <c r="B1365" t="s">
        <v>109</v>
      </c>
      <c r="C1365" t="s">
        <v>425</v>
      </c>
      <c r="D1365" t="s">
        <v>60</v>
      </c>
      <c r="E1365">
        <v>1</v>
      </c>
      <c r="F1365">
        <v>36</v>
      </c>
      <c r="G1365">
        <v>405</v>
      </c>
      <c r="H1365">
        <v>106</v>
      </c>
      <c r="I1365">
        <v>44</v>
      </c>
      <c r="J1365">
        <v>54</v>
      </c>
      <c r="K1365">
        <v>0.33</v>
      </c>
      <c r="L1365">
        <v>0.31</v>
      </c>
      <c r="M1365">
        <v>0.67400000000000004</v>
      </c>
      <c r="N1365">
        <v>-0.2</v>
      </c>
      <c r="O1365">
        <v>-2.1000000000000001E-2</v>
      </c>
      <c r="P1365">
        <v>1995</v>
      </c>
      <c r="Q1365">
        <v>11.3</v>
      </c>
      <c r="R1365">
        <v>2.9</v>
      </c>
      <c r="S1365">
        <v>1.2</v>
      </c>
      <c r="T1365">
        <v>1.5</v>
      </c>
      <c r="U1365">
        <v>2</v>
      </c>
      <c r="V1365">
        <v>3</v>
      </c>
      <c r="W1365">
        <f>IF(nba_draft[[#This Row],[years_played]]&gt;5,1,0)</f>
        <v>0</v>
      </c>
    </row>
    <row r="1366" spans="1:23" x14ac:dyDescent="0.25">
      <c r="A1366">
        <v>31</v>
      </c>
      <c r="B1366" t="s">
        <v>95</v>
      </c>
      <c r="C1366" t="s">
        <v>424</v>
      </c>
      <c r="D1366" t="s">
        <v>97</v>
      </c>
      <c r="E1366">
        <v>1</v>
      </c>
      <c r="F1366">
        <v>43</v>
      </c>
      <c r="G1366">
        <v>598</v>
      </c>
      <c r="H1366">
        <v>103</v>
      </c>
      <c r="I1366">
        <v>122</v>
      </c>
      <c r="J1366">
        <v>31</v>
      </c>
      <c r="K1366">
        <v>0.39400000000000002</v>
      </c>
      <c r="L1366">
        <v>0</v>
      </c>
      <c r="M1366">
        <v>0.75800000000000001</v>
      </c>
      <c r="N1366">
        <v>-0.2</v>
      </c>
      <c r="O1366">
        <v>-1.6E-2</v>
      </c>
      <c r="P1366">
        <v>1995</v>
      </c>
      <c r="Q1366">
        <v>13.9</v>
      </c>
      <c r="R1366">
        <v>2.4</v>
      </c>
      <c r="S1366">
        <v>2.8</v>
      </c>
      <c r="T1366">
        <v>0.7</v>
      </c>
      <c r="U1366">
        <v>2</v>
      </c>
      <c r="V1366">
        <v>2</v>
      </c>
      <c r="W1366">
        <f>IF(nba_draft[[#This Row],[years_played]]&gt;5,1,0)</f>
        <v>0</v>
      </c>
    </row>
    <row r="1367" spans="1:23" x14ac:dyDescent="0.25">
      <c r="A1367">
        <v>10</v>
      </c>
      <c r="B1367" t="s">
        <v>25</v>
      </c>
      <c r="C1367" t="s">
        <v>1012</v>
      </c>
      <c r="D1367" t="s">
        <v>97</v>
      </c>
      <c r="E1367">
        <v>3</v>
      </c>
      <c r="F1367">
        <v>47</v>
      </c>
      <c r="G1367">
        <v>260</v>
      </c>
      <c r="H1367">
        <v>103</v>
      </c>
      <c r="I1367">
        <v>75</v>
      </c>
      <c r="J1367">
        <v>1</v>
      </c>
      <c r="K1367">
        <v>0.42699999999999999</v>
      </c>
      <c r="L1367">
        <v>0</v>
      </c>
      <c r="M1367">
        <v>0.58899999999999997</v>
      </c>
      <c r="N1367">
        <v>0.3</v>
      </c>
      <c r="O1367">
        <v>5.1999999999999998E-2</v>
      </c>
      <c r="P1367">
        <v>2006</v>
      </c>
      <c r="Q1367">
        <v>5.5</v>
      </c>
      <c r="R1367">
        <v>2.2000000000000002</v>
      </c>
      <c r="S1367">
        <v>1.6</v>
      </c>
      <c r="T1367">
        <v>0</v>
      </c>
      <c r="U1367">
        <v>1</v>
      </c>
      <c r="V1367">
        <v>10</v>
      </c>
      <c r="W1367">
        <f>IF(nba_draft[[#This Row],[years_played]]&gt;5,1,0)</f>
        <v>0</v>
      </c>
    </row>
    <row r="1368" spans="1:23" x14ac:dyDescent="0.25">
      <c r="A1368">
        <v>54</v>
      </c>
      <c r="B1368" t="s">
        <v>127</v>
      </c>
      <c r="C1368" t="s">
        <v>1881</v>
      </c>
      <c r="D1368" t="s">
        <v>164</v>
      </c>
      <c r="E1368">
        <v>1</v>
      </c>
      <c r="F1368">
        <v>34</v>
      </c>
      <c r="G1368">
        <v>315</v>
      </c>
      <c r="H1368">
        <v>102</v>
      </c>
      <c r="I1368">
        <v>60</v>
      </c>
      <c r="J1368">
        <v>16</v>
      </c>
      <c r="K1368">
        <v>0.45900000000000002</v>
      </c>
      <c r="L1368">
        <v>0.38500000000000001</v>
      </c>
      <c r="M1368">
        <v>0.75</v>
      </c>
      <c r="N1368">
        <v>0.7</v>
      </c>
      <c r="O1368">
        <v>0.111</v>
      </c>
      <c r="P1368">
        <v>2021</v>
      </c>
      <c r="Q1368">
        <v>9.3000000000000007</v>
      </c>
      <c r="R1368">
        <v>3</v>
      </c>
      <c r="S1368">
        <v>1.8</v>
      </c>
      <c r="T1368">
        <v>0.5</v>
      </c>
      <c r="U1368">
        <v>2</v>
      </c>
      <c r="V1368">
        <v>24</v>
      </c>
      <c r="W1368">
        <f>IF(nba_draft[[#This Row],[years_played]]&gt;5,1,0)</f>
        <v>0</v>
      </c>
    </row>
    <row r="1369" spans="1:23" x14ac:dyDescent="0.25">
      <c r="A1369">
        <v>46</v>
      </c>
      <c r="B1369" t="s">
        <v>28</v>
      </c>
      <c r="C1369" t="s">
        <v>270</v>
      </c>
      <c r="D1369" t="s">
        <v>77</v>
      </c>
      <c r="E1369">
        <v>3</v>
      </c>
      <c r="F1369">
        <v>47</v>
      </c>
      <c r="G1369">
        <v>273</v>
      </c>
      <c r="H1369">
        <v>101</v>
      </c>
      <c r="I1369">
        <v>81</v>
      </c>
      <c r="J1369">
        <v>9</v>
      </c>
      <c r="K1369">
        <v>0.378</v>
      </c>
      <c r="L1369">
        <v>0</v>
      </c>
      <c r="M1369">
        <v>0.57399999999999995</v>
      </c>
      <c r="N1369">
        <v>0.1</v>
      </c>
      <c r="O1369">
        <v>2.5999999999999999E-2</v>
      </c>
      <c r="P1369">
        <v>1992</v>
      </c>
      <c r="Q1369">
        <v>5.8</v>
      </c>
      <c r="R1369">
        <v>2.1</v>
      </c>
      <c r="S1369">
        <v>1.7</v>
      </c>
      <c r="T1369">
        <v>0.2</v>
      </c>
      <c r="U1369">
        <v>2</v>
      </c>
      <c r="V1369">
        <v>19</v>
      </c>
      <c r="W1369">
        <f>IF(nba_draft[[#This Row],[years_played]]&gt;5,1,0)</f>
        <v>0</v>
      </c>
    </row>
    <row r="1370" spans="1:23" x14ac:dyDescent="0.25">
      <c r="A1370">
        <v>22</v>
      </c>
      <c r="B1370" t="s">
        <v>393</v>
      </c>
      <c r="C1370" t="s">
        <v>1463</v>
      </c>
      <c r="D1370" t="s">
        <v>113</v>
      </c>
      <c r="E1370">
        <v>2</v>
      </c>
      <c r="F1370">
        <v>32</v>
      </c>
      <c r="G1370">
        <v>263</v>
      </c>
      <c r="H1370">
        <v>101</v>
      </c>
      <c r="I1370">
        <v>30</v>
      </c>
      <c r="J1370">
        <v>19</v>
      </c>
      <c r="K1370">
        <v>0.40200000000000002</v>
      </c>
      <c r="L1370">
        <v>0.38500000000000001</v>
      </c>
      <c r="M1370">
        <v>0.60699999999999998</v>
      </c>
      <c r="N1370">
        <v>0.4</v>
      </c>
      <c r="O1370">
        <v>7.0000000000000007E-2</v>
      </c>
      <c r="P1370">
        <v>2014</v>
      </c>
      <c r="Q1370">
        <v>8.1999999999999993</v>
      </c>
      <c r="R1370">
        <v>3.2</v>
      </c>
      <c r="S1370">
        <v>0.9</v>
      </c>
      <c r="T1370">
        <v>0.6</v>
      </c>
      <c r="U1370">
        <v>1</v>
      </c>
      <c r="V1370">
        <v>22</v>
      </c>
      <c r="W1370">
        <f>IF(nba_draft[[#This Row],[years_played]]&gt;5,1,0)</f>
        <v>0</v>
      </c>
    </row>
    <row r="1371" spans="1:23" x14ac:dyDescent="0.25">
      <c r="A1371">
        <v>33</v>
      </c>
      <c r="B1371" t="s">
        <v>104</v>
      </c>
      <c r="C1371" t="s">
        <v>105</v>
      </c>
      <c r="D1371" t="s">
        <v>106</v>
      </c>
      <c r="E1371">
        <v>2</v>
      </c>
      <c r="F1371">
        <v>48</v>
      </c>
      <c r="G1371">
        <v>209</v>
      </c>
      <c r="H1371">
        <v>100</v>
      </c>
      <c r="I1371">
        <v>65</v>
      </c>
      <c r="J1371">
        <v>11</v>
      </c>
      <c r="K1371">
        <v>0.41199999999999998</v>
      </c>
      <c r="L1371">
        <v>0</v>
      </c>
      <c r="M1371">
        <v>0.66700000000000004</v>
      </c>
      <c r="N1371">
        <v>-0.1</v>
      </c>
      <c r="O1371">
        <v>-1.2999999999999999E-2</v>
      </c>
      <c r="P1371">
        <v>1990</v>
      </c>
      <c r="Q1371">
        <v>4.4000000000000004</v>
      </c>
      <c r="R1371">
        <v>2.1</v>
      </c>
      <c r="S1371">
        <v>1.4</v>
      </c>
      <c r="T1371">
        <v>0.2</v>
      </c>
      <c r="U1371">
        <v>2</v>
      </c>
      <c r="V1371">
        <v>6</v>
      </c>
      <c r="W1371">
        <f>IF(nba_draft[[#This Row],[years_played]]&gt;5,1,0)</f>
        <v>0</v>
      </c>
    </row>
    <row r="1372" spans="1:23" x14ac:dyDescent="0.25">
      <c r="A1372">
        <v>43</v>
      </c>
      <c r="B1372" t="s">
        <v>40</v>
      </c>
      <c r="C1372" t="s">
        <v>1814</v>
      </c>
      <c r="D1372" t="s">
        <v>439</v>
      </c>
      <c r="E1372">
        <v>2</v>
      </c>
      <c r="F1372">
        <v>32</v>
      </c>
      <c r="G1372">
        <v>228</v>
      </c>
      <c r="H1372">
        <v>100</v>
      </c>
      <c r="I1372">
        <v>23</v>
      </c>
      <c r="J1372">
        <v>13</v>
      </c>
      <c r="K1372">
        <v>0.40600000000000003</v>
      </c>
      <c r="L1372">
        <v>0.27</v>
      </c>
      <c r="M1372">
        <v>0.63200000000000001</v>
      </c>
      <c r="N1372">
        <v>-0.1</v>
      </c>
      <c r="O1372">
        <v>-0.02</v>
      </c>
      <c r="P1372">
        <v>2020</v>
      </c>
      <c r="Q1372">
        <v>7.1</v>
      </c>
      <c r="R1372">
        <v>3.1</v>
      </c>
      <c r="S1372">
        <v>0.7</v>
      </c>
      <c r="T1372">
        <v>0.4</v>
      </c>
      <c r="U1372">
        <v>2</v>
      </c>
      <c r="V1372">
        <v>13</v>
      </c>
      <c r="W1372">
        <f>IF(nba_draft[[#This Row],[years_played]]&gt;5,1,0)</f>
        <v>0</v>
      </c>
    </row>
    <row r="1373" spans="1:23" x14ac:dyDescent="0.25">
      <c r="A1373">
        <v>31</v>
      </c>
      <c r="B1373" t="s">
        <v>85</v>
      </c>
      <c r="C1373" t="s">
        <v>252</v>
      </c>
      <c r="D1373" t="s">
        <v>253</v>
      </c>
      <c r="E1373">
        <v>2</v>
      </c>
      <c r="F1373">
        <v>66</v>
      </c>
      <c r="G1373">
        <v>384</v>
      </c>
      <c r="H1373">
        <v>99</v>
      </c>
      <c r="I1373">
        <v>120</v>
      </c>
      <c r="J1373">
        <v>5</v>
      </c>
      <c r="K1373">
        <v>0.39400000000000002</v>
      </c>
      <c r="L1373">
        <v>0</v>
      </c>
      <c r="M1373">
        <v>0.40400000000000003</v>
      </c>
      <c r="N1373">
        <v>0.4</v>
      </c>
      <c r="O1373">
        <v>5.0999999999999997E-2</v>
      </c>
      <c r="P1373">
        <v>1992</v>
      </c>
      <c r="Q1373">
        <v>5.8</v>
      </c>
      <c r="R1373">
        <v>1.5</v>
      </c>
      <c r="S1373">
        <v>1.8</v>
      </c>
      <c r="T1373">
        <v>0.1</v>
      </c>
      <c r="U1373">
        <v>2</v>
      </c>
      <c r="V1373">
        <v>4</v>
      </c>
      <c r="W1373">
        <f>IF(nba_draft[[#This Row],[years_played]]&gt;5,1,0)</f>
        <v>0</v>
      </c>
    </row>
    <row r="1374" spans="1:23" x14ac:dyDescent="0.25">
      <c r="A1374">
        <v>48</v>
      </c>
      <c r="B1374" t="s">
        <v>138</v>
      </c>
      <c r="C1374" t="s">
        <v>619</v>
      </c>
      <c r="D1374" t="s">
        <v>383</v>
      </c>
      <c r="E1374">
        <v>2</v>
      </c>
      <c r="F1374">
        <v>43</v>
      </c>
      <c r="G1374">
        <v>397</v>
      </c>
      <c r="H1374">
        <v>99</v>
      </c>
      <c r="I1374">
        <v>79</v>
      </c>
      <c r="J1374">
        <v>10</v>
      </c>
      <c r="K1374">
        <v>0.35199999999999998</v>
      </c>
      <c r="L1374">
        <v>0</v>
      </c>
      <c r="M1374">
        <v>0.78700000000000003</v>
      </c>
      <c r="N1374">
        <v>0.2</v>
      </c>
      <c r="O1374">
        <v>2.8000000000000001E-2</v>
      </c>
      <c r="P1374">
        <v>1998</v>
      </c>
      <c r="Q1374">
        <v>9.1999999999999993</v>
      </c>
      <c r="R1374">
        <v>2.2999999999999998</v>
      </c>
      <c r="S1374">
        <v>1.8</v>
      </c>
      <c r="T1374">
        <v>0.2</v>
      </c>
      <c r="U1374">
        <v>2</v>
      </c>
      <c r="V1374">
        <v>19</v>
      </c>
      <c r="W1374">
        <f>IF(nba_draft[[#This Row],[years_played]]&gt;5,1,0)</f>
        <v>0</v>
      </c>
    </row>
    <row r="1375" spans="1:23" x14ac:dyDescent="0.25">
      <c r="A1375">
        <v>56</v>
      </c>
      <c r="B1375" t="s">
        <v>393</v>
      </c>
      <c r="C1375" t="s">
        <v>626</v>
      </c>
      <c r="D1375" t="s">
        <v>113</v>
      </c>
      <c r="E1375">
        <v>1</v>
      </c>
      <c r="F1375">
        <v>30</v>
      </c>
      <c r="G1375">
        <v>331</v>
      </c>
      <c r="H1375">
        <v>97</v>
      </c>
      <c r="I1375">
        <v>47</v>
      </c>
      <c r="J1375">
        <v>22</v>
      </c>
      <c r="K1375">
        <v>0.36499999999999999</v>
      </c>
      <c r="L1375">
        <v>0.4</v>
      </c>
      <c r="M1375">
        <v>0.55600000000000005</v>
      </c>
      <c r="N1375">
        <v>-0.2</v>
      </c>
      <c r="O1375">
        <v>-2.5000000000000001E-2</v>
      </c>
      <c r="P1375">
        <v>1998</v>
      </c>
      <c r="Q1375">
        <v>11</v>
      </c>
      <c r="R1375">
        <v>3.2</v>
      </c>
      <c r="S1375">
        <v>1.6</v>
      </c>
      <c r="T1375">
        <v>0.7</v>
      </c>
      <c r="U1375">
        <v>2</v>
      </c>
      <c r="V1375">
        <v>27</v>
      </c>
      <c r="W1375">
        <f>IF(nba_draft[[#This Row],[years_played]]&gt;5,1,0)</f>
        <v>0</v>
      </c>
    </row>
    <row r="1376" spans="1:23" x14ac:dyDescent="0.25">
      <c r="A1376">
        <v>56</v>
      </c>
      <c r="B1376" t="s">
        <v>28</v>
      </c>
      <c r="C1376" t="s">
        <v>1493</v>
      </c>
      <c r="D1376" t="s">
        <v>94</v>
      </c>
      <c r="E1376">
        <v>2</v>
      </c>
      <c r="F1376">
        <v>44</v>
      </c>
      <c r="G1376">
        <v>457</v>
      </c>
      <c r="H1376">
        <v>97</v>
      </c>
      <c r="I1376">
        <v>69</v>
      </c>
      <c r="J1376">
        <v>29</v>
      </c>
      <c r="K1376">
        <v>0.30399999999999999</v>
      </c>
      <c r="L1376">
        <v>0.222</v>
      </c>
      <c r="M1376">
        <v>0.375</v>
      </c>
      <c r="N1376">
        <v>-0.3</v>
      </c>
      <c r="O1376">
        <v>-2.8000000000000001E-2</v>
      </c>
      <c r="P1376">
        <v>2014</v>
      </c>
      <c r="Q1376">
        <v>10.4</v>
      </c>
      <c r="R1376">
        <v>2.2000000000000002</v>
      </c>
      <c r="S1376">
        <v>1.6</v>
      </c>
      <c r="T1376">
        <v>0.7</v>
      </c>
      <c r="U1376">
        <v>2</v>
      </c>
      <c r="V1376">
        <v>26</v>
      </c>
      <c r="W1376">
        <f>IF(nba_draft[[#This Row],[years_played]]&gt;5,1,0)</f>
        <v>0</v>
      </c>
    </row>
    <row r="1377" spans="1:23" x14ac:dyDescent="0.25">
      <c r="A1377">
        <v>47</v>
      </c>
      <c r="B1377" t="s">
        <v>70</v>
      </c>
      <c r="C1377" t="s">
        <v>271</v>
      </c>
      <c r="D1377" t="s">
        <v>272</v>
      </c>
      <c r="E1377">
        <v>1</v>
      </c>
      <c r="F1377">
        <v>23</v>
      </c>
      <c r="G1377">
        <v>367</v>
      </c>
      <c r="H1377">
        <v>96</v>
      </c>
      <c r="I1377">
        <v>81</v>
      </c>
      <c r="J1377">
        <v>15</v>
      </c>
      <c r="K1377">
        <v>0.47599999999999998</v>
      </c>
      <c r="L1377">
        <v>0</v>
      </c>
      <c r="M1377">
        <v>0.6</v>
      </c>
      <c r="N1377">
        <v>0.4</v>
      </c>
      <c r="O1377">
        <v>4.8000000000000001E-2</v>
      </c>
      <c r="P1377">
        <v>1992</v>
      </c>
      <c r="Q1377">
        <v>16</v>
      </c>
      <c r="R1377">
        <v>4.2</v>
      </c>
      <c r="S1377">
        <v>3.5</v>
      </c>
      <c r="T1377">
        <v>0.7</v>
      </c>
      <c r="U1377">
        <v>2</v>
      </c>
      <c r="V1377">
        <v>20</v>
      </c>
      <c r="W1377">
        <f>IF(nba_draft[[#This Row],[years_played]]&gt;5,1,0)</f>
        <v>0</v>
      </c>
    </row>
    <row r="1378" spans="1:23" x14ac:dyDescent="0.25">
      <c r="A1378">
        <v>59</v>
      </c>
      <c r="B1378" t="s">
        <v>395</v>
      </c>
      <c r="C1378" t="s">
        <v>1829</v>
      </c>
      <c r="D1378" t="s">
        <v>912</v>
      </c>
      <c r="E1378">
        <v>1</v>
      </c>
      <c r="F1378">
        <v>13</v>
      </c>
      <c r="G1378">
        <v>172</v>
      </c>
      <c r="H1378">
        <v>96</v>
      </c>
      <c r="I1378">
        <v>18</v>
      </c>
      <c r="J1378">
        <v>17</v>
      </c>
      <c r="K1378">
        <v>0.5</v>
      </c>
      <c r="L1378">
        <v>0.47199999999999998</v>
      </c>
      <c r="M1378">
        <v>0.77800000000000002</v>
      </c>
      <c r="N1378">
        <v>0.3</v>
      </c>
      <c r="O1378">
        <v>7.9000000000000001E-2</v>
      </c>
      <c r="P1378">
        <v>2020</v>
      </c>
      <c r="Q1378">
        <v>13.2</v>
      </c>
      <c r="R1378">
        <v>7.4</v>
      </c>
      <c r="S1378">
        <v>1.4</v>
      </c>
      <c r="T1378">
        <v>1.3</v>
      </c>
      <c r="U1378">
        <v>2</v>
      </c>
      <c r="V1378">
        <v>29</v>
      </c>
      <c r="W1378">
        <f>IF(nba_draft[[#This Row],[years_played]]&gt;5,1,0)</f>
        <v>0</v>
      </c>
    </row>
    <row r="1379" spans="1:23" x14ac:dyDescent="0.25">
      <c r="A1379">
        <v>40</v>
      </c>
      <c r="B1379" t="s">
        <v>863</v>
      </c>
      <c r="C1379" t="s">
        <v>1870</v>
      </c>
      <c r="D1379" t="s">
        <v>588</v>
      </c>
      <c r="E1379">
        <v>1</v>
      </c>
      <c r="F1379">
        <v>28</v>
      </c>
      <c r="G1379">
        <v>213</v>
      </c>
      <c r="H1379">
        <v>96</v>
      </c>
      <c r="I1379">
        <v>23</v>
      </c>
      <c r="J1379">
        <v>34</v>
      </c>
      <c r="K1379">
        <v>0.40899999999999997</v>
      </c>
      <c r="L1379">
        <v>0.36199999999999999</v>
      </c>
      <c r="M1379">
        <v>0.58299999999999996</v>
      </c>
      <c r="N1379">
        <v>0.2</v>
      </c>
      <c r="O1379">
        <v>3.7999999999999999E-2</v>
      </c>
      <c r="P1379">
        <v>2021</v>
      </c>
      <c r="Q1379">
        <v>7.6</v>
      </c>
      <c r="R1379">
        <v>3.4</v>
      </c>
      <c r="S1379">
        <v>0.8</v>
      </c>
      <c r="T1379">
        <v>1.2</v>
      </c>
      <c r="U1379">
        <v>2</v>
      </c>
      <c r="V1379">
        <v>10</v>
      </c>
      <c r="W1379">
        <f>IF(nba_draft[[#This Row],[years_played]]&gt;5,1,0)</f>
        <v>0</v>
      </c>
    </row>
    <row r="1380" spans="1:23" x14ac:dyDescent="0.25">
      <c r="A1380">
        <v>53</v>
      </c>
      <c r="B1380" t="s">
        <v>43</v>
      </c>
      <c r="C1380" t="s">
        <v>1382</v>
      </c>
      <c r="D1380" t="s">
        <v>97</v>
      </c>
      <c r="E1380">
        <v>1</v>
      </c>
      <c r="F1380">
        <v>41</v>
      </c>
      <c r="G1380">
        <v>540</v>
      </c>
      <c r="H1380">
        <v>93</v>
      </c>
      <c r="I1380">
        <v>176</v>
      </c>
      <c r="J1380">
        <v>28</v>
      </c>
      <c r="K1380">
        <v>0.51300000000000001</v>
      </c>
      <c r="L1380">
        <v>0</v>
      </c>
      <c r="M1380">
        <v>0.48099999999999998</v>
      </c>
      <c r="N1380">
        <v>1.4</v>
      </c>
      <c r="O1380">
        <v>0.122</v>
      </c>
      <c r="P1380">
        <v>2012</v>
      </c>
      <c r="Q1380">
        <v>13.2</v>
      </c>
      <c r="R1380">
        <v>2.2999999999999998</v>
      </c>
      <c r="S1380">
        <v>4.3</v>
      </c>
      <c r="T1380">
        <v>0.7</v>
      </c>
      <c r="U1380">
        <v>2</v>
      </c>
      <c r="V1380">
        <v>23</v>
      </c>
      <c r="W1380">
        <f>IF(nba_draft[[#This Row],[years_played]]&gt;5,1,0)</f>
        <v>0</v>
      </c>
    </row>
    <row r="1381" spans="1:23" x14ac:dyDescent="0.25">
      <c r="A1381">
        <v>48</v>
      </c>
      <c r="B1381" t="s">
        <v>63</v>
      </c>
      <c r="C1381" t="s">
        <v>1489</v>
      </c>
      <c r="D1381" t="s">
        <v>272</v>
      </c>
      <c r="E1381">
        <v>2</v>
      </c>
      <c r="F1381">
        <v>40</v>
      </c>
      <c r="G1381">
        <v>435</v>
      </c>
      <c r="H1381">
        <v>93</v>
      </c>
      <c r="I1381">
        <v>57</v>
      </c>
      <c r="J1381">
        <v>45</v>
      </c>
      <c r="K1381">
        <v>0.32600000000000001</v>
      </c>
      <c r="L1381">
        <v>0.23599999999999999</v>
      </c>
      <c r="M1381">
        <v>0.72</v>
      </c>
      <c r="N1381">
        <v>0.1</v>
      </c>
      <c r="O1381">
        <v>6.0000000000000001E-3</v>
      </c>
      <c r="P1381">
        <v>2014</v>
      </c>
      <c r="Q1381">
        <v>10.9</v>
      </c>
      <c r="R1381">
        <v>2.2999999999999998</v>
      </c>
      <c r="S1381">
        <v>1.4</v>
      </c>
      <c r="T1381">
        <v>1.1000000000000001</v>
      </c>
      <c r="U1381">
        <v>2</v>
      </c>
      <c r="V1381">
        <v>18</v>
      </c>
      <c r="W1381">
        <f>IF(nba_draft[[#This Row],[years_played]]&gt;5,1,0)</f>
        <v>0</v>
      </c>
    </row>
    <row r="1382" spans="1:23" x14ac:dyDescent="0.25">
      <c r="A1382">
        <v>43</v>
      </c>
      <c r="B1382" t="s">
        <v>863</v>
      </c>
      <c r="C1382" t="s">
        <v>1873</v>
      </c>
      <c r="D1382" t="s">
        <v>60</v>
      </c>
      <c r="E1382">
        <v>1</v>
      </c>
      <c r="F1382">
        <v>28</v>
      </c>
      <c r="G1382">
        <v>220</v>
      </c>
      <c r="H1382">
        <v>93</v>
      </c>
      <c r="I1382">
        <v>56</v>
      </c>
      <c r="J1382">
        <v>7</v>
      </c>
      <c r="K1382">
        <v>0.432</v>
      </c>
      <c r="L1382">
        <v>0.19</v>
      </c>
      <c r="M1382">
        <v>0.63300000000000001</v>
      </c>
      <c r="N1382">
        <v>0.2</v>
      </c>
      <c r="O1382">
        <v>5.3999999999999999E-2</v>
      </c>
      <c r="P1382">
        <v>2021</v>
      </c>
      <c r="Q1382">
        <v>7.9</v>
      </c>
      <c r="R1382">
        <v>3.3</v>
      </c>
      <c r="S1382">
        <v>2</v>
      </c>
      <c r="T1382">
        <v>0.3</v>
      </c>
      <c r="U1382">
        <v>2</v>
      </c>
      <c r="V1382">
        <v>13</v>
      </c>
      <c r="W1382">
        <f>IF(nba_draft[[#This Row],[years_played]]&gt;5,1,0)</f>
        <v>0</v>
      </c>
    </row>
    <row r="1383" spans="1:23" x14ac:dyDescent="0.25">
      <c r="A1383">
        <v>33</v>
      </c>
      <c r="B1383" t="s">
        <v>95</v>
      </c>
      <c r="C1383" t="s">
        <v>256</v>
      </c>
      <c r="D1383" t="s">
        <v>206</v>
      </c>
      <c r="E1383">
        <v>2</v>
      </c>
      <c r="F1383">
        <v>39</v>
      </c>
      <c r="G1383">
        <v>288</v>
      </c>
      <c r="H1383">
        <v>92</v>
      </c>
      <c r="I1383">
        <v>37</v>
      </c>
      <c r="J1383">
        <v>29</v>
      </c>
      <c r="K1383">
        <v>0.36699999999999999</v>
      </c>
      <c r="L1383">
        <v>0.25</v>
      </c>
      <c r="M1383">
        <v>0.82599999999999996</v>
      </c>
      <c r="N1383">
        <v>0.2</v>
      </c>
      <c r="O1383">
        <v>3.6999999999999998E-2</v>
      </c>
      <c r="P1383">
        <v>1992</v>
      </c>
      <c r="Q1383">
        <v>7.4</v>
      </c>
      <c r="R1383">
        <v>2.4</v>
      </c>
      <c r="S1383">
        <v>0.9</v>
      </c>
      <c r="T1383">
        <v>0.7</v>
      </c>
      <c r="U1383">
        <v>2</v>
      </c>
      <c r="V1383">
        <v>6</v>
      </c>
      <c r="W1383">
        <f>IF(nba_draft[[#This Row],[years_played]]&gt;5,1,0)</f>
        <v>0</v>
      </c>
    </row>
    <row r="1384" spans="1:23" x14ac:dyDescent="0.25">
      <c r="A1384">
        <v>46</v>
      </c>
      <c r="B1384" t="s">
        <v>85</v>
      </c>
      <c r="C1384" t="s">
        <v>497</v>
      </c>
      <c r="D1384" t="s">
        <v>265</v>
      </c>
      <c r="E1384">
        <v>2</v>
      </c>
      <c r="F1384">
        <v>27</v>
      </c>
      <c r="G1384">
        <v>229</v>
      </c>
      <c r="H1384">
        <v>92</v>
      </c>
      <c r="I1384">
        <v>22</v>
      </c>
      <c r="J1384">
        <v>23</v>
      </c>
      <c r="K1384">
        <v>0.38100000000000001</v>
      </c>
      <c r="L1384">
        <v>0.33300000000000002</v>
      </c>
      <c r="M1384">
        <v>0.71399999999999997</v>
      </c>
      <c r="N1384">
        <v>0.3</v>
      </c>
      <c r="O1384">
        <v>6.6000000000000003E-2</v>
      </c>
      <c r="P1384">
        <v>1996</v>
      </c>
      <c r="Q1384">
        <v>8.5</v>
      </c>
      <c r="R1384">
        <v>3.4</v>
      </c>
      <c r="S1384">
        <v>0.8</v>
      </c>
      <c r="T1384">
        <v>0.9</v>
      </c>
      <c r="U1384">
        <v>2</v>
      </c>
      <c r="V1384">
        <v>17</v>
      </c>
      <c r="W1384">
        <f>IF(nba_draft[[#This Row],[years_played]]&gt;5,1,0)</f>
        <v>0</v>
      </c>
    </row>
    <row r="1385" spans="1:23" x14ac:dyDescent="0.25">
      <c r="A1385">
        <v>57</v>
      </c>
      <c r="B1385" t="s">
        <v>43</v>
      </c>
      <c r="C1385" t="s">
        <v>1827</v>
      </c>
      <c r="D1385" t="s">
        <v>461</v>
      </c>
      <c r="E1385">
        <v>2</v>
      </c>
      <c r="F1385">
        <v>29</v>
      </c>
      <c r="G1385">
        <v>262</v>
      </c>
      <c r="H1385">
        <v>91</v>
      </c>
      <c r="I1385">
        <v>81</v>
      </c>
      <c r="J1385">
        <v>16</v>
      </c>
      <c r="K1385">
        <v>0.42</v>
      </c>
      <c r="L1385">
        <v>0.217</v>
      </c>
      <c r="M1385">
        <v>0.8</v>
      </c>
      <c r="N1385">
        <v>0.3</v>
      </c>
      <c r="O1385">
        <v>4.5999999999999999E-2</v>
      </c>
      <c r="P1385">
        <v>2020</v>
      </c>
      <c r="Q1385">
        <v>9</v>
      </c>
      <c r="R1385">
        <v>3.1</v>
      </c>
      <c r="S1385">
        <v>2.8</v>
      </c>
      <c r="T1385">
        <v>0.6</v>
      </c>
      <c r="U1385">
        <v>2</v>
      </c>
      <c r="V1385">
        <v>27</v>
      </c>
      <c r="W1385">
        <f>IF(nba_draft[[#This Row],[years_played]]&gt;5,1,0)</f>
        <v>0</v>
      </c>
    </row>
    <row r="1386" spans="1:23" x14ac:dyDescent="0.25">
      <c r="A1386">
        <v>26</v>
      </c>
      <c r="B1386" t="s">
        <v>25</v>
      </c>
      <c r="C1386" t="s">
        <v>417</v>
      </c>
      <c r="D1386" t="s">
        <v>418</v>
      </c>
      <c r="E1386">
        <v>1</v>
      </c>
      <c r="F1386">
        <v>28</v>
      </c>
      <c r="G1386">
        <v>139</v>
      </c>
      <c r="H1386">
        <v>90</v>
      </c>
      <c r="I1386">
        <v>24</v>
      </c>
      <c r="J1386">
        <v>5</v>
      </c>
      <c r="K1386">
        <v>0.375</v>
      </c>
      <c r="L1386">
        <v>0.16</v>
      </c>
      <c r="M1386">
        <v>0.76500000000000001</v>
      </c>
      <c r="N1386">
        <v>0.4</v>
      </c>
      <c r="O1386">
        <v>0.124</v>
      </c>
      <c r="P1386">
        <v>1995</v>
      </c>
      <c r="Q1386">
        <v>5</v>
      </c>
      <c r="R1386">
        <v>3.2</v>
      </c>
      <c r="S1386">
        <v>0.9</v>
      </c>
      <c r="T1386">
        <v>0.2</v>
      </c>
      <c r="U1386">
        <v>1</v>
      </c>
      <c r="V1386">
        <v>26</v>
      </c>
      <c r="W1386">
        <f>IF(nba_draft[[#This Row],[years_played]]&gt;5,1,0)</f>
        <v>0</v>
      </c>
    </row>
    <row r="1387" spans="1:23" x14ac:dyDescent="0.25">
      <c r="A1387">
        <v>42</v>
      </c>
      <c r="B1387" t="s">
        <v>40</v>
      </c>
      <c r="C1387" t="s">
        <v>1152</v>
      </c>
      <c r="D1387" t="s">
        <v>232</v>
      </c>
      <c r="E1387">
        <v>1</v>
      </c>
      <c r="F1387">
        <v>37</v>
      </c>
      <c r="G1387">
        <v>303</v>
      </c>
      <c r="H1387">
        <v>90</v>
      </c>
      <c r="I1387">
        <v>35</v>
      </c>
      <c r="J1387">
        <v>29</v>
      </c>
      <c r="K1387">
        <v>0.36499999999999999</v>
      </c>
      <c r="L1387">
        <v>0.4</v>
      </c>
      <c r="M1387">
        <v>0.85699999999999998</v>
      </c>
      <c r="N1387">
        <v>0</v>
      </c>
      <c r="O1387">
        <v>6.0000000000000001E-3</v>
      </c>
      <c r="P1387">
        <v>2008</v>
      </c>
      <c r="Q1387">
        <v>8.1999999999999993</v>
      </c>
      <c r="R1387">
        <v>2.4</v>
      </c>
      <c r="S1387">
        <v>0.9</v>
      </c>
      <c r="T1387">
        <v>0.8</v>
      </c>
      <c r="U1387">
        <v>2</v>
      </c>
      <c r="V1387">
        <v>12</v>
      </c>
      <c r="W1387">
        <f>IF(nba_draft[[#This Row],[years_played]]&gt;5,1,0)</f>
        <v>0</v>
      </c>
    </row>
    <row r="1388" spans="1:23" x14ac:dyDescent="0.25">
      <c r="A1388">
        <v>30</v>
      </c>
      <c r="B1388" t="s">
        <v>104</v>
      </c>
      <c r="C1388" t="s">
        <v>1861</v>
      </c>
      <c r="D1388" t="s">
        <v>1862</v>
      </c>
      <c r="E1388">
        <v>1</v>
      </c>
      <c r="F1388">
        <v>27</v>
      </c>
      <c r="G1388">
        <v>277</v>
      </c>
      <c r="H1388">
        <v>90</v>
      </c>
      <c r="I1388">
        <v>64</v>
      </c>
      <c r="J1388">
        <v>14</v>
      </c>
      <c r="K1388">
        <v>0.38100000000000001</v>
      </c>
      <c r="L1388">
        <v>0.10299999999999999</v>
      </c>
      <c r="M1388">
        <v>0.6</v>
      </c>
      <c r="N1388">
        <v>0.1</v>
      </c>
      <c r="O1388">
        <v>2.5000000000000001E-2</v>
      </c>
      <c r="P1388">
        <v>2021</v>
      </c>
      <c r="Q1388">
        <v>10.3</v>
      </c>
      <c r="R1388">
        <v>3.3</v>
      </c>
      <c r="S1388">
        <v>2.4</v>
      </c>
      <c r="T1388">
        <v>0.5</v>
      </c>
      <c r="U1388">
        <v>1</v>
      </c>
      <c r="V1388">
        <v>30</v>
      </c>
      <c r="W1388">
        <f>IF(nba_draft[[#This Row],[years_played]]&gt;5,1,0)</f>
        <v>0</v>
      </c>
    </row>
    <row r="1389" spans="1:23" x14ac:dyDescent="0.25">
      <c r="A1389">
        <v>50</v>
      </c>
      <c r="B1389" t="s">
        <v>52</v>
      </c>
      <c r="C1389" t="s">
        <v>442</v>
      </c>
      <c r="D1389" t="s">
        <v>443</v>
      </c>
      <c r="E1389">
        <v>2</v>
      </c>
      <c r="F1389">
        <v>25</v>
      </c>
      <c r="G1389">
        <v>239</v>
      </c>
      <c r="H1389">
        <v>89</v>
      </c>
      <c r="I1389">
        <v>35</v>
      </c>
      <c r="J1389">
        <v>7</v>
      </c>
      <c r="K1389">
        <v>0.47299999999999998</v>
      </c>
      <c r="L1389">
        <v>0.3</v>
      </c>
      <c r="M1389">
        <v>0.59299999999999997</v>
      </c>
      <c r="N1389">
        <v>0.1</v>
      </c>
      <c r="O1389">
        <v>2.5999999999999999E-2</v>
      </c>
      <c r="P1389">
        <v>1995</v>
      </c>
      <c r="Q1389">
        <v>9.6</v>
      </c>
      <c r="R1389">
        <v>3.6</v>
      </c>
      <c r="S1389">
        <v>1.4</v>
      </c>
      <c r="T1389">
        <v>0.3</v>
      </c>
      <c r="U1389">
        <v>2</v>
      </c>
      <c r="V1389">
        <v>21</v>
      </c>
      <c r="W1389">
        <f>IF(nba_draft[[#This Row],[years_played]]&gt;5,1,0)</f>
        <v>0</v>
      </c>
    </row>
    <row r="1390" spans="1:23" x14ac:dyDescent="0.25">
      <c r="A1390">
        <v>41</v>
      </c>
      <c r="B1390" t="s">
        <v>127</v>
      </c>
      <c r="C1390" t="s">
        <v>780</v>
      </c>
      <c r="D1390" t="s">
        <v>362</v>
      </c>
      <c r="E1390">
        <v>4</v>
      </c>
      <c r="F1390">
        <v>54</v>
      </c>
      <c r="G1390">
        <v>468</v>
      </c>
      <c r="H1390">
        <v>89</v>
      </c>
      <c r="I1390">
        <v>50</v>
      </c>
      <c r="J1390">
        <v>56</v>
      </c>
      <c r="K1390">
        <v>0.372</v>
      </c>
      <c r="L1390">
        <v>0.25</v>
      </c>
      <c r="M1390">
        <v>0.39300000000000002</v>
      </c>
      <c r="N1390">
        <v>0</v>
      </c>
      <c r="O1390">
        <v>-1E-3</v>
      </c>
      <c r="P1390">
        <v>2001</v>
      </c>
      <c r="Q1390">
        <v>8.6999999999999993</v>
      </c>
      <c r="R1390">
        <v>1.6</v>
      </c>
      <c r="S1390">
        <v>0.9</v>
      </c>
      <c r="T1390">
        <v>1</v>
      </c>
      <c r="U1390">
        <v>2</v>
      </c>
      <c r="V1390">
        <v>12</v>
      </c>
      <c r="W1390">
        <f>IF(nba_draft[[#This Row],[years_played]]&gt;5,1,0)</f>
        <v>0</v>
      </c>
    </row>
    <row r="1391" spans="1:23" x14ac:dyDescent="0.25">
      <c r="A1391">
        <v>36</v>
      </c>
      <c r="B1391" t="s">
        <v>138</v>
      </c>
      <c r="C1391" t="s">
        <v>776</v>
      </c>
      <c r="D1391" t="s">
        <v>230</v>
      </c>
      <c r="E1391">
        <v>3</v>
      </c>
      <c r="F1391">
        <v>31</v>
      </c>
      <c r="G1391">
        <v>270</v>
      </c>
      <c r="H1391">
        <v>88</v>
      </c>
      <c r="I1391">
        <v>43</v>
      </c>
      <c r="J1391">
        <v>22</v>
      </c>
      <c r="K1391">
        <v>0.33700000000000002</v>
      </c>
      <c r="L1391">
        <v>0.46200000000000002</v>
      </c>
      <c r="M1391">
        <v>0.7</v>
      </c>
      <c r="N1391">
        <v>-0.2</v>
      </c>
      <c r="O1391">
        <v>-3.7999999999999999E-2</v>
      </c>
      <c r="P1391">
        <v>2001</v>
      </c>
      <c r="Q1391">
        <v>8.6999999999999993</v>
      </c>
      <c r="R1391">
        <v>2.8</v>
      </c>
      <c r="S1391">
        <v>1.4</v>
      </c>
      <c r="T1391">
        <v>0.7</v>
      </c>
      <c r="U1391">
        <v>2</v>
      </c>
      <c r="V1391">
        <v>7</v>
      </c>
      <c r="W1391">
        <f>IF(nba_draft[[#This Row],[years_played]]&gt;5,1,0)</f>
        <v>0</v>
      </c>
    </row>
    <row r="1392" spans="1:23" x14ac:dyDescent="0.25">
      <c r="A1392">
        <v>50</v>
      </c>
      <c r="B1392" t="s">
        <v>127</v>
      </c>
      <c r="C1392" t="s">
        <v>1762</v>
      </c>
      <c r="D1392" t="s">
        <v>551</v>
      </c>
      <c r="E1392">
        <v>2</v>
      </c>
      <c r="F1392">
        <v>37</v>
      </c>
      <c r="G1392">
        <v>234</v>
      </c>
      <c r="H1392">
        <v>88</v>
      </c>
      <c r="I1392">
        <v>47</v>
      </c>
      <c r="J1392">
        <v>26</v>
      </c>
      <c r="K1392">
        <v>0.438</v>
      </c>
      <c r="L1392">
        <v>0.36599999999999999</v>
      </c>
      <c r="M1392">
        <v>0.75</v>
      </c>
      <c r="N1392">
        <v>0.5</v>
      </c>
      <c r="O1392">
        <v>9.9000000000000005E-2</v>
      </c>
      <c r="P1392">
        <v>2019</v>
      </c>
      <c r="Q1392">
        <v>6.3</v>
      </c>
      <c r="R1392">
        <v>2.4</v>
      </c>
      <c r="S1392">
        <v>1.3</v>
      </c>
      <c r="T1392">
        <v>0.7</v>
      </c>
      <c r="U1392">
        <v>2</v>
      </c>
      <c r="V1392">
        <v>20</v>
      </c>
      <c r="W1392">
        <f>IF(nba_draft[[#This Row],[years_played]]&gt;5,1,0)</f>
        <v>0</v>
      </c>
    </row>
    <row r="1393" spans="1:23" x14ac:dyDescent="0.25">
      <c r="A1393">
        <v>27</v>
      </c>
      <c r="B1393" t="s">
        <v>104</v>
      </c>
      <c r="C1393" t="s">
        <v>1798</v>
      </c>
      <c r="D1393" t="s">
        <v>108</v>
      </c>
      <c r="E1393">
        <v>2</v>
      </c>
      <c r="F1393">
        <v>30</v>
      </c>
      <c r="G1393">
        <v>235</v>
      </c>
      <c r="H1393">
        <v>88</v>
      </c>
      <c r="I1393">
        <v>75</v>
      </c>
      <c r="J1393">
        <v>0</v>
      </c>
      <c r="K1393">
        <v>0.69799999999999995</v>
      </c>
      <c r="L1393">
        <v>0</v>
      </c>
      <c r="M1393">
        <v>0.66700000000000004</v>
      </c>
      <c r="N1393">
        <v>0.7</v>
      </c>
      <c r="O1393">
        <v>0.14099999999999999</v>
      </c>
      <c r="P1393">
        <v>2020</v>
      </c>
      <c r="Q1393">
        <v>7.8</v>
      </c>
      <c r="R1393">
        <v>2.9</v>
      </c>
      <c r="S1393">
        <v>2.5</v>
      </c>
      <c r="T1393">
        <v>0</v>
      </c>
      <c r="U1393">
        <v>1</v>
      </c>
      <c r="V1393">
        <v>27</v>
      </c>
      <c r="W1393">
        <f>IF(nba_draft[[#This Row],[years_played]]&gt;5,1,0)</f>
        <v>0</v>
      </c>
    </row>
    <row r="1394" spans="1:23" x14ac:dyDescent="0.25">
      <c r="A1394">
        <v>54</v>
      </c>
      <c r="B1394" t="s">
        <v>127</v>
      </c>
      <c r="C1394" t="s">
        <v>1823</v>
      </c>
      <c r="D1394" t="s">
        <v>87</v>
      </c>
      <c r="E1394">
        <v>2</v>
      </c>
      <c r="F1394">
        <v>33</v>
      </c>
      <c r="G1394">
        <v>248</v>
      </c>
      <c r="H1394">
        <v>88</v>
      </c>
      <c r="I1394">
        <v>39</v>
      </c>
      <c r="J1394">
        <v>5</v>
      </c>
      <c r="K1394">
        <v>0.36</v>
      </c>
      <c r="L1394">
        <v>0.23300000000000001</v>
      </c>
      <c r="M1394">
        <v>0.89500000000000002</v>
      </c>
      <c r="N1394">
        <v>0</v>
      </c>
      <c r="O1394">
        <v>-7.0000000000000001E-3</v>
      </c>
      <c r="P1394">
        <v>2020</v>
      </c>
      <c r="Q1394">
        <v>7.5</v>
      </c>
      <c r="R1394">
        <v>2.7</v>
      </c>
      <c r="S1394">
        <v>1.2</v>
      </c>
      <c r="T1394">
        <v>0.2</v>
      </c>
      <c r="U1394">
        <v>2</v>
      </c>
      <c r="V1394">
        <v>24</v>
      </c>
      <c r="W1394">
        <f>IF(nba_draft[[#This Row],[years_played]]&gt;5,1,0)</f>
        <v>0</v>
      </c>
    </row>
    <row r="1395" spans="1:23" x14ac:dyDescent="0.25">
      <c r="A1395">
        <v>39</v>
      </c>
      <c r="B1395" t="s">
        <v>863</v>
      </c>
      <c r="C1395" t="s">
        <v>1751</v>
      </c>
      <c r="D1395" t="s">
        <v>97</v>
      </c>
      <c r="E1395">
        <v>2</v>
      </c>
      <c r="F1395">
        <v>29</v>
      </c>
      <c r="G1395">
        <v>223</v>
      </c>
      <c r="H1395">
        <v>87</v>
      </c>
      <c r="I1395">
        <v>43</v>
      </c>
      <c r="J1395">
        <v>17</v>
      </c>
      <c r="K1395">
        <v>0.46300000000000002</v>
      </c>
      <c r="L1395">
        <v>0.30399999999999999</v>
      </c>
      <c r="M1395">
        <v>0.72</v>
      </c>
      <c r="N1395">
        <v>0.3</v>
      </c>
      <c r="O1395">
        <v>5.6000000000000001E-2</v>
      </c>
      <c r="P1395">
        <v>2019</v>
      </c>
      <c r="Q1395">
        <v>7.7</v>
      </c>
      <c r="R1395">
        <v>3</v>
      </c>
      <c r="S1395">
        <v>1.5</v>
      </c>
      <c r="T1395">
        <v>0.6</v>
      </c>
      <c r="U1395">
        <v>2</v>
      </c>
      <c r="V1395">
        <v>9</v>
      </c>
      <c r="W1395">
        <f>IF(nba_draft[[#This Row],[years_played]]&gt;5,1,0)</f>
        <v>0</v>
      </c>
    </row>
    <row r="1396" spans="1:23" x14ac:dyDescent="0.25">
      <c r="A1396">
        <v>16</v>
      </c>
      <c r="B1396" t="s">
        <v>95</v>
      </c>
      <c r="C1396" t="s">
        <v>1611</v>
      </c>
      <c r="D1396" t="s">
        <v>188</v>
      </c>
      <c r="E1396">
        <v>4</v>
      </c>
      <c r="F1396">
        <v>22</v>
      </c>
      <c r="G1396">
        <v>296</v>
      </c>
      <c r="H1396">
        <v>86</v>
      </c>
      <c r="I1396">
        <v>60</v>
      </c>
      <c r="J1396">
        <v>19</v>
      </c>
      <c r="K1396">
        <v>0.40400000000000003</v>
      </c>
      <c r="L1396">
        <v>0.25</v>
      </c>
      <c r="M1396">
        <v>0.66700000000000004</v>
      </c>
      <c r="N1396">
        <v>0.4</v>
      </c>
      <c r="O1396">
        <v>6.6000000000000003E-2</v>
      </c>
      <c r="P1396">
        <v>2017</v>
      </c>
      <c r="Q1396">
        <v>13.5</v>
      </c>
      <c r="R1396">
        <v>3.9</v>
      </c>
      <c r="S1396">
        <v>2.7</v>
      </c>
      <c r="T1396">
        <v>0.9</v>
      </c>
      <c r="U1396">
        <v>1</v>
      </c>
      <c r="V1396">
        <v>16</v>
      </c>
      <c r="W1396">
        <f>IF(nba_draft[[#This Row],[years_played]]&gt;5,1,0)</f>
        <v>0</v>
      </c>
    </row>
    <row r="1397" spans="1:23" x14ac:dyDescent="0.25">
      <c r="A1397">
        <v>50</v>
      </c>
      <c r="B1397" t="s">
        <v>149</v>
      </c>
      <c r="C1397" t="s">
        <v>942</v>
      </c>
      <c r="D1397" t="s">
        <v>97</v>
      </c>
      <c r="E1397">
        <v>1</v>
      </c>
      <c r="F1397">
        <v>31</v>
      </c>
      <c r="G1397">
        <v>272</v>
      </c>
      <c r="H1397">
        <v>85</v>
      </c>
      <c r="I1397">
        <v>22</v>
      </c>
      <c r="J1397">
        <v>28</v>
      </c>
      <c r="K1397">
        <v>0.31900000000000001</v>
      </c>
      <c r="L1397">
        <v>0.17199999999999999</v>
      </c>
      <c r="M1397">
        <v>0.81</v>
      </c>
      <c r="N1397">
        <v>-0.1</v>
      </c>
      <c r="O1397">
        <v>-0.01</v>
      </c>
      <c r="P1397">
        <v>2004</v>
      </c>
      <c r="Q1397">
        <v>8.8000000000000007</v>
      </c>
      <c r="R1397">
        <v>2.7</v>
      </c>
      <c r="S1397">
        <v>0.7</v>
      </c>
      <c r="T1397">
        <v>0.9</v>
      </c>
      <c r="U1397">
        <v>2</v>
      </c>
      <c r="V1397">
        <v>21</v>
      </c>
      <c r="W1397">
        <f>IF(nba_draft[[#This Row],[years_played]]&gt;5,1,0)</f>
        <v>0</v>
      </c>
    </row>
    <row r="1398" spans="1:23" x14ac:dyDescent="0.25">
      <c r="A1398">
        <v>55</v>
      </c>
      <c r="B1398" t="s">
        <v>22</v>
      </c>
      <c r="C1398" t="s">
        <v>1824</v>
      </c>
      <c r="D1398" t="s">
        <v>1825</v>
      </c>
      <c r="E1398">
        <v>2</v>
      </c>
      <c r="F1398">
        <v>22</v>
      </c>
      <c r="G1398">
        <v>205</v>
      </c>
      <c r="H1398">
        <v>84</v>
      </c>
      <c r="I1398">
        <v>30</v>
      </c>
      <c r="J1398">
        <v>9</v>
      </c>
      <c r="K1398">
        <v>0.39</v>
      </c>
      <c r="L1398">
        <v>0.26700000000000002</v>
      </c>
      <c r="M1398">
        <v>0.8</v>
      </c>
      <c r="N1398">
        <v>-0.1</v>
      </c>
      <c r="O1398">
        <v>-2.5999999999999999E-2</v>
      </c>
      <c r="P1398">
        <v>2020</v>
      </c>
      <c r="Q1398">
        <v>9.3000000000000007</v>
      </c>
      <c r="R1398">
        <v>3.8</v>
      </c>
      <c r="S1398">
        <v>1.4</v>
      </c>
      <c r="T1398">
        <v>0.4</v>
      </c>
      <c r="U1398">
        <v>2</v>
      </c>
      <c r="V1398">
        <v>25</v>
      </c>
      <c r="W1398">
        <f>IF(nba_draft[[#This Row],[years_played]]&gt;5,1,0)</f>
        <v>0</v>
      </c>
    </row>
    <row r="1399" spans="1:23" x14ac:dyDescent="0.25">
      <c r="A1399">
        <v>46</v>
      </c>
      <c r="B1399" t="s">
        <v>52</v>
      </c>
      <c r="C1399" t="s">
        <v>1098</v>
      </c>
      <c r="D1399" t="s">
        <v>423</v>
      </c>
      <c r="E1399">
        <v>1</v>
      </c>
      <c r="F1399">
        <v>16</v>
      </c>
      <c r="G1399">
        <v>303</v>
      </c>
      <c r="H1399">
        <v>83</v>
      </c>
      <c r="I1399">
        <v>53</v>
      </c>
      <c r="J1399">
        <v>3</v>
      </c>
      <c r="K1399">
        <v>0.45100000000000001</v>
      </c>
      <c r="L1399">
        <v>0</v>
      </c>
      <c r="M1399">
        <v>0.59399999999999997</v>
      </c>
      <c r="N1399">
        <v>0.3</v>
      </c>
      <c r="O1399">
        <v>4.1000000000000002E-2</v>
      </c>
      <c r="P1399">
        <v>2007</v>
      </c>
      <c r="Q1399">
        <v>18.899999999999999</v>
      </c>
      <c r="R1399">
        <v>5.2</v>
      </c>
      <c r="S1399">
        <v>3.3</v>
      </c>
      <c r="T1399">
        <v>0.2</v>
      </c>
      <c r="U1399">
        <v>2</v>
      </c>
      <c r="V1399">
        <v>16</v>
      </c>
      <c r="W1399">
        <f>IF(nba_draft[[#This Row],[years_played]]&gt;5,1,0)</f>
        <v>0</v>
      </c>
    </row>
    <row r="1400" spans="1:23" x14ac:dyDescent="0.25">
      <c r="A1400">
        <v>49</v>
      </c>
      <c r="B1400" t="s">
        <v>393</v>
      </c>
      <c r="C1400" t="s">
        <v>1321</v>
      </c>
      <c r="D1400" t="s">
        <v>108</v>
      </c>
      <c r="E1400">
        <v>2</v>
      </c>
      <c r="F1400">
        <v>38</v>
      </c>
      <c r="G1400">
        <v>296</v>
      </c>
      <c r="H1400">
        <v>83</v>
      </c>
      <c r="I1400">
        <v>20</v>
      </c>
      <c r="J1400">
        <v>34</v>
      </c>
      <c r="K1400">
        <v>0.33</v>
      </c>
      <c r="L1400">
        <v>0.14299999999999999</v>
      </c>
      <c r="M1400">
        <v>0.72</v>
      </c>
      <c r="N1400">
        <v>-0.7</v>
      </c>
      <c r="O1400">
        <v>-0.113</v>
      </c>
      <c r="P1400">
        <v>2011</v>
      </c>
      <c r="Q1400">
        <v>7.8</v>
      </c>
      <c r="R1400">
        <v>2.2000000000000002</v>
      </c>
      <c r="S1400">
        <v>0.5</v>
      </c>
      <c r="T1400">
        <v>0.9</v>
      </c>
      <c r="U1400">
        <v>2</v>
      </c>
      <c r="V1400">
        <v>19</v>
      </c>
      <c r="W1400">
        <f>IF(nba_draft[[#This Row],[years_played]]&gt;5,1,0)</f>
        <v>0</v>
      </c>
    </row>
    <row r="1401" spans="1:23" x14ac:dyDescent="0.25">
      <c r="A1401">
        <v>54</v>
      </c>
      <c r="B1401" t="s">
        <v>75</v>
      </c>
      <c r="C1401" t="s">
        <v>1648</v>
      </c>
      <c r="D1401" t="s">
        <v>581</v>
      </c>
      <c r="E1401">
        <v>1</v>
      </c>
      <c r="F1401">
        <v>20</v>
      </c>
      <c r="G1401">
        <v>225</v>
      </c>
      <c r="H1401">
        <v>82</v>
      </c>
      <c r="I1401">
        <v>37</v>
      </c>
      <c r="J1401">
        <v>12</v>
      </c>
      <c r="K1401">
        <v>0.378</v>
      </c>
      <c r="L1401">
        <v>0.31</v>
      </c>
      <c r="M1401">
        <v>0.8</v>
      </c>
      <c r="N1401">
        <v>0.3</v>
      </c>
      <c r="O1401">
        <v>5.5E-2</v>
      </c>
      <c r="P1401">
        <v>2017</v>
      </c>
      <c r="Q1401">
        <v>11.3</v>
      </c>
      <c r="R1401">
        <v>4.0999999999999996</v>
      </c>
      <c r="S1401">
        <v>1.9</v>
      </c>
      <c r="T1401">
        <v>0.6</v>
      </c>
      <c r="U1401">
        <v>2</v>
      </c>
      <c r="V1401">
        <v>24</v>
      </c>
      <c r="W1401">
        <f>IF(nba_draft[[#This Row],[years_played]]&gt;5,1,0)</f>
        <v>0</v>
      </c>
    </row>
    <row r="1402" spans="1:23" x14ac:dyDescent="0.25">
      <c r="A1402">
        <v>60</v>
      </c>
      <c r="B1402" t="s">
        <v>88</v>
      </c>
      <c r="C1402" t="s">
        <v>1002</v>
      </c>
      <c r="D1402" t="s">
        <v>237</v>
      </c>
      <c r="E1402">
        <v>2</v>
      </c>
      <c r="F1402">
        <v>30</v>
      </c>
      <c r="G1402">
        <v>234</v>
      </c>
      <c r="H1402">
        <v>81</v>
      </c>
      <c r="I1402">
        <v>29</v>
      </c>
      <c r="J1402">
        <v>16</v>
      </c>
      <c r="K1402">
        <v>0.37</v>
      </c>
      <c r="L1402">
        <v>0.32</v>
      </c>
      <c r="M1402">
        <v>0.5</v>
      </c>
      <c r="N1402">
        <v>-0.2</v>
      </c>
      <c r="O1402">
        <v>-4.2999999999999997E-2</v>
      </c>
      <c r="P1402">
        <v>2005</v>
      </c>
      <c r="Q1402">
        <v>7.8</v>
      </c>
      <c r="R1402">
        <v>2.7</v>
      </c>
      <c r="S1402">
        <v>1</v>
      </c>
      <c r="T1402">
        <v>0.5</v>
      </c>
      <c r="U1402">
        <v>2</v>
      </c>
      <c r="V1402">
        <v>30</v>
      </c>
      <c r="W1402">
        <f>IF(nba_draft[[#This Row],[years_played]]&gt;5,1,0)</f>
        <v>0</v>
      </c>
    </row>
    <row r="1403" spans="1:23" x14ac:dyDescent="0.25">
      <c r="A1403">
        <v>58</v>
      </c>
      <c r="B1403" t="s">
        <v>90</v>
      </c>
      <c r="C1403" t="s">
        <v>1268</v>
      </c>
      <c r="D1403" t="s">
        <v>111</v>
      </c>
      <c r="E1403">
        <v>1</v>
      </c>
      <c r="F1403">
        <v>41</v>
      </c>
      <c r="G1403">
        <v>215</v>
      </c>
      <c r="H1403">
        <v>81</v>
      </c>
      <c r="I1403">
        <v>43</v>
      </c>
      <c r="J1403">
        <v>7</v>
      </c>
      <c r="K1403">
        <v>0.48499999999999999</v>
      </c>
      <c r="L1403">
        <v>0</v>
      </c>
      <c r="M1403">
        <v>0.73899999999999999</v>
      </c>
      <c r="N1403">
        <v>0.3</v>
      </c>
      <c r="O1403">
        <v>5.7000000000000002E-2</v>
      </c>
      <c r="P1403">
        <v>2010</v>
      </c>
      <c r="Q1403">
        <v>5.2</v>
      </c>
      <c r="R1403">
        <v>2</v>
      </c>
      <c r="S1403">
        <v>1</v>
      </c>
      <c r="T1403">
        <v>0.2</v>
      </c>
      <c r="U1403">
        <v>2</v>
      </c>
      <c r="V1403">
        <v>28</v>
      </c>
      <c r="W1403">
        <f>IF(nba_draft[[#This Row],[years_played]]&gt;5,1,0)</f>
        <v>0</v>
      </c>
    </row>
    <row r="1404" spans="1:23" x14ac:dyDescent="0.25">
      <c r="A1404">
        <v>39</v>
      </c>
      <c r="B1404" t="s">
        <v>863</v>
      </c>
      <c r="C1404" t="s">
        <v>1810</v>
      </c>
      <c r="D1404" t="s">
        <v>24</v>
      </c>
      <c r="E1404">
        <v>2</v>
      </c>
      <c r="F1404">
        <v>35</v>
      </c>
      <c r="G1404">
        <v>219</v>
      </c>
      <c r="H1404">
        <v>81</v>
      </c>
      <c r="I1404">
        <v>34</v>
      </c>
      <c r="J1404">
        <v>15</v>
      </c>
      <c r="K1404">
        <v>0.33700000000000002</v>
      </c>
      <c r="L1404">
        <v>0.30599999999999999</v>
      </c>
      <c r="M1404">
        <v>0.85699999999999998</v>
      </c>
      <c r="N1404">
        <v>0</v>
      </c>
      <c r="O1404">
        <v>-7.0000000000000001E-3</v>
      </c>
      <c r="P1404">
        <v>2020</v>
      </c>
      <c r="Q1404">
        <v>6.3</v>
      </c>
      <c r="R1404">
        <v>2.2999999999999998</v>
      </c>
      <c r="S1404">
        <v>1</v>
      </c>
      <c r="T1404">
        <v>0.4</v>
      </c>
      <c r="U1404">
        <v>2</v>
      </c>
      <c r="V1404">
        <v>9</v>
      </c>
      <c r="W1404">
        <f>IF(nba_draft[[#This Row],[years_played]]&gt;5,1,0)</f>
        <v>0</v>
      </c>
    </row>
    <row r="1405" spans="1:23" x14ac:dyDescent="0.25">
      <c r="A1405">
        <v>42</v>
      </c>
      <c r="B1405" t="s">
        <v>49</v>
      </c>
      <c r="C1405" t="s">
        <v>434</v>
      </c>
      <c r="D1405" t="s">
        <v>435</v>
      </c>
      <c r="E1405">
        <v>2</v>
      </c>
      <c r="F1405">
        <v>30</v>
      </c>
      <c r="G1405">
        <v>195</v>
      </c>
      <c r="H1405">
        <v>79</v>
      </c>
      <c r="I1405">
        <v>25</v>
      </c>
      <c r="J1405">
        <v>16</v>
      </c>
      <c r="K1405">
        <v>0.34899999999999998</v>
      </c>
      <c r="L1405">
        <v>0.25</v>
      </c>
      <c r="M1405">
        <v>0.5</v>
      </c>
      <c r="N1405">
        <v>-0.3</v>
      </c>
      <c r="O1405">
        <v>-6.4000000000000001E-2</v>
      </c>
      <c r="P1405">
        <v>1995</v>
      </c>
      <c r="Q1405">
        <v>6.5</v>
      </c>
      <c r="R1405">
        <v>2.6</v>
      </c>
      <c r="S1405">
        <v>0.8</v>
      </c>
      <c r="T1405">
        <v>0.5</v>
      </c>
      <c r="U1405">
        <v>2</v>
      </c>
      <c r="V1405">
        <v>13</v>
      </c>
      <c r="W1405">
        <f>IF(nba_draft[[#This Row],[years_played]]&gt;5,1,0)</f>
        <v>0</v>
      </c>
    </row>
    <row r="1406" spans="1:23" x14ac:dyDescent="0.25">
      <c r="A1406">
        <v>51</v>
      </c>
      <c r="B1406" t="s">
        <v>37</v>
      </c>
      <c r="C1406" t="s">
        <v>734</v>
      </c>
      <c r="D1406" t="s">
        <v>97</v>
      </c>
      <c r="E1406">
        <v>1</v>
      </c>
      <c r="F1406">
        <v>42</v>
      </c>
      <c r="G1406">
        <v>244</v>
      </c>
      <c r="H1406">
        <v>78</v>
      </c>
      <c r="I1406">
        <v>17</v>
      </c>
      <c r="J1406">
        <v>33</v>
      </c>
      <c r="K1406">
        <v>0.379</v>
      </c>
      <c r="L1406">
        <v>0.41699999999999998</v>
      </c>
      <c r="M1406">
        <v>0.80600000000000005</v>
      </c>
      <c r="N1406">
        <v>0.1</v>
      </c>
      <c r="O1406">
        <v>2.1999999999999999E-2</v>
      </c>
      <c r="P1406">
        <v>2000</v>
      </c>
      <c r="Q1406">
        <v>5.8</v>
      </c>
      <c r="R1406">
        <v>1.9</v>
      </c>
      <c r="S1406">
        <v>0.4</v>
      </c>
      <c r="T1406">
        <v>0.8</v>
      </c>
      <c r="U1406">
        <v>2</v>
      </c>
      <c r="V1406">
        <v>22</v>
      </c>
      <c r="W1406">
        <f>IF(nba_draft[[#This Row],[years_played]]&gt;5,1,0)</f>
        <v>0</v>
      </c>
    </row>
    <row r="1407" spans="1:23" x14ac:dyDescent="0.25">
      <c r="A1407">
        <v>28</v>
      </c>
      <c r="B1407" t="s">
        <v>85</v>
      </c>
      <c r="C1407" t="s">
        <v>712</v>
      </c>
      <c r="D1407" t="s">
        <v>77</v>
      </c>
      <c r="E1407">
        <v>2</v>
      </c>
      <c r="F1407">
        <v>27</v>
      </c>
      <c r="G1407">
        <v>266</v>
      </c>
      <c r="H1407">
        <v>77</v>
      </c>
      <c r="I1407">
        <v>21</v>
      </c>
      <c r="J1407">
        <v>40</v>
      </c>
      <c r="K1407">
        <v>0.35599999999999998</v>
      </c>
      <c r="L1407">
        <v>0.26700000000000002</v>
      </c>
      <c r="M1407">
        <v>0.9</v>
      </c>
      <c r="N1407">
        <v>0.2</v>
      </c>
      <c r="O1407">
        <v>2.7E-2</v>
      </c>
      <c r="P1407">
        <v>2000</v>
      </c>
      <c r="Q1407">
        <v>9.9</v>
      </c>
      <c r="R1407">
        <v>2.9</v>
      </c>
      <c r="S1407">
        <v>0.8</v>
      </c>
      <c r="T1407">
        <v>1.5</v>
      </c>
      <c r="U1407">
        <v>1</v>
      </c>
      <c r="V1407">
        <v>28</v>
      </c>
      <c r="W1407">
        <f>IF(nba_draft[[#This Row],[years_played]]&gt;5,1,0)</f>
        <v>0</v>
      </c>
    </row>
    <row r="1408" spans="1:23" x14ac:dyDescent="0.25">
      <c r="A1408">
        <v>23</v>
      </c>
      <c r="B1408" t="s">
        <v>85</v>
      </c>
      <c r="C1408" t="s">
        <v>920</v>
      </c>
      <c r="D1408" t="s">
        <v>97</v>
      </c>
      <c r="E1408">
        <v>1</v>
      </c>
      <c r="F1408">
        <v>26</v>
      </c>
      <c r="G1408">
        <v>343</v>
      </c>
      <c r="H1408">
        <v>77</v>
      </c>
      <c r="I1408">
        <v>52</v>
      </c>
      <c r="J1408">
        <v>19</v>
      </c>
      <c r="K1408">
        <v>0.33300000000000002</v>
      </c>
      <c r="L1408">
        <v>0.26500000000000001</v>
      </c>
      <c r="M1408">
        <v>0.71399999999999997</v>
      </c>
      <c r="N1408">
        <v>-0.2</v>
      </c>
      <c r="O1408">
        <v>-2.5000000000000001E-2</v>
      </c>
      <c r="P1408">
        <v>2004</v>
      </c>
      <c r="Q1408">
        <v>13.2</v>
      </c>
      <c r="R1408">
        <v>3</v>
      </c>
      <c r="S1408">
        <v>2</v>
      </c>
      <c r="T1408">
        <v>0.7</v>
      </c>
      <c r="U1408">
        <v>1</v>
      </c>
      <c r="V1408">
        <v>23</v>
      </c>
      <c r="W1408">
        <f>IF(nba_draft[[#This Row],[years_played]]&gt;5,1,0)</f>
        <v>0</v>
      </c>
    </row>
    <row r="1409" spans="1:23" x14ac:dyDescent="0.25">
      <c r="A1409">
        <v>34</v>
      </c>
      <c r="B1409" t="s">
        <v>52</v>
      </c>
      <c r="C1409" t="s">
        <v>320</v>
      </c>
      <c r="D1409" t="s">
        <v>321</v>
      </c>
      <c r="E1409">
        <v>2</v>
      </c>
      <c r="F1409">
        <v>40</v>
      </c>
      <c r="G1409">
        <v>293</v>
      </c>
      <c r="H1409">
        <v>76</v>
      </c>
      <c r="I1409">
        <v>36</v>
      </c>
      <c r="J1409">
        <v>18</v>
      </c>
      <c r="K1409">
        <v>0.312</v>
      </c>
      <c r="L1409">
        <v>0.222</v>
      </c>
      <c r="M1409">
        <v>0.44400000000000001</v>
      </c>
      <c r="N1409">
        <v>-0.1</v>
      </c>
      <c r="O1409">
        <v>-0.02</v>
      </c>
      <c r="P1409">
        <v>1993</v>
      </c>
      <c r="Q1409">
        <v>7.3</v>
      </c>
      <c r="R1409">
        <v>1.9</v>
      </c>
      <c r="S1409">
        <v>0.9</v>
      </c>
      <c r="T1409">
        <v>0.5</v>
      </c>
      <c r="U1409">
        <v>2</v>
      </c>
      <c r="V1409">
        <v>7</v>
      </c>
      <c r="W1409">
        <f>IF(nba_draft[[#This Row],[years_played]]&gt;5,1,0)</f>
        <v>0</v>
      </c>
    </row>
    <row r="1410" spans="1:23" x14ac:dyDescent="0.25">
      <c r="A1410">
        <v>38</v>
      </c>
      <c r="B1410" t="s">
        <v>70</v>
      </c>
      <c r="C1410" t="s">
        <v>491</v>
      </c>
      <c r="D1410" t="s">
        <v>293</v>
      </c>
      <c r="E1410">
        <v>1</v>
      </c>
      <c r="F1410">
        <v>35</v>
      </c>
      <c r="G1410">
        <v>268</v>
      </c>
      <c r="H1410">
        <v>76</v>
      </c>
      <c r="I1410">
        <v>60</v>
      </c>
      <c r="J1410">
        <v>7</v>
      </c>
      <c r="K1410">
        <v>0.52600000000000002</v>
      </c>
      <c r="L1410">
        <v>0</v>
      </c>
      <c r="M1410">
        <v>0.55200000000000005</v>
      </c>
      <c r="N1410">
        <v>0.2</v>
      </c>
      <c r="O1410">
        <v>3.1E-2</v>
      </c>
      <c r="P1410">
        <v>1996</v>
      </c>
      <c r="Q1410">
        <v>7.7</v>
      </c>
      <c r="R1410">
        <v>2.2000000000000002</v>
      </c>
      <c r="S1410">
        <v>1.7</v>
      </c>
      <c r="T1410">
        <v>0.2</v>
      </c>
      <c r="U1410">
        <v>2</v>
      </c>
      <c r="V1410">
        <v>9</v>
      </c>
      <c r="W1410">
        <f>IF(nba_draft[[#This Row],[years_played]]&gt;5,1,0)</f>
        <v>0</v>
      </c>
    </row>
    <row r="1411" spans="1:23" x14ac:dyDescent="0.25">
      <c r="A1411">
        <v>42</v>
      </c>
      <c r="B1411" t="s">
        <v>55</v>
      </c>
      <c r="C1411" t="s">
        <v>1483</v>
      </c>
      <c r="D1411" t="s">
        <v>117</v>
      </c>
      <c r="E1411">
        <v>1</v>
      </c>
      <c r="F1411">
        <v>28</v>
      </c>
      <c r="G1411">
        <v>262</v>
      </c>
      <c r="H1411">
        <v>74</v>
      </c>
      <c r="I1411">
        <v>39</v>
      </c>
      <c r="J1411">
        <v>11</v>
      </c>
      <c r="K1411">
        <v>0.34699999999999998</v>
      </c>
      <c r="L1411">
        <v>0.23799999999999999</v>
      </c>
      <c r="M1411">
        <v>0.68</v>
      </c>
      <c r="N1411">
        <v>-0.1</v>
      </c>
      <c r="O1411">
        <v>-0.02</v>
      </c>
      <c r="P1411">
        <v>2014</v>
      </c>
      <c r="Q1411">
        <v>9.4</v>
      </c>
      <c r="R1411">
        <v>2.6</v>
      </c>
      <c r="S1411">
        <v>1.4</v>
      </c>
      <c r="T1411">
        <v>0.4</v>
      </c>
      <c r="U1411">
        <v>2</v>
      </c>
      <c r="V1411">
        <v>12</v>
      </c>
      <c r="W1411">
        <f>IF(nba_draft[[#This Row],[years_played]]&gt;5,1,0)</f>
        <v>0</v>
      </c>
    </row>
    <row r="1412" spans="1:23" x14ac:dyDescent="0.25">
      <c r="A1412">
        <v>41</v>
      </c>
      <c r="B1412" t="s">
        <v>49</v>
      </c>
      <c r="C1412" t="s">
        <v>122</v>
      </c>
      <c r="D1412" t="s">
        <v>36</v>
      </c>
      <c r="E1412">
        <v>3</v>
      </c>
      <c r="F1412">
        <v>33</v>
      </c>
      <c r="G1412">
        <v>299</v>
      </c>
      <c r="H1412">
        <v>73</v>
      </c>
      <c r="I1412">
        <v>60</v>
      </c>
      <c r="J1412">
        <v>44</v>
      </c>
      <c r="K1412">
        <v>0.32900000000000001</v>
      </c>
      <c r="L1412">
        <v>0.1</v>
      </c>
      <c r="M1412">
        <v>0.69599999999999995</v>
      </c>
      <c r="N1412">
        <v>-0.1</v>
      </c>
      <c r="O1412">
        <v>-0.02</v>
      </c>
      <c r="P1412">
        <v>1990</v>
      </c>
      <c r="Q1412">
        <v>9.1</v>
      </c>
      <c r="R1412">
        <v>2.2000000000000002</v>
      </c>
      <c r="S1412">
        <v>1.8</v>
      </c>
      <c r="T1412">
        <v>1.3</v>
      </c>
      <c r="U1412">
        <v>2</v>
      </c>
      <c r="V1412">
        <v>14</v>
      </c>
      <c r="W1412">
        <f>IF(nba_draft[[#This Row],[years_played]]&gt;5,1,0)</f>
        <v>0</v>
      </c>
    </row>
    <row r="1413" spans="1:23" x14ac:dyDescent="0.25">
      <c r="A1413">
        <v>59</v>
      </c>
      <c r="B1413" t="s">
        <v>75</v>
      </c>
      <c r="C1413" t="s">
        <v>1106</v>
      </c>
      <c r="D1413" t="s">
        <v>67</v>
      </c>
      <c r="E1413">
        <v>1</v>
      </c>
      <c r="F1413">
        <v>33</v>
      </c>
      <c r="G1413">
        <v>270</v>
      </c>
      <c r="H1413">
        <v>73</v>
      </c>
      <c r="I1413">
        <v>28</v>
      </c>
      <c r="J1413">
        <v>30</v>
      </c>
      <c r="K1413">
        <v>0.315</v>
      </c>
      <c r="L1413">
        <v>0.24</v>
      </c>
      <c r="M1413">
        <v>0.47399999999999998</v>
      </c>
      <c r="N1413">
        <v>-0.2</v>
      </c>
      <c r="O1413">
        <v>-3.1E-2</v>
      </c>
      <c r="P1413">
        <v>2007</v>
      </c>
      <c r="Q1413">
        <v>8.1999999999999993</v>
      </c>
      <c r="R1413">
        <v>2.2000000000000002</v>
      </c>
      <c r="S1413">
        <v>0.8</v>
      </c>
      <c r="T1413">
        <v>0.9</v>
      </c>
      <c r="U1413">
        <v>2</v>
      </c>
      <c r="V1413">
        <v>29</v>
      </c>
      <c r="W1413">
        <f>IF(nba_draft[[#This Row],[years_played]]&gt;5,1,0)</f>
        <v>0</v>
      </c>
    </row>
    <row r="1414" spans="1:23" x14ac:dyDescent="0.25">
      <c r="A1414">
        <v>30</v>
      </c>
      <c r="B1414" t="s">
        <v>70</v>
      </c>
      <c r="C1414" t="s">
        <v>1139</v>
      </c>
      <c r="D1414" t="s">
        <v>153</v>
      </c>
      <c r="E1414">
        <v>2</v>
      </c>
      <c r="F1414">
        <v>38</v>
      </c>
      <c r="G1414">
        <v>247</v>
      </c>
      <c r="H1414">
        <v>73</v>
      </c>
      <c r="I1414">
        <v>54</v>
      </c>
      <c r="J1414">
        <v>13</v>
      </c>
      <c r="K1414">
        <v>0.47599999999999998</v>
      </c>
      <c r="L1414">
        <v>0</v>
      </c>
      <c r="M1414">
        <v>0.56499999999999995</v>
      </c>
      <c r="N1414">
        <v>0.1</v>
      </c>
      <c r="O1414">
        <v>2.7E-2</v>
      </c>
      <c r="P1414">
        <v>2008</v>
      </c>
      <c r="Q1414">
        <v>6.5</v>
      </c>
      <c r="R1414">
        <v>1.9</v>
      </c>
      <c r="S1414">
        <v>1.4</v>
      </c>
      <c r="T1414">
        <v>0.3</v>
      </c>
      <c r="U1414">
        <v>1</v>
      </c>
      <c r="V1414">
        <v>30</v>
      </c>
      <c r="W1414">
        <f>IF(nba_draft[[#This Row],[years_played]]&gt;5,1,0)</f>
        <v>0</v>
      </c>
    </row>
    <row r="1415" spans="1:23" x14ac:dyDescent="0.25">
      <c r="A1415">
        <v>49</v>
      </c>
      <c r="B1415" t="s">
        <v>82</v>
      </c>
      <c r="C1415" t="s">
        <v>1761</v>
      </c>
      <c r="D1415" t="s">
        <v>461</v>
      </c>
      <c r="E1415">
        <v>3</v>
      </c>
      <c r="F1415">
        <v>36</v>
      </c>
      <c r="G1415">
        <v>232</v>
      </c>
      <c r="H1415">
        <v>72</v>
      </c>
      <c r="I1415">
        <v>24</v>
      </c>
      <c r="J1415">
        <v>21</v>
      </c>
      <c r="K1415">
        <v>0.435</v>
      </c>
      <c r="L1415">
        <v>0.16700000000000001</v>
      </c>
      <c r="M1415">
        <v>0.8</v>
      </c>
      <c r="N1415">
        <v>0</v>
      </c>
      <c r="O1415">
        <v>2E-3</v>
      </c>
      <c r="P1415">
        <v>2019</v>
      </c>
      <c r="Q1415">
        <v>6.4</v>
      </c>
      <c r="R1415">
        <v>2</v>
      </c>
      <c r="S1415">
        <v>0.7</v>
      </c>
      <c r="T1415">
        <v>0.6</v>
      </c>
      <c r="U1415">
        <v>2</v>
      </c>
      <c r="V1415">
        <v>19</v>
      </c>
      <c r="W1415">
        <f>IF(nba_draft[[#This Row],[years_played]]&gt;5,1,0)</f>
        <v>0</v>
      </c>
    </row>
    <row r="1416" spans="1:23" x14ac:dyDescent="0.25">
      <c r="A1416">
        <v>46</v>
      </c>
      <c r="B1416" t="s">
        <v>85</v>
      </c>
      <c r="C1416" t="s">
        <v>940</v>
      </c>
      <c r="D1416" t="s">
        <v>97</v>
      </c>
      <c r="E1416">
        <v>2</v>
      </c>
      <c r="F1416">
        <v>46</v>
      </c>
      <c r="G1416">
        <v>316</v>
      </c>
      <c r="H1416">
        <v>70</v>
      </c>
      <c r="I1416">
        <v>67</v>
      </c>
      <c r="J1416">
        <v>3</v>
      </c>
      <c r="K1416">
        <v>0.51900000000000002</v>
      </c>
      <c r="L1416">
        <v>0</v>
      </c>
      <c r="M1416">
        <v>0.5</v>
      </c>
      <c r="N1416">
        <v>-0.2</v>
      </c>
      <c r="O1416">
        <v>-2.9000000000000001E-2</v>
      </c>
      <c r="P1416">
        <v>2004</v>
      </c>
      <c r="Q1416">
        <v>6.9</v>
      </c>
      <c r="R1416">
        <v>1.5</v>
      </c>
      <c r="S1416">
        <v>1.5</v>
      </c>
      <c r="T1416">
        <v>0.1</v>
      </c>
      <c r="U1416">
        <v>2</v>
      </c>
      <c r="V1416">
        <v>17</v>
      </c>
      <c r="W1416">
        <f>IF(nba_draft[[#This Row],[years_played]]&gt;5,1,0)</f>
        <v>0</v>
      </c>
    </row>
    <row r="1417" spans="1:23" x14ac:dyDescent="0.25">
      <c r="A1417">
        <v>56</v>
      </c>
      <c r="B1417" t="s">
        <v>28</v>
      </c>
      <c r="C1417" t="s">
        <v>1593</v>
      </c>
      <c r="D1417" t="s">
        <v>79</v>
      </c>
      <c r="E1417">
        <v>2</v>
      </c>
      <c r="F1417">
        <v>25</v>
      </c>
      <c r="G1417">
        <v>232</v>
      </c>
      <c r="H1417">
        <v>69</v>
      </c>
      <c r="I1417">
        <v>52</v>
      </c>
      <c r="J1417">
        <v>30</v>
      </c>
      <c r="K1417">
        <v>0.39400000000000002</v>
      </c>
      <c r="L1417">
        <v>0.35699999999999998</v>
      </c>
      <c r="M1417">
        <v>0.5</v>
      </c>
      <c r="N1417">
        <v>0</v>
      </c>
      <c r="O1417">
        <v>0</v>
      </c>
      <c r="P1417">
        <v>2016</v>
      </c>
      <c r="Q1417">
        <v>9.3000000000000007</v>
      </c>
      <c r="R1417">
        <v>2.8</v>
      </c>
      <c r="S1417">
        <v>2.1</v>
      </c>
      <c r="T1417">
        <v>1.2</v>
      </c>
      <c r="U1417">
        <v>2</v>
      </c>
      <c r="V1417">
        <v>26</v>
      </c>
      <c r="W1417">
        <f>IF(nba_draft[[#This Row],[years_played]]&gt;5,1,0)</f>
        <v>0</v>
      </c>
    </row>
    <row r="1418" spans="1:23" x14ac:dyDescent="0.25">
      <c r="A1418">
        <v>53</v>
      </c>
      <c r="B1418" t="s">
        <v>102</v>
      </c>
      <c r="C1418" t="s">
        <v>1880</v>
      </c>
      <c r="D1418" t="s">
        <v>321</v>
      </c>
      <c r="E1418">
        <v>1</v>
      </c>
      <c r="F1418">
        <v>23</v>
      </c>
      <c r="G1418">
        <v>168</v>
      </c>
      <c r="H1418">
        <v>69</v>
      </c>
      <c r="I1418">
        <v>62</v>
      </c>
      <c r="J1418">
        <v>7</v>
      </c>
      <c r="K1418">
        <v>0.63800000000000001</v>
      </c>
      <c r="L1418">
        <v>0</v>
      </c>
      <c r="M1418">
        <v>0.75</v>
      </c>
      <c r="N1418">
        <v>0.8</v>
      </c>
      <c r="O1418">
        <v>0.22500000000000001</v>
      </c>
      <c r="P1418">
        <v>2021</v>
      </c>
      <c r="Q1418">
        <v>7.3</v>
      </c>
      <c r="R1418">
        <v>3</v>
      </c>
      <c r="S1418">
        <v>2.7</v>
      </c>
      <c r="T1418">
        <v>0.3</v>
      </c>
      <c r="U1418">
        <v>2</v>
      </c>
      <c r="V1418">
        <v>23</v>
      </c>
      <c r="W1418">
        <f>IF(nba_draft[[#This Row],[years_played]]&gt;5,1,0)</f>
        <v>0</v>
      </c>
    </row>
    <row r="1419" spans="1:23" x14ac:dyDescent="0.25">
      <c r="A1419">
        <v>25</v>
      </c>
      <c r="B1419" t="s">
        <v>46</v>
      </c>
      <c r="C1419" t="s">
        <v>656</v>
      </c>
      <c r="D1419" t="s">
        <v>657</v>
      </c>
      <c r="E1419">
        <v>3</v>
      </c>
      <c r="F1419">
        <v>43</v>
      </c>
      <c r="G1419">
        <v>261</v>
      </c>
      <c r="H1419">
        <v>68</v>
      </c>
      <c r="I1419">
        <v>46</v>
      </c>
      <c r="J1419">
        <v>11</v>
      </c>
      <c r="K1419">
        <v>0.32900000000000001</v>
      </c>
      <c r="L1419">
        <v>0.33300000000000002</v>
      </c>
      <c r="M1419">
        <v>0.65200000000000002</v>
      </c>
      <c r="N1419">
        <v>0</v>
      </c>
      <c r="O1419">
        <v>-3.0000000000000001E-3</v>
      </c>
      <c r="P1419">
        <v>1999</v>
      </c>
      <c r="Q1419">
        <v>6.1</v>
      </c>
      <c r="R1419">
        <v>1.6</v>
      </c>
      <c r="S1419">
        <v>1.1000000000000001</v>
      </c>
      <c r="T1419">
        <v>0.3</v>
      </c>
      <c r="U1419">
        <v>1</v>
      </c>
      <c r="V1419">
        <v>25</v>
      </c>
      <c r="W1419">
        <f>IF(nba_draft[[#This Row],[years_played]]&gt;5,1,0)</f>
        <v>0</v>
      </c>
    </row>
    <row r="1420" spans="1:23" x14ac:dyDescent="0.25">
      <c r="A1420">
        <v>36</v>
      </c>
      <c r="B1420" t="s">
        <v>22</v>
      </c>
      <c r="C1420" t="s">
        <v>722</v>
      </c>
      <c r="D1420" t="s">
        <v>97</v>
      </c>
      <c r="E1420">
        <v>2</v>
      </c>
      <c r="F1420">
        <v>47</v>
      </c>
      <c r="G1420">
        <v>303</v>
      </c>
      <c r="H1420">
        <v>68</v>
      </c>
      <c r="I1420">
        <v>76</v>
      </c>
      <c r="J1420">
        <v>5</v>
      </c>
      <c r="K1420">
        <v>0.38900000000000001</v>
      </c>
      <c r="L1420">
        <v>0</v>
      </c>
      <c r="M1420">
        <v>0.46200000000000002</v>
      </c>
      <c r="N1420">
        <v>0.3</v>
      </c>
      <c r="O1420">
        <v>4.5999999999999999E-2</v>
      </c>
      <c r="P1420">
        <v>2000</v>
      </c>
      <c r="Q1420">
        <v>6.4</v>
      </c>
      <c r="R1420">
        <v>1.4</v>
      </c>
      <c r="S1420">
        <v>1.6</v>
      </c>
      <c r="T1420">
        <v>0.1</v>
      </c>
      <c r="U1420">
        <v>2</v>
      </c>
      <c r="V1420">
        <v>7</v>
      </c>
      <c r="W1420">
        <f>IF(nba_draft[[#This Row],[years_played]]&gt;5,1,0)</f>
        <v>0</v>
      </c>
    </row>
    <row r="1421" spans="1:23" x14ac:dyDescent="0.25">
      <c r="A1421">
        <v>57</v>
      </c>
      <c r="B1421" t="s">
        <v>863</v>
      </c>
      <c r="C1421" t="s">
        <v>1768</v>
      </c>
      <c r="D1421" t="s">
        <v>293</v>
      </c>
      <c r="E1421">
        <v>2</v>
      </c>
      <c r="F1421">
        <v>24</v>
      </c>
      <c r="G1421">
        <v>249</v>
      </c>
      <c r="H1421">
        <v>68</v>
      </c>
      <c r="I1421">
        <v>28</v>
      </c>
      <c r="J1421">
        <v>26</v>
      </c>
      <c r="K1421">
        <v>0.378</v>
      </c>
      <c r="L1421">
        <v>0.28599999999999998</v>
      </c>
      <c r="M1421">
        <v>0</v>
      </c>
      <c r="N1421">
        <v>0.1</v>
      </c>
      <c r="O1421">
        <v>0.01</v>
      </c>
      <c r="P1421">
        <v>2019</v>
      </c>
      <c r="Q1421">
        <v>10.4</v>
      </c>
      <c r="R1421">
        <v>2.8</v>
      </c>
      <c r="S1421">
        <v>1.2</v>
      </c>
      <c r="T1421">
        <v>1.1000000000000001</v>
      </c>
      <c r="U1421">
        <v>2</v>
      </c>
      <c r="V1421">
        <v>27</v>
      </c>
      <c r="W1421">
        <f>IF(nba_draft[[#This Row],[years_played]]&gt;5,1,0)</f>
        <v>0</v>
      </c>
    </row>
    <row r="1422" spans="1:23" x14ac:dyDescent="0.25">
      <c r="A1422">
        <v>35</v>
      </c>
      <c r="B1422" t="s">
        <v>104</v>
      </c>
      <c r="C1422" t="s">
        <v>1477</v>
      </c>
      <c r="D1422" t="s">
        <v>293</v>
      </c>
      <c r="E1422">
        <v>3</v>
      </c>
      <c r="F1422">
        <v>28</v>
      </c>
      <c r="G1422">
        <v>151</v>
      </c>
      <c r="H1422">
        <v>67</v>
      </c>
      <c r="I1422">
        <v>40</v>
      </c>
      <c r="J1422">
        <v>7</v>
      </c>
      <c r="K1422">
        <v>0.58099999999999996</v>
      </c>
      <c r="L1422">
        <v>0</v>
      </c>
      <c r="M1422">
        <v>0.53100000000000003</v>
      </c>
      <c r="N1422">
        <v>0.6</v>
      </c>
      <c r="O1422">
        <v>0.20200000000000001</v>
      </c>
      <c r="P1422">
        <v>2014</v>
      </c>
      <c r="Q1422">
        <v>5.4</v>
      </c>
      <c r="R1422">
        <v>2.4</v>
      </c>
      <c r="S1422">
        <v>1.4</v>
      </c>
      <c r="T1422">
        <v>0.3</v>
      </c>
      <c r="U1422">
        <v>2</v>
      </c>
      <c r="V1422">
        <v>5</v>
      </c>
      <c r="W1422">
        <f>IF(nba_draft[[#This Row],[years_played]]&gt;5,1,0)</f>
        <v>0</v>
      </c>
    </row>
    <row r="1423" spans="1:23" x14ac:dyDescent="0.25">
      <c r="A1423">
        <v>36</v>
      </c>
      <c r="B1423" t="s">
        <v>37</v>
      </c>
      <c r="C1423" t="s">
        <v>1531</v>
      </c>
      <c r="D1423" t="s">
        <v>24</v>
      </c>
      <c r="E1423">
        <v>2</v>
      </c>
      <c r="F1423">
        <v>30</v>
      </c>
      <c r="G1423">
        <v>225</v>
      </c>
      <c r="H1423">
        <v>63</v>
      </c>
      <c r="I1423">
        <v>57</v>
      </c>
      <c r="J1423">
        <v>4</v>
      </c>
      <c r="K1423">
        <v>0.46700000000000003</v>
      </c>
      <c r="L1423">
        <v>0</v>
      </c>
      <c r="M1423">
        <v>0.72399999999999998</v>
      </c>
      <c r="N1423">
        <v>0.5</v>
      </c>
      <c r="O1423">
        <v>0.105</v>
      </c>
      <c r="P1423">
        <v>2015</v>
      </c>
      <c r="Q1423">
        <v>7.5</v>
      </c>
      <c r="R1423">
        <v>2.1</v>
      </c>
      <c r="S1423">
        <v>1.9</v>
      </c>
      <c r="T1423">
        <v>0.1</v>
      </c>
      <c r="U1423">
        <v>2</v>
      </c>
      <c r="V1423">
        <v>6</v>
      </c>
      <c r="W1423">
        <f>IF(nba_draft[[#This Row],[years_played]]&gt;5,1,0)</f>
        <v>0</v>
      </c>
    </row>
    <row r="1424" spans="1:23" x14ac:dyDescent="0.25">
      <c r="A1424">
        <v>33</v>
      </c>
      <c r="B1424" t="s">
        <v>37</v>
      </c>
      <c r="C1424" t="s">
        <v>1804</v>
      </c>
      <c r="D1424" t="s">
        <v>48</v>
      </c>
      <c r="E1424">
        <v>2</v>
      </c>
      <c r="F1424">
        <v>33</v>
      </c>
      <c r="G1424">
        <v>188</v>
      </c>
      <c r="H1424">
        <v>63</v>
      </c>
      <c r="I1424">
        <v>53</v>
      </c>
      <c r="J1424">
        <v>10</v>
      </c>
      <c r="K1424">
        <v>0.43099999999999999</v>
      </c>
      <c r="L1424">
        <v>0.16700000000000001</v>
      </c>
      <c r="M1424">
        <v>0.70599999999999996</v>
      </c>
      <c r="N1424">
        <v>0.3</v>
      </c>
      <c r="O1424">
        <v>8.5999999999999993E-2</v>
      </c>
      <c r="P1424">
        <v>2020</v>
      </c>
      <c r="Q1424">
        <v>5.7</v>
      </c>
      <c r="R1424">
        <v>1.9</v>
      </c>
      <c r="S1424">
        <v>1.6</v>
      </c>
      <c r="T1424">
        <v>0.3</v>
      </c>
      <c r="U1424">
        <v>2</v>
      </c>
      <c r="V1424">
        <v>3</v>
      </c>
      <c r="W1424">
        <f>IF(nba_draft[[#This Row],[years_played]]&gt;5,1,0)</f>
        <v>0</v>
      </c>
    </row>
    <row r="1425" spans="1:23" x14ac:dyDescent="0.25">
      <c r="A1425">
        <v>45</v>
      </c>
      <c r="B1425" t="s">
        <v>109</v>
      </c>
      <c r="C1425" t="s">
        <v>556</v>
      </c>
      <c r="D1425" t="s">
        <v>175</v>
      </c>
      <c r="E1425">
        <v>1</v>
      </c>
      <c r="F1425">
        <v>20</v>
      </c>
      <c r="G1425">
        <v>146</v>
      </c>
      <c r="H1425">
        <v>61</v>
      </c>
      <c r="I1425">
        <v>7</v>
      </c>
      <c r="J1425">
        <v>36</v>
      </c>
      <c r="K1425">
        <v>0.32800000000000001</v>
      </c>
      <c r="L1425">
        <v>0</v>
      </c>
      <c r="M1425">
        <v>0.76700000000000002</v>
      </c>
      <c r="N1425">
        <v>-0.1</v>
      </c>
      <c r="O1425">
        <v>-4.9000000000000002E-2</v>
      </c>
      <c r="P1425">
        <v>1997</v>
      </c>
      <c r="Q1425">
        <v>7.3</v>
      </c>
      <c r="R1425">
        <v>3.1</v>
      </c>
      <c r="S1425">
        <v>0.4</v>
      </c>
      <c r="T1425">
        <v>1.8</v>
      </c>
      <c r="U1425">
        <v>2</v>
      </c>
      <c r="V1425">
        <v>17</v>
      </c>
      <c r="W1425">
        <f>IF(nba_draft[[#This Row],[years_played]]&gt;5,1,0)</f>
        <v>0</v>
      </c>
    </row>
    <row r="1426" spans="1:23" x14ac:dyDescent="0.25">
      <c r="A1426">
        <v>43</v>
      </c>
      <c r="B1426" t="s">
        <v>52</v>
      </c>
      <c r="C1426" t="s">
        <v>201</v>
      </c>
      <c r="D1426" t="s">
        <v>202</v>
      </c>
      <c r="E1426">
        <v>2</v>
      </c>
      <c r="F1426">
        <v>13</v>
      </c>
      <c r="G1426">
        <v>155</v>
      </c>
      <c r="H1426">
        <v>60</v>
      </c>
      <c r="I1426">
        <v>15</v>
      </c>
      <c r="J1426">
        <v>14</v>
      </c>
      <c r="K1426">
        <v>0.32900000000000001</v>
      </c>
      <c r="L1426">
        <v>0.13300000000000001</v>
      </c>
      <c r="M1426">
        <v>0.71399999999999997</v>
      </c>
      <c r="N1426">
        <v>-0.5</v>
      </c>
      <c r="O1426">
        <v>-0.14199999999999999</v>
      </c>
      <c r="P1426">
        <v>1991</v>
      </c>
      <c r="Q1426">
        <v>11.9</v>
      </c>
      <c r="R1426">
        <v>4.5999999999999996</v>
      </c>
      <c r="S1426">
        <v>1.2</v>
      </c>
      <c r="T1426">
        <v>1.1000000000000001</v>
      </c>
      <c r="U1426">
        <v>2</v>
      </c>
      <c r="V1426">
        <v>16</v>
      </c>
      <c r="W1426">
        <f>IF(nba_draft[[#This Row],[years_played]]&gt;5,1,0)</f>
        <v>0</v>
      </c>
    </row>
    <row r="1427" spans="1:23" x14ac:dyDescent="0.25">
      <c r="A1427">
        <v>36</v>
      </c>
      <c r="B1427" t="s">
        <v>102</v>
      </c>
      <c r="C1427" t="s">
        <v>546</v>
      </c>
      <c r="D1427" t="s">
        <v>298</v>
      </c>
      <c r="E1427">
        <v>1</v>
      </c>
      <c r="F1427">
        <v>23</v>
      </c>
      <c r="G1427">
        <v>103</v>
      </c>
      <c r="H1427">
        <v>59</v>
      </c>
      <c r="I1427">
        <v>14</v>
      </c>
      <c r="J1427">
        <v>3</v>
      </c>
      <c r="K1427">
        <v>0.38200000000000001</v>
      </c>
      <c r="L1427">
        <v>0.45</v>
      </c>
      <c r="M1427">
        <v>0.57099999999999995</v>
      </c>
      <c r="N1427">
        <v>0</v>
      </c>
      <c r="O1427">
        <v>8.0000000000000002E-3</v>
      </c>
      <c r="P1427">
        <v>1997</v>
      </c>
      <c r="Q1427">
        <v>4.5</v>
      </c>
      <c r="R1427">
        <v>2.6</v>
      </c>
      <c r="S1427">
        <v>0.6</v>
      </c>
      <c r="T1427">
        <v>0.1</v>
      </c>
      <c r="U1427">
        <v>2</v>
      </c>
      <c r="V1427">
        <v>8</v>
      </c>
      <c r="W1427">
        <f>IF(nba_draft[[#This Row],[years_played]]&gt;5,1,0)</f>
        <v>0</v>
      </c>
    </row>
    <row r="1428" spans="1:23" x14ac:dyDescent="0.25">
      <c r="A1428">
        <v>54</v>
      </c>
      <c r="B1428" t="s">
        <v>102</v>
      </c>
      <c r="C1428" t="s">
        <v>1383</v>
      </c>
      <c r="D1428" t="s">
        <v>97</v>
      </c>
      <c r="E1428">
        <v>2</v>
      </c>
      <c r="F1428">
        <v>45</v>
      </c>
      <c r="G1428">
        <v>247</v>
      </c>
      <c r="H1428">
        <v>59</v>
      </c>
      <c r="I1428">
        <v>39</v>
      </c>
      <c r="J1428">
        <v>17</v>
      </c>
      <c r="K1428">
        <v>0.45100000000000001</v>
      </c>
      <c r="L1428">
        <v>0.125</v>
      </c>
      <c r="M1428">
        <v>0.5</v>
      </c>
      <c r="N1428">
        <v>-0.2</v>
      </c>
      <c r="O1428">
        <v>-3.2000000000000001E-2</v>
      </c>
      <c r="P1428">
        <v>2012</v>
      </c>
      <c r="Q1428">
        <v>5.5</v>
      </c>
      <c r="R1428">
        <v>1.3</v>
      </c>
      <c r="S1428">
        <v>0.9</v>
      </c>
      <c r="T1428">
        <v>0.4</v>
      </c>
      <c r="U1428">
        <v>2</v>
      </c>
      <c r="V1428">
        <v>24</v>
      </c>
      <c r="W1428">
        <f>IF(nba_draft[[#This Row],[years_played]]&gt;5,1,0)</f>
        <v>0</v>
      </c>
    </row>
    <row r="1429" spans="1:23" x14ac:dyDescent="0.25">
      <c r="A1429">
        <v>56</v>
      </c>
      <c r="B1429" t="s">
        <v>102</v>
      </c>
      <c r="C1429" t="s">
        <v>1706</v>
      </c>
      <c r="D1429" t="s">
        <v>39</v>
      </c>
      <c r="E1429">
        <v>2</v>
      </c>
      <c r="F1429">
        <v>16</v>
      </c>
      <c r="G1429">
        <v>167</v>
      </c>
      <c r="H1429">
        <v>58</v>
      </c>
      <c r="I1429">
        <v>52</v>
      </c>
      <c r="J1429">
        <v>5</v>
      </c>
      <c r="K1429">
        <v>0.52900000000000003</v>
      </c>
      <c r="L1429">
        <v>0</v>
      </c>
      <c r="M1429">
        <v>0.28599999999999998</v>
      </c>
      <c r="N1429">
        <v>0.1</v>
      </c>
      <c r="O1429">
        <v>2.4E-2</v>
      </c>
      <c r="P1429">
        <v>2018</v>
      </c>
      <c r="Q1429">
        <v>10.4</v>
      </c>
      <c r="R1429">
        <v>3.6</v>
      </c>
      <c r="S1429">
        <v>3.3</v>
      </c>
      <c r="T1429">
        <v>0.3</v>
      </c>
      <c r="U1429">
        <v>2</v>
      </c>
      <c r="V1429">
        <v>26</v>
      </c>
      <c r="W1429">
        <f>IF(nba_draft[[#This Row],[years_played]]&gt;5,1,0)</f>
        <v>0</v>
      </c>
    </row>
    <row r="1430" spans="1:23" x14ac:dyDescent="0.25">
      <c r="A1430">
        <v>37</v>
      </c>
      <c r="B1430" t="s">
        <v>43</v>
      </c>
      <c r="C1430" t="s">
        <v>1308</v>
      </c>
      <c r="D1430" t="s">
        <v>57</v>
      </c>
      <c r="E1430">
        <v>1</v>
      </c>
      <c r="F1430">
        <v>24</v>
      </c>
      <c r="G1430">
        <v>119</v>
      </c>
      <c r="H1430">
        <v>57</v>
      </c>
      <c r="I1430">
        <v>24</v>
      </c>
      <c r="J1430">
        <v>3</v>
      </c>
      <c r="K1430">
        <v>0.39300000000000002</v>
      </c>
      <c r="L1430">
        <v>0.308</v>
      </c>
      <c r="M1430">
        <v>0.71399999999999997</v>
      </c>
      <c r="N1430">
        <v>0</v>
      </c>
      <c r="O1430">
        <v>4.0000000000000001E-3</v>
      </c>
      <c r="P1430">
        <v>2011</v>
      </c>
      <c r="Q1430">
        <v>5</v>
      </c>
      <c r="R1430">
        <v>2.4</v>
      </c>
      <c r="S1430">
        <v>1</v>
      </c>
      <c r="T1430">
        <v>0.1</v>
      </c>
      <c r="U1430">
        <v>2</v>
      </c>
      <c r="V1430">
        <v>7</v>
      </c>
      <c r="W1430">
        <f>IF(nba_draft[[#This Row],[years_played]]&gt;5,1,0)</f>
        <v>0</v>
      </c>
    </row>
    <row r="1431" spans="1:23" x14ac:dyDescent="0.25">
      <c r="A1431">
        <v>31</v>
      </c>
      <c r="B1431" t="s">
        <v>40</v>
      </c>
      <c r="C1431" t="s">
        <v>316</v>
      </c>
      <c r="D1431" t="s">
        <v>67</v>
      </c>
      <c r="E1431">
        <v>1</v>
      </c>
      <c r="F1431">
        <v>23</v>
      </c>
      <c r="G1431">
        <v>143</v>
      </c>
      <c r="H1431">
        <v>56</v>
      </c>
      <c r="I1431">
        <v>30</v>
      </c>
      <c r="J1431">
        <v>9</v>
      </c>
      <c r="K1431">
        <v>0.4</v>
      </c>
      <c r="L1431">
        <v>0</v>
      </c>
      <c r="M1431">
        <v>0.52200000000000002</v>
      </c>
      <c r="N1431">
        <v>0.1</v>
      </c>
      <c r="O1431">
        <v>0.02</v>
      </c>
      <c r="P1431">
        <v>1993</v>
      </c>
      <c r="Q1431">
        <v>6.2</v>
      </c>
      <c r="R1431">
        <v>2.4</v>
      </c>
      <c r="S1431">
        <v>1.3</v>
      </c>
      <c r="T1431">
        <v>0.4</v>
      </c>
      <c r="U1431">
        <v>2</v>
      </c>
      <c r="V1431">
        <v>4</v>
      </c>
      <c r="W1431">
        <f>IF(nba_draft[[#This Row],[years_played]]&gt;5,1,0)</f>
        <v>0</v>
      </c>
    </row>
    <row r="1432" spans="1:23" x14ac:dyDescent="0.25">
      <c r="A1432">
        <v>37</v>
      </c>
      <c r="B1432" t="s">
        <v>46</v>
      </c>
      <c r="C1432" t="s">
        <v>261</v>
      </c>
      <c r="D1432" t="s">
        <v>222</v>
      </c>
      <c r="E1432">
        <v>1</v>
      </c>
      <c r="F1432">
        <v>25</v>
      </c>
      <c r="G1432">
        <v>102</v>
      </c>
      <c r="H1432">
        <v>55</v>
      </c>
      <c r="I1432">
        <v>12</v>
      </c>
      <c r="J1432">
        <v>4</v>
      </c>
      <c r="K1432">
        <v>0.45600000000000002</v>
      </c>
      <c r="L1432">
        <v>0</v>
      </c>
      <c r="M1432">
        <v>0.75</v>
      </c>
      <c r="N1432">
        <v>0</v>
      </c>
      <c r="O1432">
        <v>-2.1999999999999999E-2</v>
      </c>
      <c r="P1432">
        <v>1992</v>
      </c>
      <c r="Q1432">
        <v>4.0999999999999996</v>
      </c>
      <c r="R1432">
        <v>2.2000000000000002</v>
      </c>
      <c r="S1432">
        <v>0.5</v>
      </c>
      <c r="T1432">
        <v>0.2</v>
      </c>
      <c r="U1432">
        <v>2</v>
      </c>
      <c r="V1432">
        <v>10</v>
      </c>
      <c r="W1432">
        <f>IF(nba_draft[[#This Row],[years_played]]&gt;5,1,0)</f>
        <v>0</v>
      </c>
    </row>
    <row r="1433" spans="1:23" x14ac:dyDescent="0.25">
      <c r="A1433">
        <v>14</v>
      </c>
      <c r="B1433" t="s">
        <v>127</v>
      </c>
      <c r="C1433" t="s">
        <v>296</v>
      </c>
      <c r="D1433" t="s">
        <v>27</v>
      </c>
      <c r="E1433">
        <v>1</v>
      </c>
      <c r="F1433">
        <v>27</v>
      </c>
      <c r="G1433">
        <v>186</v>
      </c>
      <c r="H1433">
        <v>55</v>
      </c>
      <c r="I1433">
        <v>55</v>
      </c>
      <c r="J1433">
        <v>6</v>
      </c>
      <c r="K1433">
        <v>0.46700000000000003</v>
      </c>
      <c r="L1433">
        <v>0</v>
      </c>
      <c r="M1433">
        <v>0.68400000000000005</v>
      </c>
      <c r="N1433">
        <v>0.3</v>
      </c>
      <c r="O1433">
        <v>8.6999999999999994E-2</v>
      </c>
      <c r="P1433">
        <v>1993</v>
      </c>
      <c r="Q1433">
        <v>6.9</v>
      </c>
      <c r="R1433">
        <v>2</v>
      </c>
      <c r="S1433">
        <v>2</v>
      </c>
      <c r="T1433">
        <v>0.2</v>
      </c>
      <c r="U1433">
        <v>1</v>
      </c>
      <c r="V1433">
        <v>14</v>
      </c>
      <c r="W1433">
        <f>IF(nba_draft[[#This Row],[years_played]]&gt;5,1,0)</f>
        <v>0</v>
      </c>
    </row>
    <row r="1434" spans="1:23" x14ac:dyDescent="0.25">
      <c r="A1434">
        <v>48</v>
      </c>
      <c r="B1434" t="s">
        <v>25</v>
      </c>
      <c r="C1434" t="s">
        <v>1539</v>
      </c>
      <c r="D1434" t="s">
        <v>282</v>
      </c>
      <c r="E1434">
        <v>1</v>
      </c>
      <c r="F1434">
        <v>31</v>
      </c>
      <c r="G1434">
        <v>161</v>
      </c>
      <c r="H1434">
        <v>55</v>
      </c>
      <c r="I1434">
        <v>34</v>
      </c>
      <c r="J1434">
        <v>8</v>
      </c>
      <c r="K1434">
        <v>0.56399999999999995</v>
      </c>
      <c r="L1434">
        <v>0</v>
      </c>
      <c r="M1434">
        <v>0.55000000000000004</v>
      </c>
      <c r="N1434">
        <v>0.6</v>
      </c>
      <c r="O1434">
        <v>0.17799999999999999</v>
      </c>
      <c r="P1434">
        <v>2015</v>
      </c>
      <c r="Q1434">
        <v>5.2</v>
      </c>
      <c r="R1434">
        <v>1.8</v>
      </c>
      <c r="S1434">
        <v>1.1000000000000001</v>
      </c>
      <c r="T1434">
        <v>0.3</v>
      </c>
      <c r="U1434">
        <v>2</v>
      </c>
      <c r="V1434">
        <v>18</v>
      </c>
      <c r="W1434">
        <f>IF(nba_draft[[#This Row],[years_played]]&gt;5,1,0)</f>
        <v>0</v>
      </c>
    </row>
    <row r="1435" spans="1:23" x14ac:dyDescent="0.25">
      <c r="A1435">
        <v>35</v>
      </c>
      <c r="B1435" t="s">
        <v>31</v>
      </c>
      <c r="C1435" t="s">
        <v>1687</v>
      </c>
      <c r="D1435" t="s">
        <v>549</v>
      </c>
      <c r="E1435">
        <v>2</v>
      </c>
      <c r="F1435">
        <v>29</v>
      </c>
      <c r="G1435">
        <v>170</v>
      </c>
      <c r="H1435">
        <v>55</v>
      </c>
      <c r="I1435">
        <v>15</v>
      </c>
      <c r="J1435">
        <v>4</v>
      </c>
      <c r="K1435">
        <v>0.4</v>
      </c>
      <c r="L1435">
        <v>0.36399999999999999</v>
      </c>
      <c r="M1435">
        <v>0.375</v>
      </c>
      <c r="N1435">
        <v>0</v>
      </c>
      <c r="O1435">
        <v>8.0000000000000002E-3</v>
      </c>
      <c r="P1435">
        <v>2018</v>
      </c>
      <c r="Q1435">
        <v>5.9</v>
      </c>
      <c r="R1435">
        <v>1.9</v>
      </c>
      <c r="S1435">
        <v>0.5</v>
      </c>
      <c r="T1435">
        <v>0.1</v>
      </c>
      <c r="U1435">
        <v>2</v>
      </c>
      <c r="V1435">
        <v>5</v>
      </c>
      <c r="W1435">
        <f>IF(nba_draft[[#This Row],[years_played]]&gt;5,1,0)</f>
        <v>0</v>
      </c>
    </row>
    <row r="1436" spans="1:23" x14ac:dyDescent="0.25">
      <c r="A1436">
        <v>43</v>
      </c>
      <c r="B1436" t="s">
        <v>75</v>
      </c>
      <c r="C1436" t="s">
        <v>494</v>
      </c>
      <c r="D1436" t="s">
        <v>117</v>
      </c>
      <c r="E1436">
        <v>4</v>
      </c>
      <c r="F1436">
        <v>40</v>
      </c>
      <c r="G1436">
        <v>154</v>
      </c>
      <c r="H1436">
        <v>54</v>
      </c>
      <c r="I1436">
        <v>53</v>
      </c>
      <c r="J1436">
        <v>5</v>
      </c>
      <c r="K1436">
        <v>0.35599999999999998</v>
      </c>
      <c r="L1436">
        <v>0</v>
      </c>
      <c r="M1436">
        <v>0.46200000000000002</v>
      </c>
      <c r="N1436">
        <v>0.1</v>
      </c>
      <c r="O1436">
        <v>0.04</v>
      </c>
      <c r="P1436">
        <v>1996</v>
      </c>
      <c r="Q1436">
        <v>3.9</v>
      </c>
      <c r="R1436">
        <v>1.4</v>
      </c>
      <c r="S1436">
        <v>1.3</v>
      </c>
      <c r="T1436">
        <v>0.1</v>
      </c>
      <c r="U1436">
        <v>2</v>
      </c>
      <c r="V1436">
        <v>14</v>
      </c>
      <c r="W1436">
        <f>IF(nba_draft[[#This Row],[years_played]]&gt;5,1,0)</f>
        <v>0</v>
      </c>
    </row>
    <row r="1437" spans="1:23" x14ac:dyDescent="0.25">
      <c r="A1437">
        <v>56</v>
      </c>
      <c r="B1437" t="s">
        <v>52</v>
      </c>
      <c r="C1437" t="s">
        <v>681</v>
      </c>
      <c r="D1437" t="s">
        <v>226</v>
      </c>
      <c r="E1437">
        <v>1</v>
      </c>
      <c r="F1437">
        <v>25</v>
      </c>
      <c r="G1437">
        <v>137</v>
      </c>
      <c r="H1437">
        <v>54</v>
      </c>
      <c r="I1437">
        <v>35</v>
      </c>
      <c r="J1437">
        <v>5</v>
      </c>
      <c r="K1437">
        <v>0.33300000000000002</v>
      </c>
      <c r="L1437">
        <v>0</v>
      </c>
      <c r="M1437">
        <v>0.77800000000000002</v>
      </c>
      <c r="N1437">
        <v>0.2</v>
      </c>
      <c r="O1437">
        <v>5.8000000000000003E-2</v>
      </c>
      <c r="P1437">
        <v>1999</v>
      </c>
      <c r="Q1437">
        <v>5.5</v>
      </c>
      <c r="R1437">
        <v>2.2000000000000002</v>
      </c>
      <c r="S1437">
        <v>1.4</v>
      </c>
      <c r="T1437">
        <v>0.2</v>
      </c>
      <c r="U1437">
        <v>2</v>
      </c>
      <c r="V1437">
        <v>27</v>
      </c>
      <c r="W1437">
        <f>IF(nba_draft[[#This Row],[years_played]]&gt;5,1,0)</f>
        <v>0</v>
      </c>
    </row>
    <row r="1438" spans="1:23" x14ac:dyDescent="0.25">
      <c r="A1438">
        <v>56</v>
      </c>
      <c r="B1438" t="s">
        <v>88</v>
      </c>
      <c r="C1438" t="s">
        <v>1441</v>
      </c>
      <c r="D1438" t="s">
        <v>39</v>
      </c>
      <c r="E1438">
        <v>1</v>
      </c>
      <c r="F1438">
        <v>24</v>
      </c>
      <c r="G1438">
        <v>224</v>
      </c>
      <c r="H1438">
        <v>54</v>
      </c>
      <c r="I1438">
        <v>14</v>
      </c>
      <c r="J1438">
        <v>34</v>
      </c>
      <c r="K1438">
        <v>0.316</v>
      </c>
      <c r="L1438">
        <v>0.28000000000000003</v>
      </c>
      <c r="M1438">
        <v>0.73299999999999998</v>
      </c>
      <c r="N1438">
        <v>-0.2</v>
      </c>
      <c r="O1438">
        <v>-3.2000000000000001E-2</v>
      </c>
      <c r="P1438">
        <v>2013</v>
      </c>
      <c r="Q1438">
        <v>9.3000000000000007</v>
      </c>
      <c r="R1438">
        <v>2.2999999999999998</v>
      </c>
      <c r="S1438">
        <v>0.6</v>
      </c>
      <c r="T1438">
        <v>1.4</v>
      </c>
      <c r="U1438">
        <v>2</v>
      </c>
      <c r="V1438">
        <v>26</v>
      </c>
      <c r="W1438">
        <f>IF(nba_draft[[#This Row],[years_played]]&gt;5,1,0)</f>
        <v>0</v>
      </c>
    </row>
    <row r="1439" spans="1:23" x14ac:dyDescent="0.25">
      <c r="A1439">
        <v>32</v>
      </c>
      <c r="B1439" t="s">
        <v>34</v>
      </c>
      <c r="C1439" t="s">
        <v>1803</v>
      </c>
      <c r="D1439" t="s">
        <v>87</v>
      </c>
      <c r="E1439">
        <v>2</v>
      </c>
      <c r="F1439">
        <v>24</v>
      </c>
      <c r="G1439">
        <v>133</v>
      </c>
      <c r="H1439">
        <v>54</v>
      </c>
      <c r="I1439">
        <v>32</v>
      </c>
      <c r="J1439">
        <v>2</v>
      </c>
      <c r="K1439">
        <v>0.5</v>
      </c>
      <c r="L1439">
        <v>0.14299999999999999</v>
      </c>
      <c r="M1439">
        <v>0.78600000000000003</v>
      </c>
      <c r="N1439">
        <v>0.2</v>
      </c>
      <c r="O1439">
        <v>7.0000000000000007E-2</v>
      </c>
      <c r="P1439">
        <v>2020</v>
      </c>
      <c r="Q1439">
        <v>5.5</v>
      </c>
      <c r="R1439">
        <v>2.2999999999999998</v>
      </c>
      <c r="S1439">
        <v>1.3</v>
      </c>
      <c r="T1439">
        <v>0.1</v>
      </c>
      <c r="U1439">
        <v>2</v>
      </c>
      <c r="V1439">
        <v>2</v>
      </c>
      <c r="W1439">
        <f>IF(nba_draft[[#This Row],[years_played]]&gt;5,1,0)</f>
        <v>0</v>
      </c>
    </row>
    <row r="1440" spans="1:23" x14ac:dyDescent="0.25">
      <c r="A1440">
        <v>28</v>
      </c>
      <c r="B1440" t="s">
        <v>52</v>
      </c>
      <c r="C1440" t="s">
        <v>93</v>
      </c>
      <c r="D1440" t="s">
        <v>94</v>
      </c>
      <c r="E1440">
        <v>2</v>
      </c>
      <c r="F1440">
        <v>52</v>
      </c>
      <c r="G1440">
        <v>192</v>
      </c>
      <c r="H1440">
        <v>53</v>
      </c>
      <c r="I1440">
        <v>67</v>
      </c>
      <c r="J1440">
        <v>2</v>
      </c>
      <c r="K1440">
        <v>0.33300000000000002</v>
      </c>
      <c r="L1440">
        <v>0</v>
      </c>
      <c r="M1440">
        <v>0.65</v>
      </c>
      <c r="N1440">
        <v>0.1</v>
      </c>
      <c r="O1440">
        <v>3.1E-2</v>
      </c>
      <c r="P1440">
        <v>1990</v>
      </c>
      <c r="Q1440">
        <v>3.7</v>
      </c>
      <c r="R1440">
        <v>1</v>
      </c>
      <c r="S1440">
        <v>1.3</v>
      </c>
      <c r="T1440">
        <v>0</v>
      </c>
      <c r="U1440">
        <v>2</v>
      </c>
      <c r="V1440">
        <v>1</v>
      </c>
      <c r="W1440">
        <f>IF(nba_draft[[#This Row],[years_played]]&gt;5,1,0)</f>
        <v>0</v>
      </c>
    </row>
    <row r="1441" spans="1:23" x14ac:dyDescent="0.25">
      <c r="A1441">
        <v>46</v>
      </c>
      <c r="B1441" t="s">
        <v>55</v>
      </c>
      <c r="C1441" t="s">
        <v>330</v>
      </c>
      <c r="D1441" t="s">
        <v>113</v>
      </c>
      <c r="E1441">
        <v>1</v>
      </c>
      <c r="F1441">
        <v>22</v>
      </c>
      <c r="G1441">
        <v>92</v>
      </c>
      <c r="H1441">
        <v>53</v>
      </c>
      <c r="I1441">
        <v>31</v>
      </c>
      <c r="J1441">
        <v>1</v>
      </c>
      <c r="K1441">
        <v>0.435</v>
      </c>
      <c r="L1441">
        <v>0.46700000000000003</v>
      </c>
      <c r="M1441">
        <v>0.75</v>
      </c>
      <c r="N1441">
        <v>0</v>
      </c>
      <c r="O1441">
        <v>-1.4E-2</v>
      </c>
      <c r="P1441">
        <v>1993</v>
      </c>
      <c r="Q1441">
        <v>4.2</v>
      </c>
      <c r="R1441">
        <v>2.4</v>
      </c>
      <c r="S1441">
        <v>1.4</v>
      </c>
      <c r="T1441">
        <v>0</v>
      </c>
      <c r="U1441">
        <v>2</v>
      </c>
      <c r="V1441">
        <v>19</v>
      </c>
      <c r="W1441">
        <f>IF(nba_draft[[#This Row],[years_played]]&gt;5,1,0)</f>
        <v>0</v>
      </c>
    </row>
    <row r="1442" spans="1:23" x14ac:dyDescent="0.25">
      <c r="A1442">
        <v>47</v>
      </c>
      <c r="B1442" t="s">
        <v>102</v>
      </c>
      <c r="C1442" t="s">
        <v>1488</v>
      </c>
      <c r="D1442" t="s">
        <v>39</v>
      </c>
      <c r="E1442">
        <v>2</v>
      </c>
      <c r="F1442">
        <v>27</v>
      </c>
      <c r="G1442">
        <v>131</v>
      </c>
      <c r="H1442">
        <v>53</v>
      </c>
      <c r="I1442">
        <v>15</v>
      </c>
      <c r="J1442">
        <v>19</v>
      </c>
      <c r="K1442">
        <v>0.31900000000000001</v>
      </c>
      <c r="L1442">
        <v>0.188</v>
      </c>
      <c r="M1442">
        <v>0.76900000000000002</v>
      </c>
      <c r="N1442">
        <v>-0.2</v>
      </c>
      <c r="O1442">
        <v>-6.8000000000000005E-2</v>
      </c>
      <c r="P1442">
        <v>2014</v>
      </c>
      <c r="Q1442">
        <v>4.9000000000000004</v>
      </c>
      <c r="R1442">
        <v>2</v>
      </c>
      <c r="S1442">
        <v>0.6</v>
      </c>
      <c r="T1442">
        <v>0.7</v>
      </c>
      <c r="U1442">
        <v>2</v>
      </c>
      <c r="V1442">
        <v>17</v>
      </c>
      <c r="W1442">
        <f>IF(nba_draft[[#This Row],[years_played]]&gt;5,1,0)</f>
        <v>0</v>
      </c>
    </row>
    <row r="1443" spans="1:23" x14ac:dyDescent="0.25">
      <c r="A1443">
        <v>21</v>
      </c>
      <c r="B1443" t="s">
        <v>65</v>
      </c>
      <c r="C1443" t="s">
        <v>1852</v>
      </c>
      <c r="D1443" t="s">
        <v>293</v>
      </c>
      <c r="E1443">
        <v>1</v>
      </c>
      <c r="F1443">
        <v>15</v>
      </c>
      <c r="G1443">
        <v>135</v>
      </c>
      <c r="H1443">
        <v>53</v>
      </c>
      <c r="I1443">
        <v>21</v>
      </c>
      <c r="J1443">
        <v>13</v>
      </c>
      <c r="K1443">
        <v>0.33300000000000002</v>
      </c>
      <c r="L1443">
        <v>0.27300000000000002</v>
      </c>
      <c r="M1443">
        <v>0.76200000000000001</v>
      </c>
      <c r="N1443">
        <v>0.1</v>
      </c>
      <c r="O1443">
        <v>2.1000000000000001E-2</v>
      </c>
      <c r="P1443">
        <v>2021</v>
      </c>
      <c r="Q1443">
        <v>9</v>
      </c>
      <c r="R1443">
        <v>3.5</v>
      </c>
      <c r="S1443">
        <v>1.4</v>
      </c>
      <c r="T1443">
        <v>0.9</v>
      </c>
      <c r="U1443">
        <v>1</v>
      </c>
      <c r="V1443">
        <v>21</v>
      </c>
      <c r="W1443">
        <f>IF(nba_draft[[#This Row],[years_played]]&gt;5,1,0)</f>
        <v>0</v>
      </c>
    </row>
    <row r="1444" spans="1:23" x14ac:dyDescent="0.25">
      <c r="A1444">
        <v>23</v>
      </c>
      <c r="B1444" t="s">
        <v>28</v>
      </c>
      <c r="C1444" t="s">
        <v>476</v>
      </c>
      <c r="D1444" t="s">
        <v>97</v>
      </c>
      <c r="E1444">
        <v>1</v>
      </c>
      <c r="F1444">
        <v>35</v>
      </c>
      <c r="G1444">
        <v>144</v>
      </c>
      <c r="H1444">
        <v>52</v>
      </c>
      <c r="I1444">
        <v>26</v>
      </c>
      <c r="J1444">
        <v>7</v>
      </c>
      <c r="K1444">
        <v>0.33900000000000002</v>
      </c>
      <c r="L1444">
        <v>0.5</v>
      </c>
      <c r="M1444">
        <v>0.88900000000000001</v>
      </c>
      <c r="N1444">
        <v>0.2</v>
      </c>
      <c r="O1444">
        <v>5.8000000000000003E-2</v>
      </c>
      <c r="P1444">
        <v>1996</v>
      </c>
      <c r="Q1444">
        <v>4.0999999999999996</v>
      </c>
      <c r="R1444">
        <v>1.5</v>
      </c>
      <c r="S1444">
        <v>0.7</v>
      </c>
      <c r="T1444">
        <v>0.2</v>
      </c>
      <c r="U1444">
        <v>1</v>
      </c>
      <c r="V1444">
        <v>23</v>
      </c>
      <c r="W1444">
        <f>IF(nba_draft[[#This Row],[years_played]]&gt;5,1,0)</f>
        <v>0</v>
      </c>
    </row>
    <row r="1445" spans="1:23" x14ac:dyDescent="0.25">
      <c r="A1445">
        <v>35</v>
      </c>
      <c r="B1445" t="s">
        <v>109</v>
      </c>
      <c r="C1445" t="s">
        <v>720</v>
      </c>
      <c r="D1445" t="s">
        <v>721</v>
      </c>
      <c r="E1445">
        <v>1</v>
      </c>
      <c r="F1445">
        <v>17</v>
      </c>
      <c r="G1445">
        <v>180</v>
      </c>
      <c r="H1445">
        <v>51</v>
      </c>
      <c r="I1445">
        <v>22</v>
      </c>
      <c r="J1445">
        <v>10</v>
      </c>
      <c r="K1445">
        <v>0.32200000000000001</v>
      </c>
      <c r="L1445">
        <v>0.16700000000000001</v>
      </c>
      <c r="M1445">
        <v>0.625</v>
      </c>
      <c r="N1445">
        <v>-0.1</v>
      </c>
      <c r="O1445">
        <v>-3.3000000000000002E-2</v>
      </c>
      <c r="P1445">
        <v>2000</v>
      </c>
      <c r="Q1445">
        <v>10.6</v>
      </c>
      <c r="R1445">
        <v>3</v>
      </c>
      <c r="S1445">
        <v>1.3</v>
      </c>
      <c r="T1445">
        <v>0.6</v>
      </c>
      <c r="U1445">
        <v>2</v>
      </c>
      <c r="V1445">
        <v>6</v>
      </c>
      <c r="W1445">
        <f>IF(nba_draft[[#This Row],[years_played]]&gt;5,1,0)</f>
        <v>0</v>
      </c>
    </row>
    <row r="1446" spans="1:23" x14ac:dyDescent="0.25">
      <c r="A1446">
        <v>32</v>
      </c>
      <c r="B1446" t="s">
        <v>393</v>
      </c>
      <c r="C1446" t="s">
        <v>822</v>
      </c>
      <c r="D1446" t="s">
        <v>36</v>
      </c>
      <c r="E1446">
        <v>2</v>
      </c>
      <c r="F1446">
        <v>44</v>
      </c>
      <c r="G1446">
        <v>328</v>
      </c>
      <c r="H1446">
        <v>51</v>
      </c>
      <c r="I1446">
        <v>69</v>
      </c>
      <c r="J1446">
        <v>16</v>
      </c>
      <c r="K1446">
        <v>0.28299999999999997</v>
      </c>
      <c r="L1446">
        <v>0</v>
      </c>
      <c r="M1446">
        <v>0.42899999999999999</v>
      </c>
      <c r="N1446">
        <v>0</v>
      </c>
      <c r="O1446">
        <v>-4.0000000000000001E-3</v>
      </c>
      <c r="P1446">
        <v>2002</v>
      </c>
      <c r="Q1446">
        <v>7.5</v>
      </c>
      <c r="R1446">
        <v>1.2</v>
      </c>
      <c r="S1446">
        <v>1.6</v>
      </c>
      <c r="T1446">
        <v>0.4</v>
      </c>
      <c r="U1446">
        <v>2</v>
      </c>
      <c r="V1446">
        <v>3</v>
      </c>
      <c r="W1446">
        <f>IF(nba_draft[[#This Row],[years_played]]&gt;5,1,0)</f>
        <v>0</v>
      </c>
    </row>
    <row r="1447" spans="1:23" x14ac:dyDescent="0.25">
      <c r="A1447">
        <v>59</v>
      </c>
      <c r="B1447" t="s">
        <v>82</v>
      </c>
      <c r="C1447" t="s">
        <v>1054</v>
      </c>
      <c r="D1447" t="s">
        <v>97</v>
      </c>
      <c r="E1447">
        <v>1</v>
      </c>
      <c r="F1447">
        <v>30</v>
      </c>
      <c r="G1447">
        <v>170</v>
      </c>
      <c r="H1447">
        <v>51</v>
      </c>
      <c r="I1447">
        <v>31</v>
      </c>
      <c r="J1447">
        <v>6</v>
      </c>
      <c r="K1447">
        <v>0.36499999999999999</v>
      </c>
      <c r="L1447">
        <v>0.375</v>
      </c>
      <c r="M1447">
        <v>0.63600000000000001</v>
      </c>
      <c r="N1447">
        <v>-0.2</v>
      </c>
      <c r="O1447">
        <v>-7.0000000000000007E-2</v>
      </c>
      <c r="P1447">
        <v>2006</v>
      </c>
      <c r="Q1447">
        <v>5.7</v>
      </c>
      <c r="R1447">
        <v>1.7</v>
      </c>
      <c r="S1447">
        <v>1</v>
      </c>
      <c r="T1447">
        <v>0.2</v>
      </c>
      <c r="U1447">
        <v>2</v>
      </c>
      <c r="V1447">
        <v>29</v>
      </c>
      <c r="W1447">
        <f>IF(nba_draft[[#This Row],[years_played]]&gt;5,1,0)</f>
        <v>0</v>
      </c>
    </row>
    <row r="1448" spans="1:23" x14ac:dyDescent="0.25">
      <c r="A1448">
        <v>53</v>
      </c>
      <c r="B1448" t="s">
        <v>25</v>
      </c>
      <c r="C1448" t="s">
        <v>1822</v>
      </c>
      <c r="D1448" t="s">
        <v>148</v>
      </c>
      <c r="E1448">
        <v>2</v>
      </c>
      <c r="F1448">
        <v>26</v>
      </c>
      <c r="G1448">
        <v>121</v>
      </c>
      <c r="H1448">
        <v>51</v>
      </c>
      <c r="I1448">
        <v>9</v>
      </c>
      <c r="J1448">
        <v>16</v>
      </c>
      <c r="K1448">
        <v>0.436</v>
      </c>
      <c r="L1448">
        <v>0.45500000000000002</v>
      </c>
      <c r="M1448">
        <v>0.875</v>
      </c>
      <c r="N1448">
        <v>0.2</v>
      </c>
      <c r="O1448">
        <v>8.4000000000000005E-2</v>
      </c>
      <c r="P1448">
        <v>2020</v>
      </c>
      <c r="Q1448">
        <v>4.7</v>
      </c>
      <c r="R1448">
        <v>2</v>
      </c>
      <c r="S1448">
        <v>0.3</v>
      </c>
      <c r="T1448">
        <v>0.6</v>
      </c>
      <c r="U1448">
        <v>2</v>
      </c>
      <c r="V1448">
        <v>23</v>
      </c>
      <c r="W1448">
        <f>IF(nba_draft[[#This Row],[years_played]]&gt;5,1,0)</f>
        <v>0</v>
      </c>
    </row>
    <row r="1449" spans="1:23" x14ac:dyDescent="0.25">
      <c r="A1449">
        <v>43</v>
      </c>
      <c r="B1449" t="s">
        <v>34</v>
      </c>
      <c r="C1449" t="s">
        <v>1046</v>
      </c>
      <c r="D1449" t="s">
        <v>97</v>
      </c>
      <c r="E1449">
        <v>2</v>
      </c>
      <c r="F1449">
        <v>26</v>
      </c>
      <c r="G1449">
        <v>172</v>
      </c>
      <c r="H1449">
        <v>50</v>
      </c>
      <c r="I1449">
        <v>19</v>
      </c>
      <c r="J1449">
        <v>7</v>
      </c>
      <c r="K1449">
        <v>0.45700000000000002</v>
      </c>
      <c r="L1449">
        <v>0.42099999999999999</v>
      </c>
      <c r="M1449">
        <v>0.55600000000000005</v>
      </c>
      <c r="N1449">
        <v>0.2</v>
      </c>
      <c r="O1449">
        <v>5.6000000000000001E-2</v>
      </c>
      <c r="P1449">
        <v>2006</v>
      </c>
      <c r="Q1449">
        <v>6.6</v>
      </c>
      <c r="R1449">
        <v>1.9</v>
      </c>
      <c r="S1449">
        <v>0.7</v>
      </c>
      <c r="T1449">
        <v>0.3</v>
      </c>
      <c r="U1449">
        <v>2</v>
      </c>
      <c r="V1449">
        <v>13</v>
      </c>
      <c r="W1449">
        <f>IF(nba_draft[[#This Row],[years_played]]&gt;5,1,0)</f>
        <v>0</v>
      </c>
    </row>
    <row r="1450" spans="1:23" x14ac:dyDescent="0.25">
      <c r="A1450">
        <v>32</v>
      </c>
      <c r="B1450" t="s">
        <v>28</v>
      </c>
      <c r="C1450" t="s">
        <v>540</v>
      </c>
      <c r="D1450" t="s">
        <v>314</v>
      </c>
      <c r="E1450">
        <v>2</v>
      </c>
      <c r="F1450">
        <v>19</v>
      </c>
      <c r="G1450">
        <v>92</v>
      </c>
      <c r="H1450">
        <v>49</v>
      </c>
      <c r="I1450">
        <v>16</v>
      </c>
      <c r="J1450">
        <v>0</v>
      </c>
      <c r="K1450">
        <v>0.35899999999999999</v>
      </c>
      <c r="L1450">
        <v>0</v>
      </c>
      <c r="M1450">
        <v>0.77800000000000002</v>
      </c>
      <c r="N1450">
        <v>0</v>
      </c>
      <c r="O1450">
        <v>8.0000000000000002E-3</v>
      </c>
      <c r="P1450">
        <v>1997</v>
      </c>
      <c r="Q1450">
        <v>4.8</v>
      </c>
      <c r="R1450">
        <v>2.6</v>
      </c>
      <c r="S1450">
        <v>0.8</v>
      </c>
      <c r="T1450">
        <v>0</v>
      </c>
      <c r="U1450">
        <v>2</v>
      </c>
      <c r="V1450">
        <v>4</v>
      </c>
      <c r="W1450">
        <f>IF(nba_draft[[#This Row],[years_played]]&gt;5,1,0)</f>
        <v>0</v>
      </c>
    </row>
    <row r="1451" spans="1:23" x14ac:dyDescent="0.25">
      <c r="A1451">
        <v>51</v>
      </c>
      <c r="B1451" t="s">
        <v>104</v>
      </c>
      <c r="C1451" t="s">
        <v>994</v>
      </c>
      <c r="D1451" t="s">
        <v>995</v>
      </c>
      <c r="E1451">
        <v>1</v>
      </c>
      <c r="F1451">
        <v>23</v>
      </c>
      <c r="G1451">
        <v>212</v>
      </c>
      <c r="H1451">
        <v>49</v>
      </c>
      <c r="I1451">
        <v>43</v>
      </c>
      <c r="J1451">
        <v>17</v>
      </c>
      <c r="K1451">
        <v>0.40400000000000003</v>
      </c>
      <c r="L1451">
        <v>0</v>
      </c>
      <c r="M1451">
        <v>0.5</v>
      </c>
      <c r="N1451">
        <v>0</v>
      </c>
      <c r="O1451">
        <v>4.0000000000000001E-3</v>
      </c>
      <c r="P1451">
        <v>2005</v>
      </c>
      <c r="Q1451">
        <v>9.1999999999999993</v>
      </c>
      <c r="R1451">
        <v>2.1</v>
      </c>
      <c r="S1451">
        <v>1.9</v>
      </c>
      <c r="T1451">
        <v>0.7</v>
      </c>
      <c r="U1451">
        <v>2</v>
      </c>
      <c r="V1451">
        <v>21</v>
      </c>
      <c r="W1451">
        <f>IF(nba_draft[[#This Row],[years_played]]&gt;5,1,0)</f>
        <v>0</v>
      </c>
    </row>
    <row r="1452" spans="1:23" x14ac:dyDescent="0.25">
      <c r="A1452">
        <v>37</v>
      </c>
      <c r="B1452" t="s">
        <v>88</v>
      </c>
      <c r="C1452" t="s">
        <v>1867</v>
      </c>
      <c r="D1452" t="s">
        <v>362</v>
      </c>
      <c r="E1452">
        <v>1</v>
      </c>
      <c r="F1452">
        <v>19</v>
      </c>
      <c r="G1452">
        <v>171</v>
      </c>
      <c r="H1452">
        <v>49</v>
      </c>
      <c r="I1452">
        <v>27</v>
      </c>
      <c r="J1452">
        <v>13</v>
      </c>
      <c r="K1452">
        <v>0.40500000000000003</v>
      </c>
      <c r="L1452">
        <v>0.29199999999999998</v>
      </c>
      <c r="M1452">
        <v>0.66700000000000004</v>
      </c>
      <c r="N1452">
        <v>0.3</v>
      </c>
      <c r="O1452">
        <v>7.1999999999999995E-2</v>
      </c>
      <c r="P1452">
        <v>2021</v>
      </c>
      <c r="Q1452">
        <v>9</v>
      </c>
      <c r="R1452">
        <v>2.6</v>
      </c>
      <c r="S1452">
        <v>1.4</v>
      </c>
      <c r="T1452">
        <v>0.7</v>
      </c>
      <c r="U1452">
        <v>2</v>
      </c>
      <c r="V1452">
        <v>7</v>
      </c>
      <c r="W1452">
        <f>IF(nba_draft[[#This Row],[years_played]]&gt;5,1,0)</f>
        <v>0</v>
      </c>
    </row>
    <row r="1453" spans="1:23" x14ac:dyDescent="0.25">
      <c r="A1453">
        <v>38</v>
      </c>
      <c r="B1453" t="s">
        <v>49</v>
      </c>
      <c r="C1453" t="s">
        <v>262</v>
      </c>
      <c r="D1453" t="s">
        <v>218</v>
      </c>
      <c r="E1453">
        <v>3</v>
      </c>
      <c r="F1453">
        <v>21</v>
      </c>
      <c r="G1453">
        <v>159</v>
      </c>
      <c r="H1453">
        <v>48</v>
      </c>
      <c r="I1453">
        <v>10</v>
      </c>
      <c r="J1453">
        <v>22</v>
      </c>
      <c r="K1453">
        <v>0.34</v>
      </c>
      <c r="L1453">
        <v>0.27300000000000002</v>
      </c>
      <c r="M1453">
        <v>0.72199999999999998</v>
      </c>
      <c r="N1453">
        <v>-0.3</v>
      </c>
      <c r="O1453">
        <v>-9.5000000000000001E-2</v>
      </c>
      <c r="P1453">
        <v>1992</v>
      </c>
      <c r="Q1453">
        <v>7.6</v>
      </c>
      <c r="R1453">
        <v>2.2999999999999998</v>
      </c>
      <c r="S1453">
        <v>0.5</v>
      </c>
      <c r="T1453">
        <v>1</v>
      </c>
      <c r="U1453">
        <v>2</v>
      </c>
      <c r="V1453">
        <v>11</v>
      </c>
      <c r="W1453">
        <f>IF(nba_draft[[#This Row],[years_played]]&gt;5,1,0)</f>
        <v>0</v>
      </c>
    </row>
    <row r="1454" spans="1:23" x14ac:dyDescent="0.25">
      <c r="A1454">
        <v>45</v>
      </c>
      <c r="B1454" t="s">
        <v>70</v>
      </c>
      <c r="C1454" t="s">
        <v>1582</v>
      </c>
      <c r="D1454" t="s">
        <v>218</v>
      </c>
      <c r="E1454">
        <v>3</v>
      </c>
      <c r="F1454">
        <v>26</v>
      </c>
      <c r="G1454">
        <v>136</v>
      </c>
      <c r="H1454">
        <v>48</v>
      </c>
      <c r="I1454">
        <v>19</v>
      </c>
      <c r="J1454">
        <v>17</v>
      </c>
      <c r="K1454">
        <v>0.48599999999999999</v>
      </c>
      <c r="L1454">
        <v>0.28599999999999998</v>
      </c>
      <c r="M1454">
        <v>0.66700000000000004</v>
      </c>
      <c r="N1454">
        <v>0.2</v>
      </c>
      <c r="O1454">
        <v>8.6999999999999994E-2</v>
      </c>
      <c r="P1454">
        <v>2016</v>
      </c>
      <c r="Q1454">
        <v>5.2</v>
      </c>
      <c r="R1454">
        <v>1.8</v>
      </c>
      <c r="S1454">
        <v>0.7</v>
      </c>
      <c r="T1454">
        <v>0.7</v>
      </c>
      <c r="U1454">
        <v>2</v>
      </c>
      <c r="V1454">
        <v>15</v>
      </c>
      <c r="W1454">
        <f>IF(nba_draft[[#This Row],[years_played]]&gt;5,1,0)</f>
        <v>0</v>
      </c>
    </row>
    <row r="1455" spans="1:23" x14ac:dyDescent="0.25">
      <c r="A1455">
        <v>46</v>
      </c>
      <c r="B1455" t="s">
        <v>149</v>
      </c>
      <c r="C1455" t="s">
        <v>1583</v>
      </c>
      <c r="D1455" t="s">
        <v>119</v>
      </c>
      <c r="E1455">
        <v>1</v>
      </c>
      <c r="F1455">
        <v>22</v>
      </c>
      <c r="G1455">
        <v>163</v>
      </c>
      <c r="H1455">
        <v>48</v>
      </c>
      <c r="I1455">
        <v>36</v>
      </c>
      <c r="J1455">
        <v>4</v>
      </c>
      <c r="K1455">
        <v>0.40500000000000003</v>
      </c>
      <c r="L1455">
        <v>0.5</v>
      </c>
      <c r="M1455">
        <v>0.45</v>
      </c>
      <c r="N1455">
        <v>0</v>
      </c>
      <c r="O1455">
        <v>-1E-3</v>
      </c>
      <c r="P1455">
        <v>2016</v>
      </c>
      <c r="Q1455">
        <v>7.4</v>
      </c>
      <c r="R1455">
        <v>2.2000000000000002</v>
      </c>
      <c r="S1455">
        <v>1.6</v>
      </c>
      <c r="T1455">
        <v>0.2</v>
      </c>
      <c r="U1455">
        <v>2</v>
      </c>
      <c r="V1455">
        <v>16</v>
      </c>
      <c r="W1455">
        <f>IF(nba_draft[[#This Row],[years_played]]&gt;5,1,0)</f>
        <v>0</v>
      </c>
    </row>
    <row r="1456" spans="1:23" x14ac:dyDescent="0.25">
      <c r="A1456">
        <v>16</v>
      </c>
      <c r="B1456" t="s">
        <v>75</v>
      </c>
      <c r="C1456" t="s">
        <v>1667</v>
      </c>
      <c r="D1456" t="s">
        <v>439</v>
      </c>
      <c r="E1456">
        <v>2</v>
      </c>
      <c r="F1456">
        <v>13</v>
      </c>
      <c r="G1456">
        <v>143</v>
      </c>
      <c r="H1456">
        <v>48</v>
      </c>
      <c r="I1456">
        <v>15</v>
      </c>
      <c r="J1456">
        <v>12</v>
      </c>
      <c r="K1456">
        <v>0.378</v>
      </c>
      <c r="L1456">
        <v>0.316</v>
      </c>
      <c r="M1456">
        <v>0.66700000000000004</v>
      </c>
      <c r="N1456">
        <v>0</v>
      </c>
      <c r="O1456">
        <v>1.0999999999999999E-2</v>
      </c>
      <c r="P1456">
        <v>2018</v>
      </c>
      <c r="Q1456">
        <v>11</v>
      </c>
      <c r="R1456">
        <v>3.7</v>
      </c>
      <c r="S1456">
        <v>1.2</v>
      </c>
      <c r="T1456">
        <v>0.9</v>
      </c>
      <c r="U1456">
        <v>1</v>
      </c>
      <c r="V1456">
        <v>16</v>
      </c>
      <c r="W1456">
        <f>IF(nba_draft[[#This Row],[years_played]]&gt;5,1,0)</f>
        <v>0</v>
      </c>
    </row>
    <row r="1457" spans="1:23" x14ac:dyDescent="0.25">
      <c r="A1457">
        <v>42</v>
      </c>
      <c r="B1457" t="s">
        <v>52</v>
      </c>
      <c r="C1457" t="s">
        <v>986</v>
      </c>
      <c r="D1457" t="s">
        <v>272</v>
      </c>
      <c r="E1457">
        <v>1</v>
      </c>
      <c r="F1457">
        <v>17</v>
      </c>
      <c r="G1457">
        <v>144</v>
      </c>
      <c r="H1457">
        <v>47</v>
      </c>
      <c r="I1457">
        <v>36</v>
      </c>
      <c r="J1457">
        <v>2</v>
      </c>
      <c r="K1457">
        <v>0.60499999999999998</v>
      </c>
      <c r="L1457">
        <v>0</v>
      </c>
      <c r="M1457">
        <v>0.16700000000000001</v>
      </c>
      <c r="N1457">
        <v>0.5</v>
      </c>
      <c r="O1457">
        <v>0.155</v>
      </c>
      <c r="P1457">
        <v>2005</v>
      </c>
      <c r="Q1457">
        <v>8.5</v>
      </c>
      <c r="R1457">
        <v>2.8</v>
      </c>
      <c r="S1457">
        <v>2.1</v>
      </c>
      <c r="T1457">
        <v>0.1</v>
      </c>
      <c r="U1457">
        <v>2</v>
      </c>
      <c r="V1457">
        <v>12</v>
      </c>
      <c r="W1457">
        <f>IF(nba_draft[[#This Row],[years_played]]&gt;5,1,0)</f>
        <v>0</v>
      </c>
    </row>
    <row r="1458" spans="1:23" x14ac:dyDescent="0.25">
      <c r="A1458">
        <v>25</v>
      </c>
      <c r="B1458" t="s">
        <v>43</v>
      </c>
      <c r="C1458" t="s">
        <v>1565</v>
      </c>
      <c r="D1458" t="s">
        <v>179</v>
      </c>
      <c r="E1458">
        <v>2</v>
      </c>
      <c r="F1458">
        <v>21</v>
      </c>
      <c r="G1458">
        <v>107</v>
      </c>
      <c r="H1458">
        <v>47</v>
      </c>
      <c r="I1458">
        <v>34</v>
      </c>
      <c r="J1458">
        <v>3</v>
      </c>
      <c r="K1458">
        <v>0.44900000000000001</v>
      </c>
      <c r="L1458">
        <v>0</v>
      </c>
      <c r="M1458">
        <v>0.6</v>
      </c>
      <c r="N1458">
        <v>0.1</v>
      </c>
      <c r="O1458">
        <v>6.2E-2</v>
      </c>
      <c r="P1458">
        <v>2016</v>
      </c>
      <c r="Q1458">
        <v>5.0999999999999996</v>
      </c>
      <c r="R1458">
        <v>2.2000000000000002</v>
      </c>
      <c r="S1458">
        <v>1.6</v>
      </c>
      <c r="T1458">
        <v>0.1</v>
      </c>
      <c r="U1458">
        <v>1</v>
      </c>
      <c r="V1458">
        <v>25</v>
      </c>
      <c r="W1458">
        <f>IF(nba_draft[[#This Row],[years_played]]&gt;5,1,0)</f>
        <v>0</v>
      </c>
    </row>
    <row r="1459" spans="1:23" x14ac:dyDescent="0.25">
      <c r="A1459">
        <v>57</v>
      </c>
      <c r="B1459" t="s">
        <v>104</v>
      </c>
      <c r="C1459" t="s">
        <v>627</v>
      </c>
      <c r="D1459" t="s">
        <v>54</v>
      </c>
      <c r="E1459">
        <v>2</v>
      </c>
      <c r="F1459">
        <v>22</v>
      </c>
      <c r="G1459">
        <v>178</v>
      </c>
      <c r="H1459">
        <v>46</v>
      </c>
      <c r="I1459">
        <v>51</v>
      </c>
      <c r="J1459">
        <v>7</v>
      </c>
      <c r="K1459">
        <v>0.47499999999999998</v>
      </c>
      <c r="L1459">
        <v>0</v>
      </c>
      <c r="M1459">
        <v>0.66700000000000004</v>
      </c>
      <c r="N1459">
        <v>0.3</v>
      </c>
      <c r="O1459">
        <v>7.0999999999999994E-2</v>
      </c>
      <c r="P1459">
        <v>1998</v>
      </c>
      <c r="Q1459">
        <v>8.1</v>
      </c>
      <c r="R1459">
        <v>2.1</v>
      </c>
      <c r="S1459">
        <v>2.2999999999999998</v>
      </c>
      <c r="T1459">
        <v>0.3</v>
      </c>
      <c r="U1459">
        <v>2</v>
      </c>
      <c r="V1459">
        <v>28</v>
      </c>
      <c r="W1459">
        <f>IF(nba_draft[[#This Row],[years_played]]&gt;5,1,0)</f>
        <v>0</v>
      </c>
    </row>
    <row r="1460" spans="1:23" x14ac:dyDescent="0.25">
      <c r="A1460">
        <v>52</v>
      </c>
      <c r="B1460" t="s">
        <v>88</v>
      </c>
      <c r="C1460" t="s">
        <v>1323</v>
      </c>
      <c r="D1460" t="s">
        <v>84</v>
      </c>
      <c r="E1460">
        <v>1</v>
      </c>
      <c r="F1460">
        <v>23</v>
      </c>
      <c r="G1460">
        <v>135</v>
      </c>
      <c r="H1460">
        <v>46</v>
      </c>
      <c r="I1460">
        <v>34</v>
      </c>
      <c r="J1460">
        <v>5</v>
      </c>
      <c r="K1460">
        <v>0.54300000000000004</v>
      </c>
      <c r="L1460">
        <v>0</v>
      </c>
      <c r="M1460">
        <v>0.57099999999999995</v>
      </c>
      <c r="N1460">
        <v>0.5</v>
      </c>
      <c r="O1460">
        <v>0.161</v>
      </c>
      <c r="P1460">
        <v>2011</v>
      </c>
      <c r="Q1460">
        <v>5.9</v>
      </c>
      <c r="R1460">
        <v>2</v>
      </c>
      <c r="S1460">
        <v>1.5</v>
      </c>
      <c r="T1460">
        <v>0.2</v>
      </c>
      <c r="U1460">
        <v>2</v>
      </c>
      <c r="V1460">
        <v>22</v>
      </c>
      <c r="W1460">
        <f>IF(nba_draft[[#This Row],[years_played]]&gt;5,1,0)</f>
        <v>0</v>
      </c>
    </row>
    <row r="1461" spans="1:23" x14ac:dyDescent="0.25">
      <c r="A1461">
        <v>54</v>
      </c>
      <c r="B1461" t="s">
        <v>65</v>
      </c>
      <c r="C1461" t="s">
        <v>997</v>
      </c>
      <c r="D1461" t="s">
        <v>113</v>
      </c>
      <c r="E1461">
        <v>2</v>
      </c>
      <c r="F1461">
        <v>16</v>
      </c>
      <c r="G1461">
        <v>93</v>
      </c>
      <c r="H1461">
        <v>45</v>
      </c>
      <c r="I1461">
        <v>19</v>
      </c>
      <c r="J1461">
        <v>3</v>
      </c>
      <c r="K1461">
        <v>0.42499999999999999</v>
      </c>
      <c r="L1461">
        <v>0.308</v>
      </c>
      <c r="M1461">
        <v>0.875</v>
      </c>
      <c r="N1461">
        <v>0.2</v>
      </c>
      <c r="O1461">
        <v>0.10199999999999999</v>
      </c>
      <c r="P1461">
        <v>2005</v>
      </c>
      <c r="Q1461">
        <v>5.8</v>
      </c>
      <c r="R1461">
        <v>2.8</v>
      </c>
      <c r="S1461">
        <v>1.2</v>
      </c>
      <c r="T1461">
        <v>0.2</v>
      </c>
      <c r="U1461">
        <v>2</v>
      </c>
      <c r="V1461">
        <v>24</v>
      </c>
      <c r="W1461">
        <f>IF(nba_draft[[#This Row],[years_played]]&gt;5,1,0)</f>
        <v>0</v>
      </c>
    </row>
    <row r="1462" spans="1:23" x14ac:dyDescent="0.25">
      <c r="A1462">
        <v>32</v>
      </c>
      <c r="B1462" t="s">
        <v>138</v>
      </c>
      <c r="C1462" t="s">
        <v>1302</v>
      </c>
      <c r="D1462" t="s">
        <v>1303</v>
      </c>
      <c r="E1462">
        <v>3</v>
      </c>
      <c r="F1462">
        <v>22</v>
      </c>
      <c r="G1462">
        <v>150</v>
      </c>
      <c r="H1462">
        <v>45</v>
      </c>
      <c r="I1462">
        <v>18</v>
      </c>
      <c r="J1462">
        <v>4</v>
      </c>
      <c r="K1462">
        <v>0.34</v>
      </c>
      <c r="L1462">
        <v>0.27600000000000002</v>
      </c>
      <c r="M1462">
        <v>0.33300000000000002</v>
      </c>
      <c r="N1462">
        <v>-0.3</v>
      </c>
      <c r="O1462">
        <v>-9.2999999999999999E-2</v>
      </c>
      <c r="P1462">
        <v>2011</v>
      </c>
      <c r="Q1462">
        <v>6.8</v>
      </c>
      <c r="R1462">
        <v>2</v>
      </c>
      <c r="S1462">
        <v>0.8</v>
      </c>
      <c r="T1462">
        <v>0.2</v>
      </c>
      <c r="U1462">
        <v>2</v>
      </c>
      <c r="V1462">
        <v>2</v>
      </c>
      <c r="W1462">
        <f>IF(nba_draft[[#This Row],[years_played]]&gt;5,1,0)</f>
        <v>0</v>
      </c>
    </row>
    <row r="1463" spans="1:23" x14ac:dyDescent="0.25">
      <c r="A1463">
        <v>21</v>
      </c>
      <c r="B1463" t="s">
        <v>65</v>
      </c>
      <c r="C1463" t="s">
        <v>474</v>
      </c>
      <c r="D1463" t="s">
        <v>461</v>
      </c>
      <c r="E1463">
        <v>1</v>
      </c>
      <c r="F1463">
        <v>15</v>
      </c>
      <c r="G1463">
        <v>91</v>
      </c>
      <c r="H1463">
        <v>44</v>
      </c>
      <c r="I1463">
        <v>9</v>
      </c>
      <c r="J1463">
        <v>5</v>
      </c>
      <c r="K1463">
        <v>0.33300000000000002</v>
      </c>
      <c r="L1463">
        <v>0.26100000000000001</v>
      </c>
      <c r="M1463">
        <v>0</v>
      </c>
      <c r="N1463">
        <v>-0.3</v>
      </c>
      <c r="O1463">
        <v>-0.17499999999999999</v>
      </c>
      <c r="P1463">
        <v>1996</v>
      </c>
      <c r="Q1463">
        <v>6.1</v>
      </c>
      <c r="R1463">
        <v>2.9</v>
      </c>
      <c r="S1463">
        <v>0.6</v>
      </c>
      <c r="T1463">
        <v>0.3</v>
      </c>
      <c r="U1463">
        <v>1</v>
      </c>
      <c r="V1463">
        <v>21</v>
      </c>
      <c r="W1463">
        <f>IF(nba_draft[[#This Row],[years_played]]&gt;5,1,0)</f>
        <v>0</v>
      </c>
    </row>
    <row r="1464" spans="1:23" x14ac:dyDescent="0.25">
      <c r="A1464">
        <v>49</v>
      </c>
      <c r="B1464" t="s">
        <v>95</v>
      </c>
      <c r="C1464" t="s">
        <v>1490</v>
      </c>
      <c r="D1464" t="s">
        <v>153</v>
      </c>
      <c r="E1464">
        <v>2</v>
      </c>
      <c r="F1464">
        <v>36</v>
      </c>
      <c r="G1464">
        <v>167</v>
      </c>
      <c r="H1464">
        <v>44</v>
      </c>
      <c r="I1464">
        <v>36</v>
      </c>
      <c r="J1464">
        <v>7</v>
      </c>
      <c r="K1464">
        <v>0.29599999999999999</v>
      </c>
      <c r="L1464">
        <v>0.2</v>
      </c>
      <c r="M1464">
        <v>0.84599999999999997</v>
      </c>
      <c r="N1464">
        <v>-0.1</v>
      </c>
      <c r="O1464">
        <v>-2.1000000000000001E-2</v>
      </c>
      <c r="P1464">
        <v>2014</v>
      </c>
      <c r="Q1464">
        <v>4.5999999999999996</v>
      </c>
      <c r="R1464">
        <v>1.2</v>
      </c>
      <c r="S1464">
        <v>1</v>
      </c>
      <c r="T1464">
        <v>0.2</v>
      </c>
      <c r="U1464">
        <v>2</v>
      </c>
      <c r="V1464">
        <v>19</v>
      </c>
      <c r="W1464">
        <f>IF(nba_draft[[#This Row],[years_played]]&gt;5,1,0)</f>
        <v>0</v>
      </c>
    </row>
    <row r="1465" spans="1:23" x14ac:dyDescent="0.25">
      <c r="A1465">
        <v>37</v>
      </c>
      <c r="B1465" t="s">
        <v>149</v>
      </c>
      <c r="C1465" t="s">
        <v>1749</v>
      </c>
      <c r="D1465" t="s">
        <v>97</v>
      </c>
      <c r="E1465">
        <v>2</v>
      </c>
      <c r="F1465">
        <v>23</v>
      </c>
      <c r="G1465">
        <v>160</v>
      </c>
      <c r="H1465">
        <v>44</v>
      </c>
      <c r="I1465">
        <v>35</v>
      </c>
      <c r="J1465">
        <v>6</v>
      </c>
      <c r="K1465">
        <v>0.3</v>
      </c>
      <c r="L1465">
        <v>0.314</v>
      </c>
      <c r="M1465">
        <v>0.5</v>
      </c>
      <c r="N1465">
        <v>-0.1</v>
      </c>
      <c r="O1465">
        <v>-3.3000000000000002E-2</v>
      </c>
      <c r="P1465">
        <v>2019</v>
      </c>
      <c r="Q1465">
        <v>7</v>
      </c>
      <c r="R1465">
        <v>1.9</v>
      </c>
      <c r="S1465">
        <v>1.5</v>
      </c>
      <c r="T1465">
        <v>0.3</v>
      </c>
      <c r="U1465">
        <v>2</v>
      </c>
      <c r="V1465">
        <v>7</v>
      </c>
      <c r="W1465">
        <f>IF(nba_draft[[#This Row],[years_played]]&gt;5,1,0)</f>
        <v>0</v>
      </c>
    </row>
    <row r="1466" spans="1:23" x14ac:dyDescent="0.25">
      <c r="A1466">
        <v>50</v>
      </c>
      <c r="B1466" t="s">
        <v>85</v>
      </c>
      <c r="C1466" t="s">
        <v>786</v>
      </c>
      <c r="D1466" t="s">
        <v>146</v>
      </c>
      <c r="E1466">
        <v>3</v>
      </c>
      <c r="F1466">
        <v>44</v>
      </c>
      <c r="G1466">
        <v>276</v>
      </c>
      <c r="H1466">
        <v>43</v>
      </c>
      <c r="I1466">
        <v>57</v>
      </c>
      <c r="J1466">
        <v>6</v>
      </c>
      <c r="K1466">
        <v>0.36799999999999999</v>
      </c>
      <c r="L1466">
        <v>0</v>
      </c>
      <c r="M1466">
        <v>0.55600000000000005</v>
      </c>
      <c r="N1466">
        <v>0.2</v>
      </c>
      <c r="O1466">
        <v>2.7E-2</v>
      </c>
      <c r="P1466">
        <v>2001</v>
      </c>
      <c r="Q1466">
        <v>6.3</v>
      </c>
      <c r="R1466">
        <v>1</v>
      </c>
      <c r="S1466">
        <v>1.3</v>
      </c>
      <c r="T1466">
        <v>0.1</v>
      </c>
      <c r="U1466">
        <v>2</v>
      </c>
      <c r="V1466">
        <v>21</v>
      </c>
      <c r="W1466">
        <f>IF(nba_draft[[#This Row],[years_played]]&gt;5,1,0)</f>
        <v>0</v>
      </c>
    </row>
    <row r="1467" spans="1:23" x14ac:dyDescent="0.25">
      <c r="A1467">
        <v>35</v>
      </c>
      <c r="B1467" t="s">
        <v>102</v>
      </c>
      <c r="C1467" t="s">
        <v>1421</v>
      </c>
      <c r="D1467" t="s">
        <v>33</v>
      </c>
      <c r="E1467">
        <v>2</v>
      </c>
      <c r="F1467">
        <v>16</v>
      </c>
      <c r="G1467">
        <v>152</v>
      </c>
      <c r="H1467">
        <v>43</v>
      </c>
      <c r="I1467">
        <v>24</v>
      </c>
      <c r="J1467">
        <v>9</v>
      </c>
      <c r="K1467">
        <v>0.26900000000000002</v>
      </c>
      <c r="L1467">
        <v>0.25</v>
      </c>
      <c r="M1467">
        <v>0.69199999999999995</v>
      </c>
      <c r="N1467">
        <v>-0.2</v>
      </c>
      <c r="O1467">
        <v>-6.5000000000000002E-2</v>
      </c>
      <c r="P1467">
        <v>2013</v>
      </c>
      <c r="Q1467">
        <v>9.5</v>
      </c>
      <c r="R1467">
        <v>2.7</v>
      </c>
      <c r="S1467">
        <v>1.5</v>
      </c>
      <c r="T1467">
        <v>0.6</v>
      </c>
      <c r="U1467">
        <v>2</v>
      </c>
      <c r="V1467">
        <v>5</v>
      </c>
      <c r="W1467">
        <f>IF(nba_draft[[#This Row],[years_played]]&gt;5,1,0)</f>
        <v>0</v>
      </c>
    </row>
    <row r="1468" spans="1:23" x14ac:dyDescent="0.25">
      <c r="A1468">
        <v>41</v>
      </c>
      <c r="B1468" t="s">
        <v>31</v>
      </c>
      <c r="C1468" t="s">
        <v>1044</v>
      </c>
      <c r="D1468" t="s">
        <v>36</v>
      </c>
      <c r="E1468">
        <v>2</v>
      </c>
      <c r="F1468">
        <v>27</v>
      </c>
      <c r="G1468">
        <v>156</v>
      </c>
      <c r="H1468">
        <v>42</v>
      </c>
      <c r="I1468">
        <v>33</v>
      </c>
      <c r="J1468">
        <v>4</v>
      </c>
      <c r="K1468">
        <v>0.51400000000000001</v>
      </c>
      <c r="L1468">
        <v>0</v>
      </c>
      <c r="M1468">
        <v>0.5</v>
      </c>
      <c r="N1468">
        <v>0.3</v>
      </c>
      <c r="O1468">
        <v>0.10100000000000001</v>
      </c>
      <c r="P1468">
        <v>2006</v>
      </c>
      <c r="Q1468">
        <v>5.8</v>
      </c>
      <c r="R1468">
        <v>1.6</v>
      </c>
      <c r="S1468">
        <v>1.2</v>
      </c>
      <c r="T1468">
        <v>0.1</v>
      </c>
      <c r="U1468">
        <v>2</v>
      </c>
      <c r="V1468">
        <v>11</v>
      </c>
      <c r="W1468">
        <f>IF(nba_draft[[#This Row],[years_played]]&gt;5,1,0)</f>
        <v>0</v>
      </c>
    </row>
    <row r="1469" spans="1:23" x14ac:dyDescent="0.25">
      <c r="A1469">
        <v>41</v>
      </c>
      <c r="B1469" t="s">
        <v>393</v>
      </c>
      <c r="C1469" t="s">
        <v>1429</v>
      </c>
      <c r="D1469" t="s">
        <v>842</v>
      </c>
      <c r="E1469">
        <v>2</v>
      </c>
      <c r="F1469">
        <v>24</v>
      </c>
      <c r="G1469">
        <v>174</v>
      </c>
      <c r="H1469">
        <v>42</v>
      </c>
      <c r="I1469">
        <v>25</v>
      </c>
      <c r="J1469">
        <v>9</v>
      </c>
      <c r="K1469">
        <v>0.41499999999999998</v>
      </c>
      <c r="L1469">
        <v>0.46200000000000002</v>
      </c>
      <c r="M1469">
        <v>1</v>
      </c>
      <c r="N1469">
        <v>0</v>
      </c>
      <c r="O1469">
        <v>-6.0000000000000001E-3</v>
      </c>
      <c r="P1469">
        <v>2013</v>
      </c>
      <c r="Q1469">
        <v>7.3</v>
      </c>
      <c r="R1469">
        <v>1.8</v>
      </c>
      <c r="S1469">
        <v>1</v>
      </c>
      <c r="T1469">
        <v>0.4</v>
      </c>
      <c r="U1469">
        <v>2</v>
      </c>
      <c r="V1469">
        <v>11</v>
      </c>
      <c r="W1469">
        <f>IF(nba_draft[[#This Row],[years_played]]&gt;5,1,0)</f>
        <v>0</v>
      </c>
    </row>
    <row r="1470" spans="1:23" x14ac:dyDescent="0.25">
      <c r="A1470">
        <v>40</v>
      </c>
      <c r="B1470" t="s">
        <v>52</v>
      </c>
      <c r="C1470" t="s">
        <v>433</v>
      </c>
      <c r="D1470" t="s">
        <v>291</v>
      </c>
      <c r="E1470">
        <v>1</v>
      </c>
      <c r="F1470">
        <v>8</v>
      </c>
      <c r="G1470">
        <v>122</v>
      </c>
      <c r="H1470">
        <v>40</v>
      </c>
      <c r="I1470">
        <v>25</v>
      </c>
      <c r="J1470">
        <v>2</v>
      </c>
      <c r="K1470">
        <v>0.433</v>
      </c>
      <c r="L1470">
        <v>0</v>
      </c>
      <c r="M1470">
        <v>0.63600000000000001</v>
      </c>
      <c r="N1470">
        <v>0</v>
      </c>
      <c r="O1470">
        <v>0.01</v>
      </c>
      <c r="P1470">
        <v>1995</v>
      </c>
      <c r="Q1470">
        <v>15.3</v>
      </c>
      <c r="R1470">
        <v>5</v>
      </c>
      <c r="S1470">
        <v>3.1</v>
      </c>
      <c r="T1470">
        <v>0.3</v>
      </c>
      <c r="U1470">
        <v>2</v>
      </c>
      <c r="V1470">
        <v>11</v>
      </c>
      <c r="W1470">
        <f>IF(nba_draft[[#This Row],[years_played]]&gt;5,1,0)</f>
        <v>0</v>
      </c>
    </row>
    <row r="1471" spans="1:23" x14ac:dyDescent="0.25">
      <c r="A1471">
        <v>35</v>
      </c>
      <c r="B1471" t="s">
        <v>102</v>
      </c>
      <c r="C1471" t="s">
        <v>544</v>
      </c>
      <c r="D1471" t="s">
        <v>545</v>
      </c>
      <c r="E1471">
        <v>1</v>
      </c>
      <c r="F1471">
        <v>15</v>
      </c>
      <c r="G1471">
        <v>110</v>
      </c>
      <c r="H1471">
        <v>40</v>
      </c>
      <c r="I1471">
        <v>31</v>
      </c>
      <c r="J1471">
        <v>2</v>
      </c>
      <c r="K1471">
        <v>0.46200000000000002</v>
      </c>
      <c r="L1471">
        <v>0</v>
      </c>
      <c r="M1471">
        <v>0.64</v>
      </c>
      <c r="N1471">
        <v>0.2</v>
      </c>
      <c r="O1471">
        <v>9.8000000000000004E-2</v>
      </c>
      <c r="P1471">
        <v>1997</v>
      </c>
      <c r="Q1471">
        <v>7.3</v>
      </c>
      <c r="R1471">
        <v>2.7</v>
      </c>
      <c r="S1471">
        <v>2.1</v>
      </c>
      <c r="T1471">
        <v>0.1</v>
      </c>
      <c r="U1471">
        <v>2</v>
      </c>
      <c r="V1471">
        <v>7</v>
      </c>
      <c r="W1471">
        <f>IF(nba_draft[[#This Row],[years_played]]&gt;5,1,0)</f>
        <v>0</v>
      </c>
    </row>
    <row r="1472" spans="1:23" x14ac:dyDescent="0.25">
      <c r="A1472">
        <v>26</v>
      </c>
      <c r="B1472" t="s">
        <v>37</v>
      </c>
      <c r="C1472" t="s">
        <v>872</v>
      </c>
      <c r="D1472" t="s">
        <v>97</v>
      </c>
      <c r="E1472">
        <v>2</v>
      </c>
      <c r="F1472">
        <v>19</v>
      </c>
      <c r="G1472">
        <v>86</v>
      </c>
      <c r="H1472">
        <v>40</v>
      </c>
      <c r="I1472">
        <v>19</v>
      </c>
      <c r="J1472">
        <v>4</v>
      </c>
      <c r="K1472">
        <v>0.48599999999999999</v>
      </c>
      <c r="L1472">
        <v>0</v>
      </c>
      <c r="M1472">
        <v>0.46200000000000002</v>
      </c>
      <c r="N1472">
        <v>0.1</v>
      </c>
      <c r="O1472">
        <v>5.0999999999999997E-2</v>
      </c>
      <c r="P1472">
        <v>2003</v>
      </c>
      <c r="Q1472">
        <v>4.5</v>
      </c>
      <c r="R1472">
        <v>2.1</v>
      </c>
      <c r="S1472">
        <v>1</v>
      </c>
      <c r="T1472">
        <v>0.2</v>
      </c>
      <c r="U1472">
        <v>1</v>
      </c>
      <c r="V1472">
        <v>26</v>
      </c>
      <c r="W1472">
        <f>IF(nba_draft[[#This Row],[years_played]]&gt;5,1,0)</f>
        <v>0</v>
      </c>
    </row>
    <row r="1473" spans="1:23" x14ac:dyDescent="0.25">
      <c r="A1473">
        <v>12</v>
      </c>
      <c r="B1473" t="s">
        <v>43</v>
      </c>
      <c r="C1473" t="s">
        <v>956</v>
      </c>
      <c r="D1473" t="s">
        <v>97</v>
      </c>
      <c r="E1473">
        <v>2</v>
      </c>
      <c r="F1473">
        <v>34</v>
      </c>
      <c r="G1473">
        <v>168</v>
      </c>
      <c r="H1473">
        <v>39</v>
      </c>
      <c r="I1473">
        <v>16</v>
      </c>
      <c r="J1473">
        <v>13</v>
      </c>
      <c r="K1473">
        <v>0.28299999999999997</v>
      </c>
      <c r="L1473">
        <v>0.25</v>
      </c>
      <c r="M1473">
        <v>0.625</v>
      </c>
      <c r="N1473">
        <v>-0.1</v>
      </c>
      <c r="O1473">
        <v>-2.4E-2</v>
      </c>
      <c r="P1473">
        <v>2005</v>
      </c>
      <c r="Q1473">
        <v>4.9000000000000004</v>
      </c>
      <c r="R1473">
        <v>1.1000000000000001</v>
      </c>
      <c r="S1473">
        <v>0.5</v>
      </c>
      <c r="T1473">
        <v>0.4</v>
      </c>
      <c r="U1473">
        <v>1</v>
      </c>
      <c r="V1473">
        <v>12</v>
      </c>
      <c r="W1473">
        <f>IF(nba_draft[[#This Row],[years_played]]&gt;5,1,0)</f>
        <v>0</v>
      </c>
    </row>
    <row r="1474" spans="1:23" x14ac:dyDescent="0.25">
      <c r="A1474">
        <v>50</v>
      </c>
      <c r="B1474" t="s">
        <v>149</v>
      </c>
      <c r="C1474" t="s">
        <v>1261</v>
      </c>
      <c r="D1474" t="s">
        <v>298</v>
      </c>
      <c r="E1474">
        <v>2</v>
      </c>
      <c r="F1474">
        <v>26</v>
      </c>
      <c r="G1474">
        <v>181</v>
      </c>
      <c r="H1474">
        <v>39</v>
      </c>
      <c r="I1474">
        <v>61</v>
      </c>
      <c r="J1474">
        <v>5</v>
      </c>
      <c r="K1474">
        <v>0.314</v>
      </c>
      <c r="L1474">
        <v>0</v>
      </c>
      <c r="M1474">
        <v>0.7</v>
      </c>
      <c r="N1474">
        <v>0</v>
      </c>
      <c r="O1474">
        <v>0.01</v>
      </c>
      <c r="P1474">
        <v>2010</v>
      </c>
      <c r="Q1474">
        <v>7</v>
      </c>
      <c r="R1474">
        <v>1.5</v>
      </c>
      <c r="S1474">
        <v>2.2999999999999998</v>
      </c>
      <c r="T1474">
        <v>0.2</v>
      </c>
      <c r="U1474">
        <v>2</v>
      </c>
      <c r="V1474">
        <v>20</v>
      </c>
      <c r="W1474">
        <f>IF(nba_draft[[#This Row],[years_played]]&gt;5,1,0)</f>
        <v>0</v>
      </c>
    </row>
    <row r="1475" spans="1:23" x14ac:dyDescent="0.25">
      <c r="A1475">
        <v>56</v>
      </c>
      <c r="B1475" t="s">
        <v>70</v>
      </c>
      <c r="C1475" t="s">
        <v>1650</v>
      </c>
      <c r="D1475" t="s">
        <v>336</v>
      </c>
      <c r="E1475">
        <v>1</v>
      </c>
      <c r="F1475">
        <v>13</v>
      </c>
      <c r="G1475">
        <v>115</v>
      </c>
      <c r="H1475">
        <v>39</v>
      </c>
      <c r="I1475">
        <v>19</v>
      </c>
      <c r="J1475">
        <v>8</v>
      </c>
      <c r="K1475">
        <v>0.57699999999999996</v>
      </c>
      <c r="L1475">
        <v>0.42899999999999999</v>
      </c>
      <c r="M1475">
        <v>0.46200000000000002</v>
      </c>
      <c r="N1475">
        <v>0.2</v>
      </c>
      <c r="O1475">
        <v>9.8000000000000004E-2</v>
      </c>
      <c r="P1475">
        <v>2017</v>
      </c>
      <c r="Q1475">
        <v>8.8000000000000007</v>
      </c>
      <c r="R1475">
        <v>3</v>
      </c>
      <c r="S1475">
        <v>1.5</v>
      </c>
      <c r="T1475">
        <v>0.6</v>
      </c>
      <c r="U1475">
        <v>2</v>
      </c>
      <c r="V1475">
        <v>26</v>
      </c>
      <c r="W1475">
        <f>IF(nba_draft[[#This Row],[years_played]]&gt;5,1,0)</f>
        <v>0</v>
      </c>
    </row>
    <row r="1476" spans="1:23" x14ac:dyDescent="0.25">
      <c r="A1476">
        <v>58</v>
      </c>
      <c r="B1476" t="s">
        <v>395</v>
      </c>
      <c r="C1476" t="s">
        <v>1001</v>
      </c>
      <c r="D1476" t="s">
        <v>97</v>
      </c>
      <c r="E1476">
        <v>1</v>
      </c>
      <c r="F1476">
        <v>20</v>
      </c>
      <c r="G1476">
        <v>72</v>
      </c>
      <c r="H1476">
        <v>38</v>
      </c>
      <c r="I1476">
        <v>14</v>
      </c>
      <c r="J1476">
        <v>1</v>
      </c>
      <c r="K1476">
        <v>0.53800000000000003</v>
      </c>
      <c r="L1476">
        <v>0.5</v>
      </c>
      <c r="M1476">
        <v>0.69199999999999995</v>
      </c>
      <c r="N1476">
        <v>0.1</v>
      </c>
      <c r="O1476">
        <v>4.2000000000000003E-2</v>
      </c>
      <c r="P1476">
        <v>2005</v>
      </c>
      <c r="Q1476">
        <v>3.6</v>
      </c>
      <c r="R1476">
        <v>1.9</v>
      </c>
      <c r="S1476">
        <v>0.7</v>
      </c>
      <c r="T1476">
        <v>0.1</v>
      </c>
      <c r="U1476">
        <v>2</v>
      </c>
      <c r="V1476">
        <v>28</v>
      </c>
      <c r="W1476">
        <f>IF(nba_draft[[#This Row],[years_played]]&gt;5,1,0)</f>
        <v>0</v>
      </c>
    </row>
    <row r="1477" spans="1:23" x14ac:dyDescent="0.25">
      <c r="A1477">
        <v>36</v>
      </c>
      <c r="B1477" t="s">
        <v>25</v>
      </c>
      <c r="C1477" t="s">
        <v>1866</v>
      </c>
      <c r="D1477" t="s">
        <v>1115</v>
      </c>
      <c r="E1477">
        <v>1</v>
      </c>
      <c r="F1477">
        <v>21</v>
      </c>
      <c r="G1477">
        <v>151</v>
      </c>
      <c r="H1477">
        <v>38</v>
      </c>
      <c r="I1477">
        <v>16</v>
      </c>
      <c r="J1477">
        <v>23</v>
      </c>
      <c r="K1477">
        <v>0.25900000000000001</v>
      </c>
      <c r="L1477">
        <v>0.161</v>
      </c>
      <c r="M1477">
        <v>0.75</v>
      </c>
      <c r="N1477">
        <v>-0.1</v>
      </c>
      <c r="O1477">
        <v>-0.03</v>
      </c>
      <c r="P1477">
        <v>2021</v>
      </c>
      <c r="Q1477">
        <v>7.2</v>
      </c>
      <c r="R1477">
        <v>1.8</v>
      </c>
      <c r="S1477">
        <v>0.8</v>
      </c>
      <c r="T1477">
        <v>1.1000000000000001</v>
      </c>
      <c r="U1477">
        <v>2</v>
      </c>
      <c r="V1477">
        <v>6</v>
      </c>
      <c r="W1477">
        <f>IF(nba_draft[[#This Row],[years_played]]&gt;5,1,0)</f>
        <v>0</v>
      </c>
    </row>
    <row r="1478" spans="1:23" x14ac:dyDescent="0.25">
      <c r="A1478">
        <v>50</v>
      </c>
      <c r="B1478" t="s">
        <v>75</v>
      </c>
      <c r="C1478" t="s">
        <v>134</v>
      </c>
      <c r="D1478" t="s">
        <v>135</v>
      </c>
      <c r="E1478">
        <v>2</v>
      </c>
      <c r="F1478">
        <v>21</v>
      </c>
      <c r="G1478">
        <v>87</v>
      </c>
      <c r="H1478">
        <v>37</v>
      </c>
      <c r="I1478">
        <v>20</v>
      </c>
      <c r="J1478">
        <v>10</v>
      </c>
      <c r="K1478">
        <v>0.375</v>
      </c>
      <c r="L1478">
        <v>0</v>
      </c>
      <c r="M1478">
        <v>0.65</v>
      </c>
      <c r="N1478">
        <v>-0.1</v>
      </c>
      <c r="O1478">
        <v>-2.8000000000000001E-2</v>
      </c>
      <c r="P1478">
        <v>1990</v>
      </c>
      <c r="Q1478">
        <v>4.0999999999999996</v>
      </c>
      <c r="R1478">
        <v>1.8</v>
      </c>
      <c r="S1478">
        <v>1</v>
      </c>
      <c r="T1478">
        <v>0.5</v>
      </c>
      <c r="U1478">
        <v>2</v>
      </c>
      <c r="V1478">
        <v>23</v>
      </c>
      <c r="W1478">
        <f>IF(nba_draft[[#This Row],[years_played]]&gt;5,1,0)</f>
        <v>0</v>
      </c>
    </row>
    <row r="1479" spans="1:23" x14ac:dyDescent="0.25">
      <c r="A1479">
        <v>30</v>
      </c>
      <c r="B1479" t="s">
        <v>90</v>
      </c>
      <c r="C1479" t="s">
        <v>662</v>
      </c>
      <c r="D1479" t="s">
        <v>458</v>
      </c>
      <c r="E1479">
        <v>1</v>
      </c>
      <c r="F1479">
        <v>16</v>
      </c>
      <c r="G1479">
        <v>185</v>
      </c>
      <c r="H1479">
        <v>37</v>
      </c>
      <c r="I1479">
        <v>11</v>
      </c>
      <c r="J1479">
        <v>20</v>
      </c>
      <c r="K1479">
        <v>0.33300000000000002</v>
      </c>
      <c r="L1479">
        <v>0.222</v>
      </c>
      <c r="M1479">
        <v>0.83299999999999996</v>
      </c>
      <c r="N1479">
        <v>-0.1</v>
      </c>
      <c r="O1479">
        <v>-3.7999999999999999E-2</v>
      </c>
      <c r="P1479">
        <v>1999</v>
      </c>
      <c r="Q1479">
        <v>11.6</v>
      </c>
      <c r="R1479">
        <v>2.2999999999999998</v>
      </c>
      <c r="S1479">
        <v>0.7</v>
      </c>
      <c r="T1479">
        <v>1.3</v>
      </c>
      <c r="U1479">
        <v>2</v>
      </c>
      <c r="V1479">
        <v>1</v>
      </c>
      <c r="W1479">
        <f>IF(nba_draft[[#This Row],[years_played]]&gt;5,1,0)</f>
        <v>0</v>
      </c>
    </row>
    <row r="1480" spans="1:23" x14ac:dyDescent="0.25">
      <c r="A1480">
        <v>32</v>
      </c>
      <c r="B1480" t="s">
        <v>31</v>
      </c>
      <c r="C1480" t="s">
        <v>772</v>
      </c>
      <c r="D1480" t="s">
        <v>77</v>
      </c>
      <c r="E1480">
        <v>2</v>
      </c>
      <c r="F1480">
        <v>22</v>
      </c>
      <c r="G1480">
        <v>213</v>
      </c>
      <c r="H1480">
        <v>37</v>
      </c>
      <c r="I1480">
        <v>13</v>
      </c>
      <c r="J1480">
        <v>46</v>
      </c>
      <c r="K1480">
        <v>0.33300000000000002</v>
      </c>
      <c r="L1480">
        <v>0</v>
      </c>
      <c r="M1480">
        <v>0.5</v>
      </c>
      <c r="N1480">
        <v>-0.1</v>
      </c>
      <c r="O1480">
        <v>-2.1000000000000001E-2</v>
      </c>
      <c r="P1480">
        <v>2001</v>
      </c>
      <c r="Q1480">
        <v>9.6999999999999993</v>
      </c>
      <c r="R1480">
        <v>1.7</v>
      </c>
      <c r="S1480">
        <v>0.6</v>
      </c>
      <c r="T1480">
        <v>2.1</v>
      </c>
      <c r="U1480">
        <v>2</v>
      </c>
      <c r="V1480">
        <v>3</v>
      </c>
      <c r="W1480">
        <f>IF(nba_draft[[#This Row],[years_played]]&gt;5,1,0)</f>
        <v>0</v>
      </c>
    </row>
    <row r="1481" spans="1:23" x14ac:dyDescent="0.25">
      <c r="A1481">
        <v>54</v>
      </c>
      <c r="B1481" t="s">
        <v>43</v>
      </c>
      <c r="C1481" t="s">
        <v>1264</v>
      </c>
      <c r="D1481" t="s">
        <v>255</v>
      </c>
      <c r="E1481">
        <v>1</v>
      </c>
      <c r="F1481">
        <v>19</v>
      </c>
      <c r="G1481">
        <v>134</v>
      </c>
      <c r="H1481">
        <v>37</v>
      </c>
      <c r="I1481">
        <v>12</v>
      </c>
      <c r="J1481">
        <v>27</v>
      </c>
      <c r="K1481">
        <v>0.371</v>
      </c>
      <c r="L1481">
        <v>0.33300000000000002</v>
      </c>
      <c r="M1481">
        <v>0.75</v>
      </c>
      <c r="N1481">
        <v>0.2</v>
      </c>
      <c r="O1481">
        <v>6.5000000000000002E-2</v>
      </c>
      <c r="P1481">
        <v>2010</v>
      </c>
      <c r="Q1481">
        <v>7.1</v>
      </c>
      <c r="R1481">
        <v>1.9</v>
      </c>
      <c r="S1481">
        <v>0.6</v>
      </c>
      <c r="T1481">
        <v>1.4</v>
      </c>
      <c r="U1481">
        <v>2</v>
      </c>
      <c r="V1481">
        <v>24</v>
      </c>
      <c r="W1481">
        <f>IF(nba_draft[[#This Row],[years_played]]&gt;5,1,0)</f>
        <v>0</v>
      </c>
    </row>
    <row r="1482" spans="1:23" x14ac:dyDescent="0.25">
      <c r="A1482">
        <v>41</v>
      </c>
      <c r="B1482" t="s">
        <v>82</v>
      </c>
      <c r="C1482" t="s">
        <v>1871</v>
      </c>
      <c r="D1482" t="s">
        <v>94</v>
      </c>
      <c r="E1482">
        <v>1</v>
      </c>
      <c r="F1482">
        <v>15</v>
      </c>
      <c r="G1482">
        <v>92</v>
      </c>
      <c r="H1482">
        <v>37</v>
      </c>
      <c r="I1482">
        <v>8</v>
      </c>
      <c r="J1482">
        <v>5</v>
      </c>
      <c r="K1482">
        <v>0.46400000000000002</v>
      </c>
      <c r="L1482">
        <v>0.42099999999999999</v>
      </c>
      <c r="M1482">
        <v>0.42899999999999999</v>
      </c>
      <c r="N1482">
        <v>0.2</v>
      </c>
      <c r="O1482">
        <v>0.106</v>
      </c>
      <c r="P1482">
        <v>2021</v>
      </c>
      <c r="Q1482">
        <v>6.1</v>
      </c>
      <c r="R1482">
        <v>2.5</v>
      </c>
      <c r="S1482">
        <v>0.5</v>
      </c>
      <c r="T1482">
        <v>0.3</v>
      </c>
      <c r="U1482">
        <v>2</v>
      </c>
      <c r="V1482">
        <v>11</v>
      </c>
      <c r="W1482">
        <f>IF(nba_draft[[#This Row],[years_played]]&gt;5,1,0)</f>
        <v>0</v>
      </c>
    </row>
    <row r="1483" spans="1:23" x14ac:dyDescent="0.25">
      <c r="A1483">
        <v>31</v>
      </c>
      <c r="B1483" t="s">
        <v>63</v>
      </c>
      <c r="C1483" t="s">
        <v>1472</v>
      </c>
      <c r="D1483" t="s">
        <v>97</v>
      </c>
      <c r="E1483">
        <v>1</v>
      </c>
      <c r="F1483">
        <v>20</v>
      </c>
      <c r="G1483">
        <v>156</v>
      </c>
      <c r="H1483">
        <v>36</v>
      </c>
      <c r="I1483">
        <v>31</v>
      </c>
      <c r="J1483">
        <v>10</v>
      </c>
      <c r="K1483">
        <v>0.35099999999999998</v>
      </c>
      <c r="L1483">
        <v>0.23100000000000001</v>
      </c>
      <c r="M1483">
        <v>0.875</v>
      </c>
      <c r="N1483">
        <v>-0.1</v>
      </c>
      <c r="O1483">
        <v>-2.4E-2</v>
      </c>
      <c r="P1483">
        <v>2014</v>
      </c>
      <c r="Q1483">
        <v>7.8</v>
      </c>
      <c r="R1483">
        <v>1.8</v>
      </c>
      <c r="S1483">
        <v>1.6</v>
      </c>
      <c r="T1483">
        <v>0.5</v>
      </c>
      <c r="U1483">
        <v>2</v>
      </c>
      <c r="V1483">
        <v>1</v>
      </c>
      <c r="W1483">
        <f>IF(nba_draft[[#This Row],[years_played]]&gt;5,1,0)</f>
        <v>0</v>
      </c>
    </row>
    <row r="1484" spans="1:23" x14ac:dyDescent="0.25">
      <c r="A1484">
        <v>32</v>
      </c>
      <c r="B1484" t="s">
        <v>102</v>
      </c>
      <c r="C1484" t="s">
        <v>317</v>
      </c>
      <c r="D1484" t="s">
        <v>318</v>
      </c>
      <c r="E1484">
        <v>2</v>
      </c>
      <c r="F1484">
        <v>11</v>
      </c>
      <c r="G1484">
        <v>114</v>
      </c>
      <c r="H1484">
        <v>35</v>
      </c>
      <c r="I1484">
        <v>20</v>
      </c>
      <c r="J1484">
        <v>10</v>
      </c>
      <c r="K1484">
        <v>0.308</v>
      </c>
      <c r="L1484">
        <v>0.1</v>
      </c>
      <c r="M1484">
        <v>0.5</v>
      </c>
      <c r="N1484">
        <v>-0.4</v>
      </c>
      <c r="O1484">
        <v>-0.153</v>
      </c>
      <c r="P1484">
        <v>1993</v>
      </c>
      <c r="Q1484">
        <v>10.4</v>
      </c>
      <c r="R1484">
        <v>3.2</v>
      </c>
      <c r="S1484">
        <v>1.8</v>
      </c>
      <c r="T1484">
        <v>0.9</v>
      </c>
      <c r="U1484">
        <v>2</v>
      </c>
      <c r="V1484">
        <v>5</v>
      </c>
      <c r="W1484">
        <f>IF(nba_draft[[#This Row],[years_played]]&gt;5,1,0)</f>
        <v>0</v>
      </c>
    </row>
    <row r="1485" spans="1:23" x14ac:dyDescent="0.25">
      <c r="A1485">
        <v>55</v>
      </c>
      <c r="B1485" t="s">
        <v>55</v>
      </c>
      <c r="C1485" t="s">
        <v>944</v>
      </c>
      <c r="D1485" t="s">
        <v>945</v>
      </c>
      <c r="E1485">
        <v>1</v>
      </c>
      <c r="F1485">
        <v>16</v>
      </c>
      <c r="G1485">
        <v>77</v>
      </c>
      <c r="H1485">
        <v>35</v>
      </c>
      <c r="I1485">
        <v>3</v>
      </c>
      <c r="J1485">
        <v>11</v>
      </c>
      <c r="K1485">
        <v>0.48299999999999998</v>
      </c>
      <c r="L1485">
        <v>0.5</v>
      </c>
      <c r="M1485">
        <v>1</v>
      </c>
      <c r="N1485">
        <v>0</v>
      </c>
      <c r="O1485">
        <v>-0.02</v>
      </c>
      <c r="P1485">
        <v>2004</v>
      </c>
      <c r="Q1485">
        <v>4.8</v>
      </c>
      <c r="R1485">
        <v>2.2000000000000002</v>
      </c>
      <c r="S1485">
        <v>0.2</v>
      </c>
      <c r="T1485">
        <v>0.7</v>
      </c>
      <c r="U1485">
        <v>2</v>
      </c>
      <c r="V1485">
        <v>26</v>
      </c>
      <c r="W1485">
        <f>IF(nba_draft[[#This Row],[years_played]]&gt;5,1,0)</f>
        <v>0</v>
      </c>
    </row>
    <row r="1486" spans="1:23" x14ac:dyDescent="0.25">
      <c r="A1486">
        <v>52</v>
      </c>
      <c r="B1486" t="s">
        <v>52</v>
      </c>
      <c r="C1486" t="s">
        <v>1381</v>
      </c>
      <c r="D1486" t="s">
        <v>97</v>
      </c>
      <c r="E1486">
        <v>2</v>
      </c>
      <c r="F1486">
        <v>37</v>
      </c>
      <c r="G1486">
        <v>164</v>
      </c>
      <c r="H1486">
        <v>35</v>
      </c>
      <c r="I1486">
        <v>38</v>
      </c>
      <c r="J1486">
        <v>8</v>
      </c>
      <c r="K1486">
        <v>0.52</v>
      </c>
      <c r="L1486">
        <v>0</v>
      </c>
      <c r="M1486">
        <v>0.6</v>
      </c>
      <c r="N1486">
        <v>0.2</v>
      </c>
      <c r="O1486">
        <v>6.0999999999999999E-2</v>
      </c>
      <c r="P1486">
        <v>2012</v>
      </c>
      <c r="Q1486">
        <v>4.4000000000000004</v>
      </c>
      <c r="R1486">
        <v>0.9</v>
      </c>
      <c r="S1486">
        <v>1</v>
      </c>
      <c r="T1486">
        <v>0.2</v>
      </c>
      <c r="U1486">
        <v>2</v>
      </c>
      <c r="V1486">
        <v>22</v>
      </c>
      <c r="W1486">
        <f>IF(nba_draft[[#This Row],[years_played]]&gt;5,1,0)</f>
        <v>0</v>
      </c>
    </row>
    <row r="1487" spans="1:23" x14ac:dyDescent="0.25">
      <c r="A1487">
        <v>42</v>
      </c>
      <c r="B1487" t="s">
        <v>102</v>
      </c>
      <c r="C1487" t="s">
        <v>1430</v>
      </c>
      <c r="D1487" t="s">
        <v>588</v>
      </c>
      <c r="E1487">
        <v>1</v>
      </c>
      <c r="F1487">
        <v>8</v>
      </c>
      <c r="G1487">
        <v>84</v>
      </c>
      <c r="H1487">
        <v>35</v>
      </c>
      <c r="I1487">
        <v>9</v>
      </c>
      <c r="J1487">
        <v>19</v>
      </c>
      <c r="K1487">
        <v>0.33300000000000002</v>
      </c>
      <c r="L1487">
        <v>0.27300000000000002</v>
      </c>
      <c r="M1487">
        <v>0.85699999999999998</v>
      </c>
      <c r="N1487">
        <v>0</v>
      </c>
      <c r="O1487">
        <v>2.1000000000000001E-2</v>
      </c>
      <c r="P1487">
        <v>2013</v>
      </c>
      <c r="Q1487">
        <v>10.5</v>
      </c>
      <c r="R1487">
        <v>4.4000000000000004</v>
      </c>
      <c r="S1487">
        <v>1.1000000000000001</v>
      </c>
      <c r="T1487">
        <v>2.4</v>
      </c>
      <c r="U1487">
        <v>2</v>
      </c>
      <c r="V1487">
        <v>12</v>
      </c>
      <c r="W1487">
        <f>IF(nba_draft[[#This Row],[years_played]]&gt;5,1,0)</f>
        <v>0</v>
      </c>
    </row>
    <row r="1488" spans="1:23" x14ac:dyDescent="0.25">
      <c r="A1488">
        <v>49</v>
      </c>
      <c r="B1488" t="s">
        <v>95</v>
      </c>
      <c r="C1488" t="s">
        <v>679</v>
      </c>
      <c r="D1488" t="s">
        <v>423</v>
      </c>
      <c r="E1488">
        <v>2</v>
      </c>
      <c r="F1488">
        <v>25</v>
      </c>
      <c r="G1488">
        <v>139</v>
      </c>
      <c r="H1488">
        <v>34</v>
      </c>
      <c r="I1488">
        <v>34</v>
      </c>
      <c r="J1488">
        <v>2</v>
      </c>
      <c r="K1488">
        <v>0.40600000000000003</v>
      </c>
      <c r="L1488">
        <v>0</v>
      </c>
      <c r="M1488">
        <v>0.66700000000000004</v>
      </c>
      <c r="N1488">
        <v>0</v>
      </c>
      <c r="O1488">
        <v>-1.4999999999999999E-2</v>
      </c>
      <c r="P1488">
        <v>1999</v>
      </c>
      <c r="Q1488">
        <v>5.6</v>
      </c>
      <c r="R1488">
        <v>1.4</v>
      </c>
      <c r="S1488">
        <v>1.4</v>
      </c>
      <c r="T1488">
        <v>0.1</v>
      </c>
      <c r="U1488">
        <v>2</v>
      </c>
      <c r="V1488">
        <v>20</v>
      </c>
      <c r="W1488">
        <f>IF(nba_draft[[#This Row],[years_played]]&gt;5,1,0)</f>
        <v>0</v>
      </c>
    </row>
    <row r="1489" spans="1:23" x14ac:dyDescent="0.25">
      <c r="A1489">
        <v>18</v>
      </c>
      <c r="B1489" t="s">
        <v>55</v>
      </c>
      <c r="C1489" t="s">
        <v>583</v>
      </c>
      <c r="D1489" t="s">
        <v>97</v>
      </c>
      <c r="E1489">
        <v>1</v>
      </c>
      <c r="F1489">
        <v>17</v>
      </c>
      <c r="G1489">
        <v>90</v>
      </c>
      <c r="H1489">
        <v>33</v>
      </c>
      <c r="I1489">
        <v>33</v>
      </c>
      <c r="J1489">
        <v>5</v>
      </c>
      <c r="K1489">
        <v>0.36799999999999999</v>
      </c>
      <c r="L1489">
        <v>0</v>
      </c>
      <c r="M1489">
        <v>0.625</v>
      </c>
      <c r="N1489">
        <v>0</v>
      </c>
      <c r="O1489">
        <v>-1.9E-2</v>
      </c>
      <c r="P1489">
        <v>1998</v>
      </c>
      <c r="Q1489">
        <v>5.3</v>
      </c>
      <c r="R1489">
        <v>1.9</v>
      </c>
      <c r="S1489">
        <v>1.9</v>
      </c>
      <c r="T1489">
        <v>0.3</v>
      </c>
      <c r="U1489">
        <v>1</v>
      </c>
      <c r="V1489">
        <v>18</v>
      </c>
      <c r="W1489">
        <f>IF(nba_draft[[#This Row],[years_played]]&gt;5,1,0)</f>
        <v>0</v>
      </c>
    </row>
    <row r="1490" spans="1:23" x14ac:dyDescent="0.25">
      <c r="A1490">
        <v>29</v>
      </c>
      <c r="B1490" t="s">
        <v>82</v>
      </c>
      <c r="C1490" t="s">
        <v>661</v>
      </c>
      <c r="D1490" t="s">
        <v>97</v>
      </c>
      <c r="E1490">
        <v>2</v>
      </c>
      <c r="F1490">
        <v>15</v>
      </c>
      <c r="G1490">
        <v>104</v>
      </c>
      <c r="H1490">
        <v>33</v>
      </c>
      <c r="I1490">
        <v>33</v>
      </c>
      <c r="J1490">
        <v>3</v>
      </c>
      <c r="K1490">
        <v>0.39300000000000002</v>
      </c>
      <c r="L1490">
        <v>0</v>
      </c>
      <c r="M1490">
        <v>0.64700000000000002</v>
      </c>
      <c r="N1490">
        <v>0.2</v>
      </c>
      <c r="O1490">
        <v>0.112</v>
      </c>
      <c r="P1490">
        <v>1999</v>
      </c>
      <c r="Q1490">
        <v>6.9</v>
      </c>
      <c r="R1490">
        <v>2.2000000000000002</v>
      </c>
      <c r="S1490">
        <v>2.2000000000000002</v>
      </c>
      <c r="T1490">
        <v>0.2</v>
      </c>
      <c r="U1490">
        <v>1</v>
      </c>
      <c r="V1490">
        <v>29</v>
      </c>
      <c r="W1490">
        <f>IF(nba_draft[[#This Row],[years_played]]&gt;5,1,0)</f>
        <v>0</v>
      </c>
    </row>
    <row r="1491" spans="1:23" x14ac:dyDescent="0.25">
      <c r="A1491">
        <v>43</v>
      </c>
      <c r="B1491" t="s">
        <v>49</v>
      </c>
      <c r="C1491" t="s">
        <v>1484</v>
      </c>
      <c r="D1491" t="s">
        <v>97</v>
      </c>
      <c r="E1491">
        <v>2</v>
      </c>
      <c r="F1491">
        <v>13</v>
      </c>
      <c r="G1491">
        <v>101</v>
      </c>
      <c r="H1491">
        <v>33</v>
      </c>
      <c r="I1491">
        <v>32</v>
      </c>
      <c r="J1491">
        <v>4</v>
      </c>
      <c r="K1491">
        <v>0.625</v>
      </c>
      <c r="L1491">
        <v>0</v>
      </c>
      <c r="M1491">
        <v>0.27300000000000002</v>
      </c>
      <c r="N1491">
        <v>0.2</v>
      </c>
      <c r="O1491">
        <v>0.11799999999999999</v>
      </c>
      <c r="P1491">
        <v>2014</v>
      </c>
      <c r="Q1491">
        <v>7.8</v>
      </c>
      <c r="R1491">
        <v>2.5</v>
      </c>
      <c r="S1491">
        <v>2.5</v>
      </c>
      <c r="T1491">
        <v>0.3</v>
      </c>
      <c r="U1491">
        <v>2</v>
      </c>
      <c r="V1491">
        <v>13</v>
      </c>
      <c r="W1491">
        <f>IF(nba_draft[[#This Row],[years_played]]&gt;5,1,0)</f>
        <v>0</v>
      </c>
    </row>
    <row r="1492" spans="1:23" x14ac:dyDescent="0.25">
      <c r="A1492">
        <v>27</v>
      </c>
      <c r="B1492" t="s">
        <v>75</v>
      </c>
      <c r="C1492" t="s">
        <v>312</v>
      </c>
      <c r="D1492" t="s">
        <v>33</v>
      </c>
      <c r="E1492">
        <v>1</v>
      </c>
      <c r="F1492">
        <v>22</v>
      </c>
      <c r="G1492">
        <v>69</v>
      </c>
      <c r="H1492">
        <v>32</v>
      </c>
      <c r="I1492">
        <v>24</v>
      </c>
      <c r="J1492">
        <v>1</v>
      </c>
      <c r="K1492">
        <v>0.378</v>
      </c>
      <c r="L1492">
        <v>0</v>
      </c>
      <c r="M1492">
        <v>0.5</v>
      </c>
      <c r="N1492">
        <v>0.1</v>
      </c>
      <c r="O1492">
        <v>3.5999999999999997E-2</v>
      </c>
      <c r="P1492">
        <v>1993</v>
      </c>
      <c r="Q1492">
        <v>3.1</v>
      </c>
      <c r="R1492">
        <v>1.5</v>
      </c>
      <c r="S1492">
        <v>1.1000000000000001</v>
      </c>
      <c r="T1492">
        <v>0</v>
      </c>
      <c r="U1492">
        <v>1</v>
      </c>
      <c r="V1492">
        <v>27</v>
      </c>
      <c r="W1492">
        <f>IF(nba_draft[[#This Row],[years_played]]&gt;5,1,0)</f>
        <v>0</v>
      </c>
    </row>
    <row r="1493" spans="1:23" x14ac:dyDescent="0.25">
      <c r="A1493">
        <v>16</v>
      </c>
      <c r="B1493" t="s">
        <v>34</v>
      </c>
      <c r="C1493" t="s">
        <v>756</v>
      </c>
      <c r="D1493" t="s">
        <v>285</v>
      </c>
      <c r="E1493">
        <v>2</v>
      </c>
      <c r="F1493">
        <v>27</v>
      </c>
      <c r="G1493">
        <v>134</v>
      </c>
      <c r="H1493">
        <v>32</v>
      </c>
      <c r="I1493">
        <v>27</v>
      </c>
      <c r="J1493">
        <v>8</v>
      </c>
      <c r="K1493">
        <v>0.23200000000000001</v>
      </c>
      <c r="L1493">
        <v>0</v>
      </c>
      <c r="M1493">
        <v>0.5</v>
      </c>
      <c r="N1493">
        <v>-0.5</v>
      </c>
      <c r="O1493">
        <v>-0.19700000000000001</v>
      </c>
      <c r="P1493">
        <v>2001</v>
      </c>
      <c r="Q1493">
        <v>5</v>
      </c>
      <c r="R1493">
        <v>1.2</v>
      </c>
      <c r="S1493">
        <v>1</v>
      </c>
      <c r="T1493">
        <v>0.3</v>
      </c>
      <c r="U1493">
        <v>1</v>
      </c>
      <c r="V1493">
        <v>16</v>
      </c>
      <c r="W1493">
        <f>IF(nba_draft[[#This Row],[years_played]]&gt;5,1,0)</f>
        <v>0</v>
      </c>
    </row>
    <row r="1494" spans="1:23" x14ac:dyDescent="0.25">
      <c r="A1494">
        <v>49</v>
      </c>
      <c r="B1494" t="s">
        <v>46</v>
      </c>
      <c r="C1494" t="s">
        <v>785</v>
      </c>
      <c r="D1494" t="s">
        <v>216</v>
      </c>
      <c r="E1494">
        <v>1</v>
      </c>
      <c r="F1494">
        <v>16</v>
      </c>
      <c r="G1494">
        <v>156</v>
      </c>
      <c r="H1494">
        <v>32</v>
      </c>
      <c r="I1494">
        <v>32</v>
      </c>
      <c r="J1494">
        <v>0</v>
      </c>
      <c r="K1494">
        <v>0.40500000000000003</v>
      </c>
      <c r="L1494">
        <v>0</v>
      </c>
      <c r="M1494">
        <v>0.33300000000000002</v>
      </c>
      <c r="N1494">
        <v>0</v>
      </c>
      <c r="O1494">
        <v>-2E-3</v>
      </c>
      <c r="P1494">
        <v>2001</v>
      </c>
      <c r="Q1494">
        <v>9.8000000000000007</v>
      </c>
      <c r="R1494">
        <v>2</v>
      </c>
      <c r="S1494">
        <v>2</v>
      </c>
      <c r="T1494">
        <v>0</v>
      </c>
      <c r="U1494">
        <v>2</v>
      </c>
      <c r="V1494">
        <v>20</v>
      </c>
      <c r="W1494">
        <f>IF(nba_draft[[#This Row],[years_played]]&gt;5,1,0)</f>
        <v>0</v>
      </c>
    </row>
    <row r="1495" spans="1:23" x14ac:dyDescent="0.25">
      <c r="A1495">
        <v>52</v>
      </c>
      <c r="B1495" t="s">
        <v>104</v>
      </c>
      <c r="C1495" t="s">
        <v>1589</v>
      </c>
      <c r="D1495" t="s">
        <v>1333</v>
      </c>
      <c r="E1495">
        <v>2</v>
      </c>
      <c r="F1495">
        <v>18</v>
      </c>
      <c r="G1495">
        <v>91</v>
      </c>
      <c r="H1495">
        <v>31</v>
      </c>
      <c r="I1495">
        <v>27</v>
      </c>
      <c r="J1495">
        <v>2</v>
      </c>
      <c r="K1495">
        <v>0.54500000000000004</v>
      </c>
      <c r="L1495">
        <v>0.2</v>
      </c>
      <c r="M1495">
        <v>0.5</v>
      </c>
      <c r="N1495">
        <v>0.3</v>
      </c>
      <c r="O1495">
        <v>0.13200000000000001</v>
      </c>
      <c r="P1495">
        <v>2016</v>
      </c>
      <c r="Q1495">
        <v>5.0999999999999996</v>
      </c>
      <c r="R1495">
        <v>1.7</v>
      </c>
      <c r="S1495">
        <v>1.5</v>
      </c>
      <c r="T1495">
        <v>0.1</v>
      </c>
      <c r="U1495">
        <v>2</v>
      </c>
      <c r="V1495">
        <v>22</v>
      </c>
      <c r="W1495">
        <f>IF(nba_draft[[#This Row],[years_played]]&gt;5,1,0)</f>
        <v>0</v>
      </c>
    </row>
    <row r="1496" spans="1:23" x14ac:dyDescent="0.25">
      <c r="A1496">
        <v>41</v>
      </c>
      <c r="B1496" t="s">
        <v>40</v>
      </c>
      <c r="C1496" t="s">
        <v>492</v>
      </c>
      <c r="D1496" t="s">
        <v>439</v>
      </c>
      <c r="E1496">
        <v>2</v>
      </c>
      <c r="F1496">
        <v>14</v>
      </c>
      <c r="G1496">
        <v>108</v>
      </c>
      <c r="H1496">
        <v>30</v>
      </c>
      <c r="I1496">
        <v>15</v>
      </c>
      <c r="J1496">
        <v>4</v>
      </c>
      <c r="K1496">
        <v>0.41199999999999998</v>
      </c>
      <c r="L1496">
        <v>0.33300000000000002</v>
      </c>
      <c r="M1496">
        <v>0.5</v>
      </c>
      <c r="N1496">
        <v>0</v>
      </c>
      <c r="O1496">
        <v>-1.4E-2</v>
      </c>
      <c r="P1496">
        <v>1996</v>
      </c>
      <c r="Q1496">
        <v>7.7</v>
      </c>
      <c r="R1496">
        <v>2.1</v>
      </c>
      <c r="S1496">
        <v>1.1000000000000001</v>
      </c>
      <c r="T1496">
        <v>0.3</v>
      </c>
      <c r="U1496">
        <v>2</v>
      </c>
      <c r="V1496">
        <v>12</v>
      </c>
      <c r="W1496">
        <f>IF(nba_draft[[#This Row],[years_played]]&gt;5,1,0)</f>
        <v>0</v>
      </c>
    </row>
    <row r="1497" spans="1:23" x14ac:dyDescent="0.25">
      <c r="A1497">
        <v>21</v>
      </c>
      <c r="B1497" t="s">
        <v>70</v>
      </c>
      <c r="C1497" t="s">
        <v>761</v>
      </c>
      <c r="D1497" t="s">
        <v>179</v>
      </c>
      <c r="E1497">
        <v>2</v>
      </c>
      <c r="F1497">
        <v>25</v>
      </c>
      <c r="G1497">
        <v>125</v>
      </c>
      <c r="H1497">
        <v>30</v>
      </c>
      <c r="I1497">
        <v>17</v>
      </c>
      <c r="J1497">
        <v>17</v>
      </c>
      <c r="K1497">
        <v>0.23400000000000001</v>
      </c>
      <c r="L1497">
        <v>0</v>
      </c>
      <c r="M1497">
        <v>0.8</v>
      </c>
      <c r="N1497">
        <v>-0.4</v>
      </c>
      <c r="O1497">
        <v>-0.16600000000000001</v>
      </c>
      <c r="P1497">
        <v>2001</v>
      </c>
      <c r="Q1497">
        <v>5</v>
      </c>
      <c r="R1497">
        <v>1.2</v>
      </c>
      <c r="S1497">
        <v>0.7</v>
      </c>
      <c r="T1497">
        <v>0.7</v>
      </c>
      <c r="U1497">
        <v>1</v>
      </c>
      <c r="V1497">
        <v>21</v>
      </c>
      <c r="W1497">
        <f>IF(nba_draft[[#This Row],[years_played]]&gt;5,1,0)</f>
        <v>0</v>
      </c>
    </row>
    <row r="1498" spans="1:23" x14ac:dyDescent="0.25">
      <c r="A1498">
        <v>21</v>
      </c>
      <c r="B1498" t="s">
        <v>25</v>
      </c>
      <c r="C1498" t="s">
        <v>1238</v>
      </c>
      <c r="D1498" t="s">
        <v>168</v>
      </c>
      <c r="E1498">
        <v>2</v>
      </c>
      <c r="F1498">
        <v>17</v>
      </c>
      <c r="G1498">
        <v>121</v>
      </c>
      <c r="H1498">
        <v>30</v>
      </c>
      <c r="I1498">
        <v>19</v>
      </c>
      <c r="J1498">
        <v>9</v>
      </c>
      <c r="K1498">
        <v>0.26500000000000001</v>
      </c>
      <c r="L1498">
        <v>0.214</v>
      </c>
      <c r="M1498">
        <v>0.5</v>
      </c>
      <c r="N1498">
        <v>-0.2</v>
      </c>
      <c r="O1498">
        <v>-8.8999999999999996E-2</v>
      </c>
      <c r="P1498">
        <v>2010</v>
      </c>
      <c r="Q1498">
        <v>7.1</v>
      </c>
      <c r="R1498">
        <v>1.8</v>
      </c>
      <c r="S1498">
        <v>1.1000000000000001</v>
      </c>
      <c r="T1498">
        <v>0.5</v>
      </c>
      <c r="U1498">
        <v>1</v>
      </c>
      <c r="V1498">
        <v>21</v>
      </c>
      <c r="W1498">
        <f>IF(nba_draft[[#This Row],[years_played]]&gt;5,1,0)</f>
        <v>0</v>
      </c>
    </row>
    <row r="1499" spans="1:23" x14ac:dyDescent="0.25">
      <c r="A1499">
        <v>20</v>
      </c>
      <c r="B1499" t="s">
        <v>37</v>
      </c>
      <c r="C1499" t="s">
        <v>529</v>
      </c>
      <c r="D1499" t="s">
        <v>412</v>
      </c>
      <c r="E1499">
        <v>2</v>
      </c>
      <c r="F1499">
        <v>16</v>
      </c>
      <c r="G1499">
        <v>111</v>
      </c>
      <c r="H1499">
        <v>29</v>
      </c>
      <c r="I1499">
        <v>18</v>
      </c>
      <c r="J1499">
        <v>3</v>
      </c>
      <c r="K1499">
        <v>0.44800000000000001</v>
      </c>
      <c r="L1499">
        <v>0</v>
      </c>
      <c r="M1499">
        <v>0.375</v>
      </c>
      <c r="N1499">
        <v>-0.1</v>
      </c>
      <c r="O1499">
        <v>-4.2999999999999997E-2</v>
      </c>
      <c r="P1499">
        <v>1997</v>
      </c>
      <c r="Q1499">
        <v>6.9</v>
      </c>
      <c r="R1499">
        <v>1.8</v>
      </c>
      <c r="S1499">
        <v>1.1000000000000001</v>
      </c>
      <c r="T1499">
        <v>0.2</v>
      </c>
      <c r="U1499">
        <v>1</v>
      </c>
      <c r="V1499">
        <v>20</v>
      </c>
      <c r="W1499">
        <f>IF(nba_draft[[#This Row],[years_played]]&gt;5,1,0)</f>
        <v>0</v>
      </c>
    </row>
    <row r="1500" spans="1:23" x14ac:dyDescent="0.25">
      <c r="A1500">
        <v>20</v>
      </c>
      <c r="B1500" t="s">
        <v>28</v>
      </c>
      <c r="C1500" t="s">
        <v>965</v>
      </c>
      <c r="D1500" t="s">
        <v>184</v>
      </c>
      <c r="E1500">
        <v>2</v>
      </c>
      <c r="F1500">
        <v>23</v>
      </c>
      <c r="G1500">
        <v>98</v>
      </c>
      <c r="H1500">
        <v>28</v>
      </c>
      <c r="I1500">
        <v>15</v>
      </c>
      <c r="J1500">
        <v>18</v>
      </c>
      <c r="K1500">
        <v>0.44</v>
      </c>
      <c r="L1500">
        <v>0</v>
      </c>
      <c r="M1500">
        <v>0.5</v>
      </c>
      <c r="N1500">
        <v>0</v>
      </c>
      <c r="O1500">
        <v>3.0000000000000001E-3</v>
      </c>
      <c r="P1500">
        <v>2005</v>
      </c>
      <c r="Q1500">
        <v>4.3</v>
      </c>
      <c r="R1500">
        <v>1.2</v>
      </c>
      <c r="S1500">
        <v>0.7</v>
      </c>
      <c r="T1500">
        <v>0.8</v>
      </c>
      <c r="U1500">
        <v>1</v>
      </c>
      <c r="V1500">
        <v>20</v>
      </c>
      <c r="W1500">
        <f>IF(nba_draft[[#This Row],[years_played]]&gt;5,1,0)</f>
        <v>0</v>
      </c>
    </row>
    <row r="1501" spans="1:23" x14ac:dyDescent="0.25">
      <c r="A1501">
        <v>35</v>
      </c>
      <c r="B1501" t="s">
        <v>40</v>
      </c>
      <c r="C1501" t="s">
        <v>1306</v>
      </c>
      <c r="D1501" t="s">
        <v>113</v>
      </c>
      <c r="E1501">
        <v>2</v>
      </c>
      <c r="F1501">
        <v>24</v>
      </c>
      <c r="G1501">
        <v>120</v>
      </c>
      <c r="H1501">
        <v>28</v>
      </c>
      <c r="I1501">
        <v>24</v>
      </c>
      <c r="J1501">
        <v>9</v>
      </c>
      <c r="K1501">
        <v>0.314</v>
      </c>
      <c r="L1501">
        <v>0.2</v>
      </c>
      <c r="M1501">
        <v>0.71399999999999997</v>
      </c>
      <c r="N1501">
        <v>-0.1</v>
      </c>
      <c r="O1501">
        <v>-4.9000000000000002E-2</v>
      </c>
      <c r="P1501">
        <v>2011</v>
      </c>
      <c r="Q1501">
        <v>5</v>
      </c>
      <c r="R1501">
        <v>1.2</v>
      </c>
      <c r="S1501">
        <v>1</v>
      </c>
      <c r="T1501">
        <v>0.4</v>
      </c>
      <c r="U1501">
        <v>2</v>
      </c>
      <c r="V1501">
        <v>5</v>
      </c>
      <c r="W1501">
        <f>IF(nba_draft[[#This Row],[years_played]]&gt;5,1,0)</f>
        <v>0</v>
      </c>
    </row>
    <row r="1502" spans="1:23" x14ac:dyDescent="0.25">
      <c r="A1502">
        <v>23</v>
      </c>
      <c r="B1502" t="s">
        <v>65</v>
      </c>
      <c r="C1502" t="s">
        <v>1794</v>
      </c>
      <c r="D1502" t="s">
        <v>97</v>
      </c>
      <c r="E1502">
        <v>1</v>
      </c>
      <c r="F1502">
        <v>25</v>
      </c>
      <c r="G1502">
        <v>188</v>
      </c>
      <c r="H1502">
        <v>28</v>
      </c>
      <c r="I1502">
        <v>35</v>
      </c>
      <c r="J1502">
        <v>11</v>
      </c>
      <c r="K1502">
        <v>0.28100000000000003</v>
      </c>
      <c r="L1502">
        <v>0.16700000000000001</v>
      </c>
      <c r="M1502">
        <v>0.88900000000000001</v>
      </c>
      <c r="N1502">
        <v>-0.1</v>
      </c>
      <c r="O1502">
        <v>-1.9E-2</v>
      </c>
      <c r="P1502">
        <v>2020</v>
      </c>
      <c r="Q1502">
        <v>7.5</v>
      </c>
      <c r="R1502">
        <v>1.1000000000000001</v>
      </c>
      <c r="S1502">
        <v>1.4</v>
      </c>
      <c r="T1502">
        <v>0.4</v>
      </c>
      <c r="U1502">
        <v>1</v>
      </c>
      <c r="V1502">
        <v>23</v>
      </c>
      <c r="W1502">
        <f>IF(nba_draft[[#This Row],[years_played]]&gt;5,1,0)</f>
        <v>0</v>
      </c>
    </row>
    <row r="1503" spans="1:23" x14ac:dyDescent="0.25">
      <c r="A1503">
        <v>37</v>
      </c>
      <c r="B1503" t="s">
        <v>90</v>
      </c>
      <c r="C1503" t="s">
        <v>430</v>
      </c>
      <c r="D1503" t="s">
        <v>431</v>
      </c>
      <c r="E1503">
        <v>2</v>
      </c>
      <c r="F1503">
        <v>13</v>
      </c>
      <c r="G1503">
        <v>79</v>
      </c>
      <c r="H1503">
        <v>27</v>
      </c>
      <c r="I1503">
        <v>16</v>
      </c>
      <c r="J1503">
        <v>7</v>
      </c>
      <c r="K1503">
        <v>0.35699999999999998</v>
      </c>
      <c r="L1503">
        <v>0.33300000000000002</v>
      </c>
      <c r="M1503">
        <v>0.75</v>
      </c>
      <c r="N1503">
        <v>0</v>
      </c>
      <c r="O1503">
        <v>2.5000000000000001E-2</v>
      </c>
      <c r="P1503">
        <v>1995</v>
      </c>
      <c r="Q1503">
        <v>6.1</v>
      </c>
      <c r="R1503">
        <v>2.1</v>
      </c>
      <c r="S1503">
        <v>1.2</v>
      </c>
      <c r="T1503">
        <v>0.5</v>
      </c>
      <c r="U1503">
        <v>2</v>
      </c>
      <c r="V1503">
        <v>8</v>
      </c>
      <c r="W1503">
        <f>IF(nba_draft[[#This Row],[years_played]]&gt;5,1,0)</f>
        <v>0</v>
      </c>
    </row>
    <row r="1504" spans="1:23" x14ac:dyDescent="0.25">
      <c r="A1504">
        <v>58</v>
      </c>
      <c r="B1504" t="s">
        <v>40</v>
      </c>
      <c r="C1504" t="s">
        <v>843</v>
      </c>
      <c r="D1504" t="s">
        <v>844</v>
      </c>
      <c r="E1504">
        <v>1</v>
      </c>
      <c r="F1504">
        <v>10</v>
      </c>
      <c r="G1504">
        <v>110</v>
      </c>
      <c r="H1504">
        <v>27</v>
      </c>
      <c r="I1504">
        <v>25</v>
      </c>
      <c r="J1504">
        <v>3</v>
      </c>
      <c r="K1504">
        <v>0.32300000000000001</v>
      </c>
      <c r="L1504">
        <v>0</v>
      </c>
      <c r="M1504">
        <v>0.58299999999999996</v>
      </c>
      <c r="N1504">
        <v>0.1</v>
      </c>
      <c r="O1504">
        <v>2.5999999999999999E-2</v>
      </c>
      <c r="P1504">
        <v>2002</v>
      </c>
      <c r="Q1504">
        <v>11</v>
      </c>
      <c r="R1504">
        <v>2.7</v>
      </c>
      <c r="S1504">
        <v>2.5</v>
      </c>
      <c r="T1504">
        <v>0.3</v>
      </c>
      <c r="U1504">
        <v>2</v>
      </c>
      <c r="V1504">
        <v>29</v>
      </c>
      <c r="W1504">
        <f>IF(nba_draft[[#This Row],[years_played]]&gt;5,1,0)</f>
        <v>0</v>
      </c>
    </row>
    <row r="1505" spans="1:23" x14ac:dyDescent="0.25">
      <c r="A1505">
        <v>52</v>
      </c>
      <c r="B1505" t="s">
        <v>85</v>
      </c>
      <c r="C1505" t="s">
        <v>1103</v>
      </c>
      <c r="D1505" t="s">
        <v>84</v>
      </c>
      <c r="E1505">
        <v>1</v>
      </c>
      <c r="F1505">
        <v>17</v>
      </c>
      <c r="G1505">
        <v>74</v>
      </c>
      <c r="H1505">
        <v>27</v>
      </c>
      <c r="I1505">
        <v>10</v>
      </c>
      <c r="J1505">
        <v>11</v>
      </c>
      <c r="K1505">
        <v>0.28000000000000003</v>
      </c>
      <c r="L1505">
        <v>0.182</v>
      </c>
      <c r="M1505">
        <v>0.91700000000000004</v>
      </c>
      <c r="N1505">
        <v>-0.1</v>
      </c>
      <c r="O1505">
        <v>-6.6000000000000003E-2</v>
      </c>
      <c r="P1505">
        <v>2007</v>
      </c>
      <c r="Q1505">
        <v>4.4000000000000004</v>
      </c>
      <c r="R1505">
        <v>1.6</v>
      </c>
      <c r="S1505">
        <v>0.6</v>
      </c>
      <c r="T1505">
        <v>0.6</v>
      </c>
      <c r="U1505">
        <v>2</v>
      </c>
      <c r="V1505">
        <v>22</v>
      </c>
      <c r="W1505">
        <f>IF(nba_draft[[#This Row],[years_played]]&gt;5,1,0)</f>
        <v>0</v>
      </c>
    </row>
    <row r="1506" spans="1:23" x14ac:dyDescent="0.25">
      <c r="A1506">
        <v>40</v>
      </c>
      <c r="B1506" t="s">
        <v>393</v>
      </c>
      <c r="C1506" t="s">
        <v>1811</v>
      </c>
      <c r="D1506" t="s">
        <v>461</v>
      </c>
      <c r="E1506">
        <v>2</v>
      </c>
      <c r="F1506">
        <v>25</v>
      </c>
      <c r="G1506">
        <v>87</v>
      </c>
      <c r="H1506">
        <v>27</v>
      </c>
      <c r="I1506">
        <v>27</v>
      </c>
      <c r="J1506">
        <v>5</v>
      </c>
      <c r="K1506">
        <v>0.27800000000000002</v>
      </c>
      <c r="L1506">
        <v>0.2</v>
      </c>
      <c r="M1506">
        <v>0.5</v>
      </c>
      <c r="N1506">
        <v>-0.1</v>
      </c>
      <c r="O1506">
        <v>-7.4999999999999997E-2</v>
      </c>
      <c r="P1506">
        <v>2020</v>
      </c>
      <c r="Q1506">
        <v>3.5</v>
      </c>
      <c r="R1506">
        <v>1.1000000000000001</v>
      </c>
      <c r="S1506">
        <v>1.1000000000000001</v>
      </c>
      <c r="T1506">
        <v>0.2</v>
      </c>
      <c r="U1506">
        <v>2</v>
      </c>
      <c r="V1506">
        <v>10</v>
      </c>
      <c r="W1506">
        <f>IF(nba_draft[[#This Row],[years_played]]&gt;5,1,0)</f>
        <v>0</v>
      </c>
    </row>
    <row r="1507" spans="1:23" x14ac:dyDescent="0.25">
      <c r="A1507">
        <v>41</v>
      </c>
      <c r="B1507" t="s">
        <v>28</v>
      </c>
      <c r="C1507" t="s">
        <v>552</v>
      </c>
      <c r="D1507" t="s">
        <v>458</v>
      </c>
      <c r="E1507">
        <v>1</v>
      </c>
      <c r="F1507">
        <v>17</v>
      </c>
      <c r="G1507">
        <v>80</v>
      </c>
      <c r="H1507">
        <v>26</v>
      </c>
      <c r="I1507">
        <v>27</v>
      </c>
      <c r="J1507">
        <v>5</v>
      </c>
      <c r="K1507">
        <v>0.6</v>
      </c>
      <c r="L1507">
        <v>0</v>
      </c>
      <c r="M1507">
        <v>0.8</v>
      </c>
      <c r="N1507">
        <v>0.5</v>
      </c>
      <c r="O1507">
        <v>0.28000000000000003</v>
      </c>
      <c r="P1507">
        <v>1997</v>
      </c>
      <c r="Q1507">
        <v>4.7</v>
      </c>
      <c r="R1507">
        <v>1.5</v>
      </c>
      <c r="S1507">
        <v>1.6</v>
      </c>
      <c r="T1507">
        <v>0.3</v>
      </c>
      <c r="U1507">
        <v>2</v>
      </c>
      <c r="V1507">
        <v>13</v>
      </c>
      <c r="W1507">
        <f>IF(nba_draft[[#This Row],[years_played]]&gt;5,1,0)</f>
        <v>0</v>
      </c>
    </row>
    <row r="1508" spans="1:23" x14ac:dyDescent="0.25">
      <c r="A1508">
        <v>12</v>
      </c>
      <c r="B1508" t="s">
        <v>395</v>
      </c>
      <c r="C1508" t="s">
        <v>641</v>
      </c>
      <c r="D1508" t="s">
        <v>642</v>
      </c>
      <c r="E1508">
        <v>2</v>
      </c>
      <c r="F1508">
        <v>15</v>
      </c>
      <c r="G1508">
        <v>152</v>
      </c>
      <c r="H1508">
        <v>26</v>
      </c>
      <c r="I1508">
        <v>36</v>
      </c>
      <c r="J1508">
        <v>7</v>
      </c>
      <c r="K1508">
        <v>0.308</v>
      </c>
      <c r="L1508">
        <v>0</v>
      </c>
      <c r="M1508">
        <v>0.625</v>
      </c>
      <c r="N1508">
        <v>-0.4</v>
      </c>
      <c r="O1508">
        <v>-0.13</v>
      </c>
      <c r="P1508">
        <v>1999</v>
      </c>
      <c r="Q1508">
        <v>10.1</v>
      </c>
      <c r="R1508">
        <v>1.7</v>
      </c>
      <c r="S1508">
        <v>2.4</v>
      </c>
      <c r="T1508">
        <v>0.5</v>
      </c>
      <c r="U1508">
        <v>1</v>
      </c>
      <c r="V1508">
        <v>12</v>
      </c>
      <c r="W1508">
        <f>IF(nba_draft[[#This Row],[years_played]]&gt;5,1,0)</f>
        <v>0</v>
      </c>
    </row>
    <row r="1509" spans="1:23" x14ac:dyDescent="0.25">
      <c r="A1509">
        <v>57</v>
      </c>
      <c r="B1509" t="s">
        <v>102</v>
      </c>
      <c r="C1509" t="s">
        <v>790</v>
      </c>
      <c r="D1509" t="s">
        <v>33</v>
      </c>
      <c r="E1509">
        <v>1</v>
      </c>
      <c r="F1509">
        <v>23</v>
      </c>
      <c r="G1509">
        <v>126</v>
      </c>
      <c r="H1509">
        <v>26</v>
      </c>
      <c r="I1509">
        <v>36</v>
      </c>
      <c r="J1509">
        <v>3</v>
      </c>
      <c r="K1509">
        <v>0.4</v>
      </c>
      <c r="L1509">
        <v>0</v>
      </c>
      <c r="M1509">
        <v>0.5</v>
      </c>
      <c r="N1509">
        <v>0.1</v>
      </c>
      <c r="O1509">
        <v>3.4000000000000002E-2</v>
      </c>
      <c r="P1509">
        <v>2001</v>
      </c>
      <c r="Q1509">
        <v>5.5</v>
      </c>
      <c r="R1509">
        <v>1.1000000000000001</v>
      </c>
      <c r="S1509">
        <v>1.6</v>
      </c>
      <c r="T1509">
        <v>0.1</v>
      </c>
      <c r="U1509">
        <v>2</v>
      </c>
      <c r="V1509">
        <v>28</v>
      </c>
      <c r="W1509">
        <f>IF(nba_draft[[#This Row],[years_played]]&gt;5,1,0)</f>
        <v>0</v>
      </c>
    </row>
    <row r="1510" spans="1:23" x14ac:dyDescent="0.25">
      <c r="A1510">
        <v>30</v>
      </c>
      <c r="B1510" t="s">
        <v>75</v>
      </c>
      <c r="C1510" t="s">
        <v>1416</v>
      </c>
      <c r="D1510" t="s">
        <v>97</v>
      </c>
      <c r="E1510">
        <v>1</v>
      </c>
      <c r="F1510">
        <v>24</v>
      </c>
      <c r="G1510">
        <v>142</v>
      </c>
      <c r="H1510">
        <v>26</v>
      </c>
      <c r="I1510">
        <v>15</v>
      </c>
      <c r="J1510">
        <v>13</v>
      </c>
      <c r="K1510">
        <v>0.20499999999999999</v>
      </c>
      <c r="L1510">
        <v>0.16700000000000001</v>
      </c>
      <c r="M1510">
        <v>0.875</v>
      </c>
      <c r="N1510">
        <v>-0.4</v>
      </c>
      <c r="O1510">
        <v>-0.13200000000000001</v>
      </c>
      <c r="P1510">
        <v>2013</v>
      </c>
      <c r="Q1510">
        <v>5.9</v>
      </c>
      <c r="R1510">
        <v>1.1000000000000001</v>
      </c>
      <c r="S1510">
        <v>0.6</v>
      </c>
      <c r="T1510">
        <v>0.5</v>
      </c>
      <c r="U1510">
        <v>1</v>
      </c>
      <c r="V1510">
        <v>30</v>
      </c>
      <c r="W1510">
        <f>IF(nba_draft[[#This Row],[years_played]]&gt;5,1,0)</f>
        <v>0</v>
      </c>
    </row>
    <row r="1511" spans="1:23" x14ac:dyDescent="0.25">
      <c r="A1511">
        <v>60</v>
      </c>
      <c r="B1511" t="s">
        <v>88</v>
      </c>
      <c r="C1511" t="s">
        <v>1055</v>
      </c>
      <c r="D1511" t="s">
        <v>168</v>
      </c>
      <c r="E1511">
        <v>1</v>
      </c>
      <c r="F1511">
        <v>14</v>
      </c>
      <c r="G1511">
        <v>166</v>
      </c>
      <c r="H1511">
        <v>25</v>
      </c>
      <c r="I1511">
        <v>15</v>
      </c>
      <c r="J1511">
        <v>17</v>
      </c>
      <c r="K1511">
        <v>0.3</v>
      </c>
      <c r="L1511">
        <v>0.2</v>
      </c>
      <c r="M1511">
        <v>1</v>
      </c>
      <c r="N1511">
        <v>-0.1</v>
      </c>
      <c r="O1511">
        <v>-3.2000000000000001E-2</v>
      </c>
      <c r="P1511">
        <v>2006</v>
      </c>
      <c r="Q1511">
        <v>11.9</v>
      </c>
      <c r="R1511">
        <v>1.8</v>
      </c>
      <c r="S1511">
        <v>1.1000000000000001</v>
      </c>
      <c r="T1511">
        <v>1.2</v>
      </c>
      <c r="U1511">
        <v>2</v>
      </c>
      <c r="V1511">
        <v>30</v>
      </c>
      <c r="W1511">
        <f>IF(nba_draft[[#This Row],[years_played]]&gt;5,1,0)</f>
        <v>0</v>
      </c>
    </row>
    <row r="1512" spans="1:23" x14ac:dyDescent="0.25">
      <c r="A1512">
        <v>20</v>
      </c>
      <c r="B1512" t="s">
        <v>49</v>
      </c>
      <c r="C1512" t="s">
        <v>1851</v>
      </c>
      <c r="D1512" t="s">
        <v>87</v>
      </c>
      <c r="E1512">
        <v>1</v>
      </c>
      <c r="F1512">
        <v>14</v>
      </c>
      <c r="G1512">
        <v>64</v>
      </c>
      <c r="H1512">
        <v>25</v>
      </c>
      <c r="I1512">
        <v>16</v>
      </c>
      <c r="J1512">
        <v>1</v>
      </c>
      <c r="K1512">
        <v>0.45</v>
      </c>
      <c r="L1512">
        <v>0.375</v>
      </c>
      <c r="M1512">
        <v>0.66700000000000004</v>
      </c>
      <c r="N1512">
        <v>0</v>
      </c>
      <c r="O1512">
        <v>8.9999999999999993E-3</v>
      </c>
      <c r="P1512">
        <v>2021</v>
      </c>
      <c r="Q1512">
        <v>4.5999999999999996</v>
      </c>
      <c r="R1512">
        <v>1.8</v>
      </c>
      <c r="S1512">
        <v>1.1000000000000001</v>
      </c>
      <c r="T1512">
        <v>0.1</v>
      </c>
      <c r="U1512">
        <v>1</v>
      </c>
      <c r="V1512">
        <v>20</v>
      </c>
      <c r="W1512">
        <f>IF(nba_draft[[#This Row],[years_played]]&gt;5,1,0)</f>
        <v>0</v>
      </c>
    </row>
    <row r="1513" spans="1:23" x14ac:dyDescent="0.25">
      <c r="A1513">
        <v>31</v>
      </c>
      <c r="B1513" t="s">
        <v>22</v>
      </c>
      <c r="C1513" t="s">
        <v>1248</v>
      </c>
      <c r="D1513" t="s">
        <v>97</v>
      </c>
      <c r="E1513">
        <v>1</v>
      </c>
      <c r="F1513">
        <v>12</v>
      </c>
      <c r="G1513">
        <v>82</v>
      </c>
      <c r="H1513">
        <v>24</v>
      </c>
      <c r="I1513">
        <v>15</v>
      </c>
      <c r="J1513">
        <v>2</v>
      </c>
      <c r="K1513">
        <v>0.44</v>
      </c>
      <c r="L1513">
        <v>0</v>
      </c>
      <c r="M1513">
        <v>1</v>
      </c>
      <c r="N1513">
        <v>-0.1</v>
      </c>
      <c r="O1513">
        <v>-4.1000000000000002E-2</v>
      </c>
      <c r="P1513">
        <v>2010</v>
      </c>
      <c r="Q1513">
        <v>6.8</v>
      </c>
      <c r="R1513">
        <v>2</v>
      </c>
      <c r="S1513">
        <v>1.3</v>
      </c>
      <c r="T1513">
        <v>0.2</v>
      </c>
      <c r="U1513">
        <v>2</v>
      </c>
      <c r="V1513">
        <v>1</v>
      </c>
      <c r="W1513">
        <f>IF(nba_draft[[#This Row],[years_played]]&gt;5,1,0)</f>
        <v>0</v>
      </c>
    </row>
    <row r="1514" spans="1:23" x14ac:dyDescent="0.25">
      <c r="A1514">
        <v>43</v>
      </c>
      <c r="B1514" t="s">
        <v>55</v>
      </c>
      <c r="C1514" t="s">
        <v>1581</v>
      </c>
      <c r="D1514" t="s">
        <v>97</v>
      </c>
      <c r="E1514">
        <v>2</v>
      </c>
      <c r="F1514">
        <v>19</v>
      </c>
      <c r="G1514">
        <v>125</v>
      </c>
      <c r="H1514">
        <v>24</v>
      </c>
      <c r="I1514">
        <v>22</v>
      </c>
      <c r="J1514">
        <v>2</v>
      </c>
      <c r="K1514">
        <v>0.21199999999999999</v>
      </c>
      <c r="L1514">
        <v>0.105</v>
      </c>
      <c r="M1514">
        <v>0.66700000000000004</v>
      </c>
      <c r="N1514">
        <v>-0.2</v>
      </c>
      <c r="O1514">
        <v>-9.2999999999999999E-2</v>
      </c>
      <c r="P1514">
        <v>2016</v>
      </c>
      <c r="Q1514">
        <v>6.6</v>
      </c>
      <c r="R1514">
        <v>1.3</v>
      </c>
      <c r="S1514">
        <v>1.2</v>
      </c>
      <c r="T1514">
        <v>0.1</v>
      </c>
      <c r="U1514">
        <v>2</v>
      </c>
      <c r="V1514">
        <v>13</v>
      </c>
      <c r="W1514">
        <f>IF(nba_draft[[#This Row],[years_played]]&gt;5,1,0)</f>
        <v>0</v>
      </c>
    </row>
    <row r="1515" spans="1:23" x14ac:dyDescent="0.25">
      <c r="A1515">
        <v>56</v>
      </c>
      <c r="B1515" t="s">
        <v>25</v>
      </c>
      <c r="C1515" t="s">
        <v>1159</v>
      </c>
      <c r="D1515" t="s">
        <v>108</v>
      </c>
      <c r="E1515">
        <v>1</v>
      </c>
      <c r="F1515">
        <v>25</v>
      </c>
      <c r="G1515">
        <v>95</v>
      </c>
      <c r="H1515">
        <v>23</v>
      </c>
      <c r="I1515">
        <v>26</v>
      </c>
      <c r="J1515">
        <v>3</v>
      </c>
      <c r="K1515">
        <v>0.52900000000000003</v>
      </c>
      <c r="L1515">
        <v>0</v>
      </c>
      <c r="M1515">
        <v>0.45500000000000002</v>
      </c>
      <c r="N1515">
        <v>0.2</v>
      </c>
      <c r="O1515">
        <v>9.6000000000000002E-2</v>
      </c>
      <c r="P1515">
        <v>2008</v>
      </c>
      <c r="Q1515">
        <v>3.8</v>
      </c>
      <c r="R1515">
        <v>0.9</v>
      </c>
      <c r="S1515">
        <v>1</v>
      </c>
      <c r="T1515">
        <v>0.1</v>
      </c>
      <c r="U1515">
        <v>2</v>
      </c>
      <c r="V1515">
        <v>26</v>
      </c>
      <c r="W1515">
        <f>IF(nba_draft[[#This Row],[years_played]]&gt;5,1,0)</f>
        <v>0</v>
      </c>
    </row>
    <row r="1516" spans="1:23" x14ac:dyDescent="0.25">
      <c r="A1516">
        <v>41</v>
      </c>
      <c r="B1516" t="s">
        <v>31</v>
      </c>
      <c r="C1516" t="s">
        <v>1579</v>
      </c>
      <c r="D1516" t="s">
        <v>142</v>
      </c>
      <c r="E1516">
        <v>1</v>
      </c>
      <c r="F1516">
        <v>19</v>
      </c>
      <c r="G1516">
        <v>108</v>
      </c>
      <c r="H1516">
        <v>23</v>
      </c>
      <c r="I1516">
        <v>35</v>
      </c>
      <c r="J1516">
        <v>4</v>
      </c>
      <c r="K1516">
        <v>0.32300000000000001</v>
      </c>
      <c r="L1516">
        <v>0</v>
      </c>
      <c r="M1516">
        <v>0.6</v>
      </c>
      <c r="N1516">
        <v>0</v>
      </c>
      <c r="O1516">
        <v>-5.0000000000000001E-3</v>
      </c>
      <c r="P1516">
        <v>2016</v>
      </c>
      <c r="Q1516">
        <v>5.7</v>
      </c>
      <c r="R1516">
        <v>1.2</v>
      </c>
      <c r="S1516">
        <v>1.8</v>
      </c>
      <c r="T1516">
        <v>0.2</v>
      </c>
      <c r="U1516">
        <v>2</v>
      </c>
      <c r="V1516">
        <v>11</v>
      </c>
      <c r="W1516">
        <f>IF(nba_draft[[#This Row],[years_played]]&gt;5,1,0)</f>
        <v>0</v>
      </c>
    </row>
    <row r="1517" spans="1:23" x14ac:dyDescent="0.25">
      <c r="A1517">
        <v>24</v>
      </c>
      <c r="B1517" t="s">
        <v>104</v>
      </c>
      <c r="C1517" t="s">
        <v>1619</v>
      </c>
      <c r="D1517" t="s">
        <v>24</v>
      </c>
      <c r="E1517">
        <v>2</v>
      </c>
      <c r="F1517">
        <v>26</v>
      </c>
      <c r="G1517">
        <v>96</v>
      </c>
      <c r="H1517">
        <v>23</v>
      </c>
      <c r="I1517">
        <v>18</v>
      </c>
      <c r="J1517">
        <v>6</v>
      </c>
      <c r="K1517">
        <v>0.5</v>
      </c>
      <c r="L1517">
        <v>0.4</v>
      </c>
      <c r="M1517">
        <v>0.33300000000000002</v>
      </c>
      <c r="N1517">
        <v>0.2</v>
      </c>
      <c r="O1517">
        <v>8.4000000000000005E-2</v>
      </c>
      <c r="P1517">
        <v>2017</v>
      </c>
      <c r="Q1517">
        <v>3.7</v>
      </c>
      <c r="R1517">
        <v>0.9</v>
      </c>
      <c r="S1517">
        <v>0.7</v>
      </c>
      <c r="T1517">
        <v>0.2</v>
      </c>
      <c r="U1517">
        <v>1</v>
      </c>
      <c r="V1517">
        <v>24</v>
      </c>
      <c r="W1517">
        <f>IF(nba_draft[[#This Row],[years_played]]&gt;5,1,0)</f>
        <v>0</v>
      </c>
    </row>
    <row r="1518" spans="1:23" x14ac:dyDescent="0.25">
      <c r="A1518">
        <v>50</v>
      </c>
      <c r="B1518" t="s">
        <v>104</v>
      </c>
      <c r="C1518" t="s">
        <v>732</v>
      </c>
      <c r="D1518" t="s">
        <v>733</v>
      </c>
      <c r="E1518">
        <v>3</v>
      </c>
      <c r="F1518">
        <v>19</v>
      </c>
      <c r="G1518">
        <v>85</v>
      </c>
      <c r="H1518">
        <v>22</v>
      </c>
      <c r="I1518">
        <v>12</v>
      </c>
      <c r="J1518">
        <v>2</v>
      </c>
      <c r="K1518">
        <v>0.4</v>
      </c>
      <c r="L1518">
        <v>0.33300000000000002</v>
      </c>
      <c r="M1518">
        <v>0.75</v>
      </c>
      <c r="N1518">
        <v>0.1</v>
      </c>
      <c r="O1518">
        <v>5.5E-2</v>
      </c>
      <c r="P1518">
        <v>2000</v>
      </c>
      <c r="Q1518">
        <v>4.5</v>
      </c>
      <c r="R1518">
        <v>1.2</v>
      </c>
      <c r="S1518">
        <v>0.6</v>
      </c>
      <c r="T1518">
        <v>0.1</v>
      </c>
      <c r="U1518">
        <v>2</v>
      </c>
      <c r="V1518">
        <v>21</v>
      </c>
      <c r="W1518">
        <f>IF(nba_draft[[#This Row],[years_played]]&gt;5,1,0)</f>
        <v>0</v>
      </c>
    </row>
    <row r="1519" spans="1:23" x14ac:dyDescent="0.25">
      <c r="A1519">
        <v>51</v>
      </c>
      <c r="B1519" t="s">
        <v>90</v>
      </c>
      <c r="C1519" t="s">
        <v>1051</v>
      </c>
      <c r="D1519" t="s">
        <v>97</v>
      </c>
      <c r="E1519">
        <v>2</v>
      </c>
      <c r="F1519">
        <v>22</v>
      </c>
      <c r="G1519">
        <v>114</v>
      </c>
      <c r="H1519">
        <v>22</v>
      </c>
      <c r="I1519">
        <v>31</v>
      </c>
      <c r="J1519">
        <v>1</v>
      </c>
      <c r="K1519">
        <v>0.25</v>
      </c>
      <c r="L1519">
        <v>0</v>
      </c>
      <c r="M1519">
        <v>0.44400000000000001</v>
      </c>
      <c r="N1519">
        <v>-0.1</v>
      </c>
      <c r="O1519">
        <v>-5.6000000000000001E-2</v>
      </c>
      <c r="P1519">
        <v>2006</v>
      </c>
      <c r="Q1519">
        <v>5.2</v>
      </c>
      <c r="R1519">
        <v>1</v>
      </c>
      <c r="S1519">
        <v>1.4</v>
      </c>
      <c r="T1519">
        <v>0</v>
      </c>
      <c r="U1519">
        <v>2</v>
      </c>
      <c r="V1519">
        <v>21</v>
      </c>
      <c r="W1519">
        <f>IF(nba_draft[[#This Row],[years_played]]&gt;5,1,0)</f>
        <v>0</v>
      </c>
    </row>
    <row r="1520" spans="1:23" x14ac:dyDescent="0.25">
      <c r="A1520">
        <v>53</v>
      </c>
      <c r="B1520" t="s">
        <v>85</v>
      </c>
      <c r="C1520" t="s">
        <v>1104</v>
      </c>
      <c r="D1520" t="s">
        <v>24</v>
      </c>
      <c r="E1520">
        <v>2</v>
      </c>
      <c r="F1520">
        <v>18</v>
      </c>
      <c r="G1520">
        <v>58</v>
      </c>
      <c r="H1520">
        <v>22</v>
      </c>
      <c r="I1520">
        <v>7</v>
      </c>
      <c r="J1520">
        <v>2</v>
      </c>
      <c r="K1520">
        <v>0.28100000000000003</v>
      </c>
      <c r="L1520">
        <v>0.2</v>
      </c>
      <c r="M1520">
        <v>0.5</v>
      </c>
      <c r="N1520">
        <v>-0.2</v>
      </c>
      <c r="O1520">
        <v>-0.20300000000000001</v>
      </c>
      <c r="P1520">
        <v>2007</v>
      </c>
      <c r="Q1520">
        <v>3.2</v>
      </c>
      <c r="R1520">
        <v>1.2</v>
      </c>
      <c r="S1520">
        <v>0.4</v>
      </c>
      <c r="T1520">
        <v>0.1</v>
      </c>
      <c r="U1520">
        <v>2</v>
      </c>
      <c r="V1520">
        <v>23</v>
      </c>
      <c r="W1520">
        <f>IF(nba_draft[[#This Row],[years_played]]&gt;5,1,0)</f>
        <v>0</v>
      </c>
    </row>
    <row r="1521" spans="1:23" x14ac:dyDescent="0.25">
      <c r="A1521">
        <v>37</v>
      </c>
      <c r="B1521" t="s">
        <v>88</v>
      </c>
      <c r="C1521" t="s">
        <v>1423</v>
      </c>
      <c r="D1521" t="s">
        <v>1424</v>
      </c>
      <c r="E1521">
        <v>1</v>
      </c>
      <c r="F1521">
        <v>21</v>
      </c>
      <c r="G1521">
        <v>79</v>
      </c>
      <c r="H1521">
        <v>22</v>
      </c>
      <c r="I1521">
        <v>26</v>
      </c>
      <c r="J1521">
        <v>2</v>
      </c>
      <c r="K1521">
        <v>0.41699999999999998</v>
      </c>
      <c r="L1521">
        <v>1</v>
      </c>
      <c r="M1521">
        <v>0.57899999999999996</v>
      </c>
      <c r="N1521">
        <v>0.2</v>
      </c>
      <c r="O1521">
        <v>0.151</v>
      </c>
      <c r="P1521">
        <v>2013</v>
      </c>
      <c r="Q1521">
        <v>3.8</v>
      </c>
      <c r="R1521">
        <v>1</v>
      </c>
      <c r="S1521">
        <v>1.2</v>
      </c>
      <c r="T1521">
        <v>0.1</v>
      </c>
      <c r="U1521">
        <v>2</v>
      </c>
      <c r="V1521">
        <v>7</v>
      </c>
      <c r="W1521">
        <f>IF(nba_draft[[#This Row],[years_played]]&gt;5,1,0)</f>
        <v>0</v>
      </c>
    </row>
    <row r="1522" spans="1:23" x14ac:dyDescent="0.25">
      <c r="A1522">
        <v>42</v>
      </c>
      <c r="B1522" t="s">
        <v>25</v>
      </c>
      <c r="C1522" t="s">
        <v>326</v>
      </c>
      <c r="D1522" t="s">
        <v>108</v>
      </c>
      <c r="E1522">
        <v>2</v>
      </c>
      <c r="F1522">
        <v>10</v>
      </c>
      <c r="G1522">
        <v>97</v>
      </c>
      <c r="H1522">
        <v>21</v>
      </c>
      <c r="I1522">
        <v>6</v>
      </c>
      <c r="J1522">
        <v>22</v>
      </c>
      <c r="K1522">
        <v>0.29599999999999999</v>
      </c>
      <c r="L1522">
        <v>0.25</v>
      </c>
      <c r="M1522">
        <v>0.5</v>
      </c>
      <c r="N1522">
        <v>0</v>
      </c>
      <c r="O1522">
        <v>-1.4999999999999999E-2</v>
      </c>
      <c r="P1522">
        <v>1993</v>
      </c>
      <c r="Q1522">
        <v>9.6999999999999993</v>
      </c>
      <c r="R1522">
        <v>2.1</v>
      </c>
      <c r="S1522">
        <v>0.6</v>
      </c>
      <c r="T1522">
        <v>2.2000000000000002</v>
      </c>
      <c r="U1522">
        <v>2</v>
      </c>
      <c r="V1522">
        <v>15</v>
      </c>
      <c r="W1522">
        <f>IF(nba_draft[[#This Row],[years_played]]&gt;5,1,0)</f>
        <v>0</v>
      </c>
    </row>
    <row r="1523" spans="1:23" x14ac:dyDescent="0.25">
      <c r="A1523">
        <v>60</v>
      </c>
      <c r="B1523" t="s">
        <v>102</v>
      </c>
      <c r="C1523" t="s">
        <v>1711</v>
      </c>
      <c r="D1523" t="s">
        <v>101</v>
      </c>
      <c r="E1523">
        <v>3</v>
      </c>
      <c r="F1523">
        <v>22</v>
      </c>
      <c r="G1523">
        <v>87</v>
      </c>
      <c r="H1523">
        <v>21</v>
      </c>
      <c r="I1523">
        <v>23</v>
      </c>
      <c r="J1523">
        <v>3</v>
      </c>
      <c r="K1523">
        <v>0.375</v>
      </c>
      <c r="L1523">
        <v>0</v>
      </c>
      <c r="M1523">
        <v>0.47399999999999998</v>
      </c>
      <c r="N1523">
        <v>-0.2</v>
      </c>
      <c r="O1523">
        <v>-9.8000000000000004E-2</v>
      </c>
      <c r="P1523">
        <v>2018</v>
      </c>
      <c r="Q1523">
        <v>4</v>
      </c>
      <c r="R1523">
        <v>1</v>
      </c>
      <c r="S1523">
        <v>1</v>
      </c>
      <c r="T1523">
        <v>0.1</v>
      </c>
      <c r="U1523">
        <v>2</v>
      </c>
      <c r="V1523">
        <v>30</v>
      </c>
      <c r="W1523">
        <f>IF(nba_draft[[#This Row],[years_played]]&gt;5,1,0)</f>
        <v>0</v>
      </c>
    </row>
    <row r="1524" spans="1:23" x14ac:dyDescent="0.25">
      <c r="A1524">
        <v>39</v>
      </c>
      <c r="B1524" t="s">
        <v>40</v>
      </c>
      <c r="C1524" t="s">
        <v>1869</v>
      </c>
      <c r="D1524" t="s">
        <v>1831</v>
      </c>
      <c r="E1524">
        <v>1</v>
      </c>
      <c r="F1524">
        <v>10</v>
      </c>
      <c r="G1524">
        <v>56</v>
      </c>
      <c r="H1524">
        <v>21</v>
      </c>
      <c r="I1524">
        <v>19</v>
      </c>
      <c r="J1524">
        <v>4</v>
      </c>
      <c r="K1524">
        <v>0.39100000000000001</v>
      </c>
      <c r="L1524">
        <v>0</v>
      </c>
      <c r="M1524">
        <v>0.6</v>
      </c>
      <c r="N1524">
        <v>0</v>
      </c>
      <c r="O1524">
        <v>8.0000000000000002E-3</v>
      </c>
      <c r="P1524">
        <v>2021</v>
      </c>
      <c r="Q1524">
        <v>5.6</v>
      </c>
      <c r="R1524">
        <v>2.1</v>
      </c>
      <c r="S1524">
        <v>1.9</v>
      </c>
      <c r="T1524">
        <v>0.4</v>
      </c>
      <c r="U1524">
        <v>2</v>
      </c>
      <c r="V1524">
        <v>9</v>
      </c>
      <c r="W1524">
        <f>IF(nba_draft[[#This Row],[years_played]]&gt;5,1,0)</f>
        <v>0</v>
      </c>
    </row>
    <row r="1525" spans="1:23" x14ac:dyDescent="0.25">
      <c r="A1525">
        <v>35</v>
      </c>
      <c r="B1525" t="s">
        <v>25</v>
      </c>
      <c r="C1525" t="s">
        <v>933</v>
      </c>
      <c r="D1525" t="s">
        <v>439</v>
      </c>
      <c r="E1525">
        <v>2</v>
      </c>
      <c r="F1525">
        <v>14</v>
      </c>
      <c r="G1525">
        <v>73</v>
      </c>
      <c r="H1525">
        <v>20</v>
      </c>
      <c r="I1525">
        <v>8</v>
      </c>
      <c r="J1525">
        <v>1</v>
      </c>
      <c r="K1525">
        <v>0.46200000000000002</v>
      </c>
      <c r="L1525">
        <v>0</v>
      </c>
      <c r="M1525">
        <v>0.61499999999999999</v>
      </c>
      <c r="N1525">
        <v>0.1</v>
      </c>
      <c r="O1525">
        <v>0.04</v>
      </c>
      <c r="P1525">
        <v>2004</v>
      </c>
      <c r="Q1525">
        <v>5.2</v>
      </c>
      <c r="R1525">
        <v>1.4</v>
      </c>
      <c r="S1525">
        <v>0.6</v>
      </c>
      <c r="T1525">
        <v>0.1</v>
      </c>
      <c r="U1525">
        <v>2</v>
      </c>
      <c r="V1525">
        <v>6</v>
      </c>
      <c r="W1525">
        <f>IF(nba_draft[[#This Row],[years_played]]&gt;5,1,0)</f>
        <v>0</v>
      </c>
    </row>
    <row r="1526" spans="1:23" x14ac:dyDescent="0.25">
      <c r="A1526">
        <v>56</v>
      </c>
      <c r="B1526" t="s">
        <v>37</v>
      </c>
      <c r="C1526" t="s">
        <v>1266</v>
      </c>
      <c r="D1526" t="s">
        <v>1022</v>
      </c>
      <c r="E1526">
        <v>3</v>
      </c>
      <c r="F1526">
        <v>33</v>
      </c>
      <c r="G1526">
        <v>157</v>
      </c>
      <c r="H1526">
        <v>20</v>
      </c>
      <c r="I1526">
        <v>25</v>
      </c>
      <c r="J1526">
        <v>3</v>
      </c>
      <c r="K1526">
        <v>0.46700000000000003</v>
      </c>
      <c r="L1526">
        <v>0</v>
      </c>
      <c r="M1526">
        <v>0.46200000000000002</v>
      </c>
      <c r="N1526">
        <v>0</v>
      </c>
      <c r="O1526">
        <v>1.2999999999999999E-2</v>
      </c>
      <c r="P1526">
        <v>2010</v>
      </c>
      <c r="Q1526">
        <v>4.8</v>
      </c>
      <c r="R1526">
        <v>0.6</v>
      </c>
      <c r="S1526">
        <v>0.8</v>
      </c>
      <c r="T1526">
        <v>0.1</v>
      </c>
      <c r="U1526">
        <v>2</v>
      </c>
      <c r="V1526">
        <v>26</v>
      </c>
      <c r="W1526">
        <f>IF(nba_draft[[#This Row],[years_played]]&gt;5,1,0)</f>
        <v>0</v>
      </c>
    </row>
    <row r="1527" spans="1:23" x14ac:dyDescent="0.25">
      <c r="A1527">
        <v>53</v>
      </c>
      <c r="B1527" t="s">
        <v>25</v>
      </c>
      <c r="C1527" t="s">
        <v>1703</v>
      </c>
      <c r="D1527" t="s">
        <v>232</v>
      </c>
      <c r="E1527">
        <v>1</v>
      </c>
      <c r="F1527">
        <v>11</v>
      </c>
      <c r="G1527">
        <v>81</v>
      </c>
      <c r="H1527">
        <v>20</v>
      </c>
      <c r="I1527">
        <v>7</v>
      </c>
      <c r="J1527">
        <v>13</v>
      </c>
      <c r="K1527">
        <v>0.2</v>
      </c>
      <c r="L1527">
        <v>0.23499999999999999</v>
      </c>
      <c r="M1527">
        <v>0.5</v>
      </c>
      <c r="N1527">
        <v>-0.2</v>
      </c>
      <c r="O1527">
        <v>-0.11600000000000001</v>
      </c>
      <c r="P1527">
        <v>2018</v>
      </c>
      <c r="Q1527">
        <v>7.4</v>
      </c>
      <c r="R1527">
        <v>1.8</v>
      </c>
      <c r="S1527">
        <v>0.6</v>
      </c>
      <c r="T1527">
        <v>1.2</v>
      </c>
      <c r="U1527">
        <v>2</v>
      </c>
      <c r="V1527">
        <v>23</v>
      </c>
      <c r="W1527">
        <f>IF(nba_draft[[#This Row],[years_played]]&gt;5,1,0)</f>
        <v>0</v>
      </c>
    </row>
    <row r="1528" spans="1:23" x14ac:dyDescent="0.25">
      <c r="A1528">
        <v>18</v>
      </c>
      <c r="B1528" t="s">
        <v>104</v>
      </c>
      <c r="C1528" t="s">
        <v>301</v>
      </c>
      <c r="D1528" t="s">
        <v>164</v>
      </c>
      <c r="E1528">
        <v>1</v>
      </c>
      <c r="F1528">
        <v>15</v>
      </c>
      <c r="G1528">
        <v>92</v>
      </c>
      <c r="H1528">
        <v>19</v>
      </c>
      <c r="I1528">
        <v>10</v>
      </c>
      <c r="J1528">
        <v>0</v>
      </c>
      <c r="K1528">
        <v>0.34799999999999998</v>
      </c>
      <c r="L1528">
        <v>0</v>
      </c>
      <c r="M1528">
        <v>0.75</v>
      </c>
      <c r="N1528">
        <v>-0.1</v>
      </c>
      <c r="O1528">
        <v>-6.4000000000000001E-2</v>
      </c>
      <c r="P1528">
        <v>1993</v>
      </c>
      <c r="Q1528">
        <v>6.1</v>
      </c>
      <c r="R1528">
        <v>1.3</v>
      </c>
      <c r="S1528">
        <v>0.7</v>
      </c>
      <c r="T1528">
        <v>0</v>
      </c>
      <c r="U1528">
        <v>1</v>
      </c>
      <c r="V1528">
        <v>18</v>
      </c>
      <c r="W1528">
        <f>IF(nba_draft[[#This Row],[years_played]]&gt;5,1,0)</f>
        <v>0</v>
      </c>
    </row>
    <row r="1529" spans="1:23" x14ac:dyDescent="0.25">
      <c r="A1529">
        <v>33</v>
      </c>
      <c r="B1529" t="s">
        <v>138</v>
      </c>
      <c r="C1529" t="s">
        <v>1419</v>
      </c>
      <c r="D1529" t="s">
        <v>208</v>
      </c>
      <c r="E1529">
        <v>1</v>
      </c>
      <c r="F1529">
        <v>7</v>
      </c>
      <c r="G1529">
        <v>38</v>
      </c>
      <c r="H1529">
        <v>19</v>
      </c>
      <c r="I1529">
        <v>6</v>
      </c>
      <c r="J1529">
        <v>4</v>
      </c>
      <c r="K1529">
        <v>0.5</v>
      </c>
      <c r="L1529">
        <v>0.4</v>
      </c>
      <c r="M1529">
        <v>0.75</v>
      </c>
      <c r="N1529">
        <v>0</v>
      </c>
      <c r="O1529">
        <v>5.7000000000000002E-2</v>
      </c>
      <c r="P1529">
        <v>2013</v>
      </c>
      <c r="Q1529">
        <v>5.4</v>
      </c>
      <c r="R1529">
        <v>2.7</v>
      </c>
      <c r="S1529">
        <v>0.9</v>
      </c>
      <c r="T1529">
        <v>0.6</v>
      </c>
      <c r="U1529">
        <v>2</v>
      </c>
      <c r="V1529">
        <v>3</v>
      </c>
      <c r="W1529">
        <f>IF(nba_draft[[#This Row],[years_played]]&gt;5,1,0)</f>
        <v>0</v>
      </c>
    </row>
    <row r="1530" spans="1:23" x14ac:dyDescent="0.25">
      <c r="A1530">
        <v>53</v>
      </c>
      <c r="B1530" t="s">
        <v>104</v>
      </c>
      <c r="C1530" t="s">
        <v>1765</v>
      </c>
      <c r="D1530" t="s">
        <v>704</v>
      </c>
      <c r="E1530">
        <v>1</v>
      </c>
      <c r="F1530">
        <v>4</v>
      </c>
      <c r="G1530">
        <v>45</v>
      </c>
      <c r="H1530">
        <v>19</v>
      </c>
      <c r="I1530">
        <v>5</v>
      </c>
      <c r="J1530">
        <v>7</v>
      </c>
      <c r="K1530">
        <v>0.35</v>
      </c>
      <c r="L1530">
        <v>0.2</v>
      </c>
      <c r="M1530">
        <v>0.75</v>
      </c>
      <c r="N1530">
        <v>0</v>
      </c>
      <c r="O1530">
        <v>-8.0000000000000002E-3</v>
      </c>
      <c r="P1530">
        <v>2019</v>
      </c>
      <c r="Q1530">
        <v>11.3</v>
      </c>
      <c r="R1530">
        <v>4.8</v>
      </c>
      <c r="S1530">
        <v>1.3</v>
      </c>
      <c r="T1530">
        <v>1.8</v>
      </c>
      <c r="U1530">
        <v>2</v>
      </c>
      <c r="V1530">
        <v>23</v>
      </c>
      <c r="W1530">
        <f>IF(nba_draft[[#This Row],[years_played]]&gt;5,1,0)</f>
        <v>0</v>
      </c>
    </row>
    <row r="1531" spans="1:23" x14ac:dyDescent="0.25">
      <c r="A1531">
        <v>23</v>
      </c>
      <c r="B1531" t="s">
        <v>55</v>
      </c>
      <c r="C1531" t="s">
        <v>1854</v>
      </c>
      <c r="D1531" t="s">
        <v>97</v>
      </c>
      <c r="E1531">
        <v>1</v>
      </c>
      <c r="F1531">
        <v>15</v>
      </c>
      <c r="G1531">
        <v>105</v>
      </c>
      <c r="H1531">
        <v>19</v>
      </c>
      <c r="I1531">
        <v>34</v>
      </c>
      <c r="J1531">
        <v>8</v>
      </c>
      <c r="K1531">
        <v>0.33300000000000002</v>
      </c>
      <c r="L1531">
        <v>0.154</v>
      </c>
      <c r="M1531">
        <v>0.5</v>
      </c>
      <c r="N1531">
        <v>0.1</v>
      </c>
      <c r="O1531">
        <v>5.1999999999999998E-2</v>
      </c>
      <c r="P1531">
        <v>2021</v>
      </c>
      <c r="Q1531">
        <v>7</v>
      </c>
      <c r="R1531">
        <v>1.3</v>
      </c>
      <c r="S1531">
        <v>2.2999999999999998</v>
      </c>
      <c r="T1531">
        <v>0.5</v>
      </c>
      <c r="U1531">
        <v>1</v>
      </c>
      <c r="V1531">
        <v>23</v>
      </c>
      <c r="W1531">
        <f>IF(nba_draft[[#This Row],[years_played]]&gt;5,1,0)</f>
        <v>0</v>
      </c>
    </row>
    <row r="1532" spans="1:23" x14ac:dyDescent="0.25">
      <c r="A1532">
        <v>58</v>
      </c>
      <c r="B1532" t="s">
        <v>65</v>
      </c>
      <c r="C1532" t="s">
        <v>1884</v>
      </c>
      <c r="D1532" t="s">
        <v>60</v>
      </c>
      <c r="E1532">
        <v>1</v>
      </c>
      <c r="F1532">
        <v>18</v>
      </c>
      <c r="G1532">
        <v>117</v>
      </c>
      <c r="H1532">
        <v>19</v>
      </c>
      <c r="I1532">
        <v>27</v>
      </c>
      <c r="J1532">
        <v>1</v>
      </c>
      <c r="K1532">
        <v>0.72699999999999998</v>
      </c>
      <c r="L1532">
        <v>0</v>
      </c>
      <c r="M1532">
        <v>0.75</v>
      </c>
      <c r="N1532">
        <v>0.4</v>
      </c>
      <c r="O1532">
        <v>0.14499999999999999</v>
      </c>
      <c r="P1532">
        <v>2021</v>
      </c>
      <c r="Q1532">
        <v>6.5</v>
      </c>
      <c r="R1532">
        <v>1.1000000000000001</v>
      </c>
      <c r="S1532">
        <v>1.5</v>
      </c>
      <c r="T1532">
        <v>0.1</v>
      </c>
      <c r="U1532">
        <v>2</v>
      </c>
      <c r="V1532">
        <v>28</v>
      </c>
      <c r="W1532">
        <f>IF(nba_draft[[#This Row],[years_played]]&gt;5,1,0)</f>
        <v>0</v>
      </c>
    </row>
    <row r="1533" spans="1:23" x14ac:dyDescent="0.25">
      <c r="A1533">
        <v>40</v>
      </c>
      <c r="B1533" t="s">
        <v>46</v>
      </c>
      <c r="C1533" t="s">
        <v>378</v>
      </c>
      <c r="D1533" t="s">
        <v>255</v>
      </c>
      <c r="E1533">
        <v>1</v>
      </c>
      <c r="F1533">
        <v>11</v>
      </c>
      <c r="G1533">
        <v>58</v>
      </c>
      <c r="H1533">
        <v>18</v>
      </c>
      <c r="I1533">
        <v>7</v>
      </c>
      <c r="J1533">
        <v>3</v>
      </c>
      <c r="K1533">
        <v>0.34799999999999998</v>
      </c>
      <c r="L1533">
        <v>0.33300000000000002</v>
      </c>
      <c r="M1533">
        <v>0</v>
      </c>
      <c r="N1533">
        <v>0</v>
      </c>
      <c r="O1533">
        <v>-0.03</v>
      </c>
      <c r="P1533">
        <v>1994</v>
      </c>
      <c r="Q1533">
        <v>5.3</v>
      </c>
      <c r="R1533">
        <v>1.6</v>
      </c>
      <c r="S1533">
        <v>0.6</v>
      </c>
      <c r="T1533">
        <v>0.3</v>
      </c>
      <c r="U1533">
        <v>2</v>
      </c>
      <c r="V1533">
        <v>13</v>
      </c>
      <c r="W1533">
        <f>IF(nba_draft[[#This Row],[years_played]]&gt;5,1,0)</f>
        <v>0</v>
      </c>
    </row>
    <row r="1534" spans="1:23" x14ac:dyDescent="0.25">
      <c r="A1534">
        <v>53</v>
      </c>
      <c r="B1534" t="s">
        <v>63</v>
      </c>
      <c r="C1534" t="s">
        <v>502</v>
      </c>
      <c r="D1534" t="s">
        <v>259</v>
      </c>
      <c r="E1534">
        <v>1</v>
      </c>
      <c r="F1534">
        <v>13</v>
      </c>
      <c r="G1534">
        <v>48</v>
      </c>
      <c r="H1534">
        <v>18</v>
      </c>
      <c r="I1534">
        <v>14</v>
      </c>
      <c r="J1534">
        <v>3</v>
      </c>
      <c r="K1534">
        <v>0.27800000000000002</v>
      </c>
      <c r="L1534">
        <v>0</v>
      </c>
      <c r="M1534">
        <v>0.88900000000000001</v>
      </c>
      <c r="N1534">
        <v>0</v>
      </c>
      <c r="O1534">
        <v>4.2999999999999997E-2</v>
      </c>
      <c r="P1534">
        <v>1996</v>
      </c>
      <c r="Q1534">
        <v>3.7</v>
      </c>
      <c r="R1534">
        <v>1.4</v>
      </c>
      <c r="S1534">
        <v>1.1000000000000001</v>
      </c>
      <c r="T1534">
        <v>0.2</v>
      </c>
      <c r="U1534">
        <v>2</v>
      </c>
      <c r="V1534">
        <v>24</v>
      </c>
      <c r="W1534">
        <f>IF(nba_draft[[#This Row],[years_played]]&gt;5,1,0)</f>
        <v>0</v>
      </c>
    </row>
    <row r="1535" spans="1:23" x14ac:dyDescent="0.25">
      <c r="A1535">
        <v>53</v>
      </c>
      <c r="B1535" t="s">
        <v>28</v>
      </c>
      <c r="C1535" t="s">
        <v>737</v>
      </c>
      <c r="D1535" t="s">
        <v>738</v>
      </c>
      <c r="E1535">
        <v>1</v>
      </c>
      <c r="F1535">
        <v>6</v>
      </c>
      <c r="G1535">
        <v>58</v>
      </c>
      <c r="H1535">
        <v>18</v>
      </c>
      <c r="I1535">
        <v>17</v>
      </c>
      <c r="J1535">
        <v>1</v>
      </c>
      <c r="K1535">
        <v>0.5</v>
      </c>
      <c r="L1535">
        <v>0</v>
      </c>
      <c r="M1535">
        <v>0</v>
      </c>
      <c r="N1535">
        <v>0</v>
      </c>
      <c r="O1535">
        <v>7.0000000000000001E-3</v>
      </c>
      <c r="P1535">
        <v>2000</v>
      </c>
      <c r="Q1535">
        <v>9.6999999999999993</v>
      </c>
      <c r="R1535">
        <v>3</v>
      </c>
      <c r="S1535">
        <v>2.8</v>
      </c>
      <c r="T1535">
        <v>0.2</v>
      </c>
      <c r="U1535">
        <v>2</v>
      </c>
      <c r="V1535">
        <v>24</v>
      </c>
      <c r="W1535">
        <f>IF(nba_draft[[#This Row],[years_played]]&gt;5,1,0)</f>
        <v>0</v>
      </c>
    </row>
    <row r="1536" spans="1:23" x14ac:dyDescent="0.25">
      <c r="A1536">
        <v>37</v>
      </c>
      <c r="B1536" t="s">
        <v>55</v>
      </c>
      <c r="C1536" t="s">
        <v>1576</v>
      </c>
      <c r="D1536" t="s">
        <v>39</v>
      </c>
      <c r="E1536">
        <v>2</v>
      </c>
      <c r="F1536">
        <v>6</v>
      </c>
      <c r="G1536">
        <v>74</v>
      </c>
      <c r="H1536">
        <v>18</v>
      </c>
      <c r="I1536">
        <v>14</v>
      </c>
      <c r="J1536">
        <v>4</v>
      </c>
      <c r="K1536">
        <v>0.58299999999999996</v>
      </c>
      <c r="L1536">
        <v>0</v>
      </c>
      <c r="M1536">
        <v>1</v>
      </c>
      <c r="N1536">
        <v>0.1</v>
      </c>
      <c r="O1536">
        <v>4.2999999999999997E-2</v>
      </c>
      <c r="P1536">
        <v>2016</v>
      </c>
      <c r="Q1536">
        <v>12.3</v>
      </c>
      <c r="R1536">
        <v>3</v>
      </c>
      <c r="S1536">
        <v>2.2999999999999998</v>
      </c>
      <c r="T1536">
        <v>0.7</v>
      </c>
      <c r="U1536">
        <v>2</v>
      </c>
      <c r="V1536">
        <v>7</v>
      </c>
      <c r="W1536">
        <f>IF(nba_draft[[#This Row],[years_played]]&gt;5,1,0)</f>
        <v>0</v>
      </c>
    </row>
    <row r="1537" spans="1:23" x14ac:dyDescent="0.25">
      <c r="A1537">
        <v>58</v>
      </c>
      <c r="B1537" t="s">
        <v>28</v>
      </c>
      <c r="C1537" t="s">
        <v>1709</v>
      </c>
      <c r="D1537" t="s">
        <v>113</v>
      </c>
      <c r="E1537">
        <v>1</v>
      </c>
      <c r="F1537">
        <v>11</v>
      </c>
      <c r="G1537">
        <v>36</v>
      </c>
      <c r="H1537">
        <v>18</v>
      </c>
      <c r="I1537">
        <v>4</v>
      </c>
      <c r="J1537">
        <v>5</v>
      </c>
      <c r="K1537">
        <v>0.53800000000000003</v>
      </c>
      <c r="L1537">
        <v>0.42899999999999999</v>
      </c>
      <c r="M1537">
        <v>0.5</v>
      </c>
      <c r="N1537">
        <v>0.1</v>
      </c>
      <c r="O1537">
        <v>0.16200000000000001</v>
      </c>
      <c r="P1537">
        <v>2018</v>
      </c>
      <c r="Q1537">
        <v>3.3</v>
      </c>
      <c r="R1537">
        <v>1.6</v>
      </c>
      <c r="S1537">
        <v>0.4</v>
      </c>
      <c r="T1537">
        <v>0.5</v>
      </c>
      <c r="U1537">
        <v>2</v>
      </c>
      <c r="V1537">
        <v>28</v>
      </c>
      <c r="W1537">
        <f>IF(nba_draft[[#This Row],[years_played]]&gt;5,1,0)</f>
        <v>0</v>
      </c>
    </row>
    <row r="1538" spans="1:23" x14ac:dyDescent="0.25">
      <c r="A1538">
        <v>36</v>
      </c>
      <c r="B1538" t="s">
        <v>102</v>
      </c>
      <c r="C1538" t="s">
        <v>1807</v>
      </c>
      <c r="D1538" t="s">
        <v>435</v>
      </c>
      <c r="E1538">
        <v>1</v>
      </c>
      <c r="F1538">
        <v>18</v>
      </c>
      <c r="G1538">
        <v>71</v>
      </c>
      <c r="H1538">
        <v>18</v>
      </c>
      <c r="I1538">
        <v>19</v>
      </c>
      <c r="J1538">
        <v>3</v>
      </c>
      <c r="K1538">
        <v>0.318</v>
      </c>
      <c r="L1538">
        <v>0.25</v>
      </c>
      <c r="M1538">
        <v>0.6</v>
      </c>
      <c r="N1538">
        <v>0</v>
      </c>
      <c r="O1538">
        <v>-3.3000000000000002E-2</v>
      </c>
      <c r="P1538">
        <v>2020</v>
      </c>
      <c r="Q1538">
        <v>3.9</v>
      </c>
      <c r="R1538">
        <v>1</v>
      </c>
      <c r="S1538">
        <v>1.1000000000000001</v>
      </c>
      <c r="T1538">
        <v>0.2</v>
      </c>
      <c r="U1538">
        <v>2</v>
      </c>
      <c r="V1538">
        <v>6</v>
      </c>
      <c r="W1538">
        <f>IF(nba_draft[[#This Row],[years_played]]&gt;5,1,0)</f>
        <v>0</v>
      </c>
    </row>
    <row r="1539" spans="1:23" x14ac:dyDescent="0.25">
      <c r="A1539">
        <v>56</v>
      </c>
      <c r="B1539" t="s">
        <v>34</v>
      </c>
      <c r="C1539" t="s">
        <v>1826</v>
      </c>
      <c r="D1539" t="s">
        <v>551</v>
      </c>
      <c r="E1539">
        <v>1</v>
      </c>
      <c r="F1539">
        <v>7</v>
      </c>
      <c r="G1539">
        <v>27</v>
      </c>
      <c r="H1539">
        <v>18</v>
      </c>
      <c r="I1539">
        <v>1</v>
      </c>
      <c r="J1539">
        <v>3</v>
      </c>
      <c r="K1539">
        <v>0.66700000000000004</v>
      </c>
      <c r="L1539">
        <v>0.5</v>
      </c>
      <c r="M1539">
        <v>0</v>
      </c>
      <c r="N1539">
        <v>0.1</v>
      </c>
      <c r="O1539">
        <v>0.17699999999999999</v>
      </c>
      <c r="P1539">
        <v>2020</v>
      </c>
      <c r="Q1539">
        <v>3.9</v>
      </c>
      <c r="R1539">
        <v>2.6</v>
      </c>
      <c r="S1539">
        <v>0.1</v>
      </c>
      <c r="T1539">
        <v>0.4</v>
      </c>
      <c r="U1539">
        <v>2</v>
      </c>
      <c r="V1539">
        <v>26</v>
      </c>
      <c r="W1539">
        <f>IF(nba_draft[[#This Row],[years_played]]&gt;5,1,0)</f>
        <v>0</v>
      </c>
    </row>
    <row r="1540" spans="1:23" x14ac:dyDescent="0.25">
      <c r="A1540">
        <v>58</v>
      </c>
      <c r="B1540" t="s">
        <v>88</v>
      </c>
      <c r="C1540" t="s">
        <v>895</v>
      </c>
      <c r="D1540" t="s">
        <v>97</v>
      </c>
      <c r="E1540">
        <v>1</v>
      </c>
      <c r="F1540">
        <v>13</v>
      </c>
      <c r="G1540">
        <v>81</v>
      </c>
      <c r="H1540">
        <v>17</v>
      </c>
      <c r="I1540">
        <v>8</v>
      </c>
      <c r="J1540">
        <v>1</v>
      </c>
      <c r="K1540">
        <v>0.47099999999999997</v>
      </c>
      <c r="L1540">
        <v>0</v>
      </c>
      <c r="M1540">
        <v>0.5</v>
      </c>
      <c r="N1540">
        <v>-0.2</v>
      </c>
      <c r="O1540">
        <v>-0.14299999999999999</v>
      </c>
      <c r="P1540">
        <v>2003</v>
      </c>
      <c r="Q1540">
        <v>6.2</v>
      </c>
      <c r="R1540">
        <v>1.3</v>
      </c>
      <c r="S1540">
        <v>0.6</v>
      </c>
      <c r="T1540">
        <v>0.1</v>
      </c>
      <c r="U1540">
        <v>2</v>
      </c>
      <c r="V1540">
        <v>29</v>
      </c>
      <c r="W1540">
        <f>IF(nba_draft[[#This Row],[years_played]]&gt;5,1,0)</f>
        <v>0</v>
      </c>
    </row>
    <row r="1541" spans="1:23" x14ac:dyDescent="0.25">
      <c r="A1541">
        <v>57</v>
      </c>
      <c r="B1541" t="s">
        <v>25</v>
      </c>
      <c r="C1541" t="s">
        <v>1707</v>
      </c>
      <c r="D1541" t="s">
        <v>1708</v>
      </c>
      <c r="E1541">
        <v>1</v>
      </c>
      <c r="F1541">
        <v>10</v>
      </c>
      <c r="G1541">
        <v>52</v>
      </c>
      <c r="H1541">
        <v>17</v>
      </c>
      <c r="I1541">
        <v>12</v>
      </c>
      <c r="J1541">
        <v>5</v>
      </c>
      <c r="K1541">
        <v>0.25900000000000001</v>
      </c>
      <c r="L1541">
        <v>0.15</v>
      </c>
      <c r="M1541">
        <v>0</v>
      </c>
      <c r="N1541">
        <v>-0.1</v>
      </c>
      <c r="O1541">
        <v>-8.5000000000000006E-2</v>
      </c>
      <c r="P1541">
        <v>2018</v>
      </c>
      <c r="Q1541">
        <v>5.2</v>
      </c>
      <c r="R1541">
        <v>1.7</v>
      </c>
      <c r="S1541">
        <v>1.2</v>
      </c>
      <c r="T1541">
        <v>0.5</v>
      </c>
      <c r="U1541">
        <v>2</v>
      </c>
      <c r="V1541">
        <v>27</v>
      </c>
      <c r="W1541">
        <f>IF(nba_draft[[#This Row],[years_played]]&gt;5,1,0)</f>
        <v>0</v>
      </c>
    </row>
    <row r="1542" spans="1:23" x14ac:dyDescent="0.25">
      <c r="A1542">
        <v>44</v>
      </c>
      <c r="B1542" t="s">
        <v>95</v>
      </c>
      <c r="C1542" t="s">
        <v>1815</v>
      </c>
      <c r="D1542" t="s">
        <v>97</v>
      </c>
      <c r="E1542">
        <v>1</v>
      </c>
      <c r="F1542">
        <v>9</v>
      </c>
      <c r="G1542">
        <v>35</v>
      </c>
      <c r="H1542">
        <v>17</v>
      </c>
      <c r="I1542">
        <v>10</v>
      </c>
      <c r="J1542">
        <v>0</v>
      </c>
      <c r="K1542">
        <v>0.26700000000000002</v>
      </c>
      <c r="L1542">
        <v>0.2</v>
      </c>
      <c r="M1542">
        <v>0.72699999999999998</v>
      </c>
      <c r="N1542">
        <v>0</v>
      </c>
      <c r="O1542">
        <v>2E-3</v>
      </c>
      <c r="P1542">
        <v>2020</v>
      </c>
      <c r="Q1542">
        <v>3.9</v>
      </c>
      <c r="R1542">
        <v>1.9</v>
      </c>
      <c r="S1542">
        <v>1.1000000000000001</v>
      </c>
      <c r="T1542">
        <v>0</v>
      </c>
      <c r="U1542">
        <v>2</v>
      </c>
      <c r="V1542">
        <v>14</v>
      </c>
      <c r="W1542">
        <f>IF(nba_draft[[#This Row],[years_played]]&gt;5,1,0)</f>
        <v>0</v>
      </c>
    </row>
    <row r="1543" spans="1:23" x14ac:dyDescent="0.25">
      <c r="A1543">
        <v>40</v>
      </c>
      <c r="B1543" t="s">
        <v>85</v>
      </c>
      <c r="C1543" t="s">
        <v>1428</v>
      </c>
      <c r="D1543" t="s">
        <v>117</v>
      </c>
      <c r="E1543">
        <v>1</v>
      </c>
      <c r="F1543">
        <v>8</v>
      </c>
      <c r="G1543">
        <v>51</v>
      </c>
      <c r="H1543">
        <v>16</v>
      </c>
      <c r="I1543">
        <v>9</v>
      </c>
      <c r="J1543">
        <v>3</v>
      </c>
      <c r="K1543">
        <v>0.26900000000000002</v>
      </c>
      <c r="L1543">
        <v>6.7000000000000004E-2</v>
      </c>
      <c r="M1543">
        <v>1</v>
      </c>
      <c r="N1543">
        <v>-0.1</v>
      </c>
      <c r="O1543">
        <v>-0.128</v>
      </c>
      <c r="P1543">
        <v>2013</v>
      </c>
      <c r="Q1543">
        <v>6.4</v>
      </c>
      <c r="R1543">
        <v>2</v>
      </c>
      <c r="S1543">
        <v>1.1000000000000001</v>
      </c>
      <c r="T1543">
        <v>0.4</v>
      </c>
      <c r="U1543">
        <v>2</v>
      </c>
      <c r="V1543">
        <v>10</v>
      </c>
      <c r="W1543">
        <f>IF(nba_draft[[#This Row],[years_played]]&gt;5,1,0)</f>
        <v>0</v>
      </c>
    </row>
    <row r="1544" spans="1:23" x14ac:dyDescent="0.25">
      <c r="A1544">
        <v>19</v>
      </c>
      <c r="B1544" t="s">
        <v>65</v>
      </c>
      <c r="C1544" t="s">
        <v>1850</v>
      </c>
      <c r="D1544" t="s">
        <v>60</v>
      </c>
      <c r="E1544">
        <v>1</v>
      </c>
      <c r="F1544">
        <v>17</v>
      </c>
      <c r="G1544">
        <v>48</v>
      </c>
      <c r="H1544">
        <v>16</v>
      </c>
      <c r="I1544">
        <v>8</v>
      </c>
      <c r="J1544">
        <v>4</v>
      </c>
      <c r="K1544">
        <v>0.63600000000000001</v>
      </c>
      <c r="L1544">
        <v>0.5</v>
      </c>
      <c r="M1544">
        <v>0.25</v>
      </c>
      <c r="N1544">
        <v>0</v>
      </c>
      <c r="O1544">
        <v>-2.1999999999999999E-2</v>
      </c>
      <c r="P1544">
        <v>2021</v>
      </c>
      <c r="Q1544">
        <v>2.8</v>
      </c>
      <c r="R1544">
        <v>0.9</v>
      </c>
      <c r="S1544">
        <v>0.5</v>
      </c>
      <c r="T1544">
        <v>0.2</v>
      </c>
      <c r="U1544">
        <v>1</v>
      </c>
      <c r="V1544">
        <v>19</v>
      </c>
      <c r="W1544">
        <f>IF(nba_draft[[#This Row],[years_played]]&gt;5,1,0)</f>
        <v>0</v>
      </c>
    </row>
    <row r="1545" spans="1:23" x14ac:dyDescent="0.25">
      <c r="A1545">
        <v>31</v>
      </c>
      <c r="B1545" t="s">
        <v>63</v>
      </c>
      <c r="C1545" t="s">
        <v>1863</v>
      </c>
      <c r="D1545" t="s">
        <v>97</v>
      </c>
      <c r="E1545">
        <v>1</v>
      </c>
      <c r="F1545">
        <v>10</v>
      </c>
      <c r="G1545">
        <v>41</v>
      </c>
      <c r="H1545">
        <v>16</v>
      </c>
      <c r="I1545">
        <v>10</v>
      </c>
      <c r="J1545">
        <v>3</v>
      </c>
      <c r="K1545">
        <v>0.29399999999999998</v>
      </c>
      <c r="L1545">
        <v>0.36399999999999999</v>
      </c>
      <c r="M1545">
        <v>0.33300000000000002</v>
      </c>
      <c r="N1545">
        <v>0</v>
      </c>
      <c r="O1545">
        <v>4.0000000000000001E-3</v>
      </c>
      <c r="P1545">
        <v>2021</v>
      </c>
      <c r="Q1545">
        <v>4.0999999999999996</v>
      </c>
      <c r="R1545">
        <v>1.6</v>
      </c>
      <c r="S1545">
        <v>1</v>
      </c>
      <c r="T1545">
        <v>0.3</v>
      </c>
      <c r="U1545">
        <v>2</v>
      </c>
      <c r="V1545">
        <v>1</v>
      </c>
      <c r="W1545">
        <f>IF(nba_draft[[#This Row],[years_played]]&gt;5,1,0)</f>
        <v>0</v>
      </c>
    </row>
    <row r="1546" spans="1:23" x14ac:dyDescent="0.25">
      <c r="A1546">
        <v>60</v>
      </c>
      <c r="B1546" t="s">
        <v>127</v>
      </c>
      <c r="C1546" t="s">
        <v>1885</v>
      </c>
      <c r="D1546" t="s">
        <v>97</v>
      </c>
      <c r="E1546">
        <v>1</v>
      </c>
      <c r="F1546">
        <v>9</v>
      </c>
      <c r="G1546">
        <v>48</v>
      </c>
      <c r="H1546">
        <v>16</v>
      </c>
      <c r="I1546">
        <v>8</v>
      </c>
      <c r="J1546">
        <v>0</v>
      </c>
      <c r="K1546">
        <v>0.45500000000000002</v>
      </c>
      <c r="L1546">
        <v>0.5</v>
      </c>
      <c r="M1546">
        <v>0.44400000000000001</v>
      </c>
      <c r="N1546">
        <v>0</v>
      </c>
      <c r="O1546">
        <v>-5.0000000000000001E-3</v>
      </c>
      <c r="P1546">
        <v>2021</v>
      </c>
      <c r="Q1546">
        <v>5.3</v>
      </c>
      <c r="R1546">
        <v>1.8</v>
      </c>
      <c r="S1546">
        <v>0.9</v>
      </c>
      <c r="T1546">
        <v>0</v>
      </c>
      <c r="U1546">
        <v>2</v>
      </c>
      <c r="V1546">
        <v>30</v>
      </c>
      <c r="W1546">
        <f>IF(nba_draft[[#This Row],[years_played]]&gt;5,1,0)</f>
        <v>0</v>
      </c>
    </row>
    <row r="1547" spans="1:23" x14ac:dyDescent="0.25">
      <c r="A1547">
        <v>34</v>
      </c>
      <c r="B1547" t="s">
        <v>49</v>
      </c>
      <c r="C1547" t="s">
        <v>372</v>
      </c>
      <c r="D1547" t="s">
        <v>373</v>
      </c>
      <c r="E1547">
        <v>1</v>
      </c>
      <c r="F1547">
        <v>4</v>
      </c>
      <c r="G1547">
        <v>42</v>
      </c>
      <c r="H1547">
        <v>15</v>
      </c>
      <c r="I1547">
        <v>5</v>
      </c>
      <c r="J1547">
        <v>1</v>
      </c>
      <c r="K1547">
        <v>0.33300000000000002</v>
      </c>
      <c r="L1547">
        <v>0</v>
      </c>
      <c r="M1547">
        <v>1</v>
      </c>
      <c r="N1547">
        <v>0.1</v>
      </c>
      <c r="O1547">
        <v>7.5999999999999998E-2</v>
      </c>
      <c r="P1547">
        <v>1994</v>
      </c>
      <c r="Q1547">
        <v>10.5</v>
      </c>
      <c r="R1547">
        <v>3.8</v>
      </c>
      <c r="S1547">
        <v>1.3</v>
      </c>
      <c r="T1547">
        <v>0.3</v>
      </c>
      <c r="U1547">
        <v>2</v>
      </c>
      <c r="V1547">
        <v>7</v>
      </c>
      <c r="W1547">
        <f>IF(nba_draft[[#This Row],[years_played]]&gt;5,1,0)</f>
        <v>0</v>
      </c>
    </row>
    <row r="1548" spans="1:23" x14ac:dyDescent="0.25">
      <c r="A1548">
        <v>47</v>
      </c>
      <c r="B1548" t="s">
        <v>104</v>
      </c>
      <c r="C1548" t="s">
        <v>1376</v>
      </c>
      <c r="D1548" t="s">
        <v>135</v>
      </c>
      <c r="E1548">
        <v>1</v>
      </c>
      <c r="F1548">
        <v>17</v>
      </c>
      <c r="G1548">
        <v>52</v>
      </c>
      <c r="H1548">
        <v>15</v>
      </c>
      <c r="I1548">
        <v>4</v>
      </c>
      <c r="J1548">
        <v>2</v>
      </c>
      <c r="K1548">
        <v>0.25</v>
      </c>
      <c r="L1548">
        <v>0.2</v>
      </c>
      <c r="M1548">
        <v>0</v>
      </c>
      <c r="N1548">
        <v>-0.3</v>
      </c>
      <c r="O1548">
        <v>-0.27200000000000002</v>
      </c>
      <c r="P1548">
        <v>2012</v>
      </c>
      <c r="Q1548">
        <v>3.1</v>
      </c>
      <c r="R1548">
        <v>0.9</v>
      </c>
      <c r="S1548">
        <v>0.2</v>
      </c>
      <c r="T1548">
        <v>0.1</v>
      </c>
      <c r="U1548">
        <v>2</v>
      </c>
      <c r="V1548">
        <v>17</v>
      </c>
      <c r="W1548">
        <f>IF(nba_draft[[#This Row],[years_played]]&gt;5,1,0)</f>
        <v>0</v>
      </c>
    </row>
    <row r="1549" spans="1:23" x14ac:dyDescent="0.25">
      <c r="A1549">
        <v>26</v>
      </c>
      <c r="B1549" t="s">
        <v>31</v>
      </c>
      <c r="C1549" t="s">
        <v>311</v>
      </c>
      <c r="D1549" t="s">
        <v>30</v>
      </c>
      <c r="E1549">
        <v>3</v>
      </c>
      <c r="F1549">
        <v>8</v>
      </c>
      <c r="G1549">
        <v>27</v>
      </c>
      <c r="H1549">
        <v>14</v>
      </c>
      <c r="I1549">
        <v>7</v>
      </c>
      <c r="J1549">
        <v>2</v>
      </c>
      <c r="K1549">
        <v>0.4</v>
      </c>
      <c r="L1549">
        <v>0</v>
      </c>
      <c r="M1549">
        <v>0.66700000000000004</v>
      </c>
      <c r="N1549">
        <v>0.1</v>
      </c>
      <c r="O1549">
        <v>8.8999999999999996E-2</v>
      </c>
      <c r="P1549">
        <v>1993</v>
      </c>
      <c r="Q1549">
        <v>3.4</v>
      </c>
      <c r="R1549">
        <v>1.8</v>
      </c>
      <c r="S1549">
        <v>0.9</v>
      </c>
      <c r="T1549">
        <v>0.3</v>
      </c>
      <c r="U1549">
        <v>1</v>
      </c>
      <c r="V1549">
        <v>26</v>
      </c>
      <c r="W1549">
        <f>IF(nba_draft[[#This Row],[years_played]]&gt;5,1,0)</f>
        <v>0</v>
      </c>
    </row>
    <row r="1550" spans="1:23" x14ac:dyDescent="0.25">
      <c r="A1550">
        <v>47</v>
      </c>
      <c r="B1550" t="s">
        <v>43</v>
      </c>
      <c r="C1550" t="s">
        <v>1318</v>
      </c>
      <c r="D1550" t="s">
        <v>57</v>
      </c>
      <c r="E1550">
        <v>1</v>
      </c>
      <c r="F1550">
        <v>10</v>
      </c>
      <c r="G1550">
        <v>45</v>
      </c>
      <c r="H1550">
        <v>14</v>
      </c>
      <c r="I1550">
        <v>9</v>
      </c>
      <c r="J1550">
        <v>5</v>
      </c>
      <c r="K1550">
        <v>0.35699999999999998</v>
      </c>
      <c r="L1550">
        <v>0</v>
      </c>
      <c r="M1550">
        <v>0.44400000000000001</v>
      </c>
      <c r="N1550">
        <v>0.1</v>
      </c>
      <c r="O1550">
        <v>0.06</v>
      </c>
      <c r="P1550">
        <v>2011</v>
      </c>
      <c r="Q1550">
        <v>4.5</v>
      </c>
      <c r="R1550">
        <v>1.4</v>
      </c>
      <c r="S1550">
        <v>0.9</v>
      </c>
      <c r="T1550">
        <v>0.5</v>
      </c>
      <c r="U1550">
        <v>2</v>
      </c>
      <c r="V1550">
        <v>17</v>
      </c>
      <c r="W1550">
        <f>IF(nba_draft[[#This Row],[years_played]]&gt;5,1,0)</f>
        <v>0</v>
      </c>
    </row>
    <row r="1551" spans="1:23" x14ac:dyDescent="0.25">
      <c r="A1551">
        <v>53</v>
      </c>
      <c r="B1551" t="s">
        <v>28</v>
      </c>
      <c r="C1551" t="s">
        <v>1590</v>
      </c>
      <c r="D1551" t="s">
        <v>97</v>
      </c>
      <c r="E1551">
        <v>1</v>
      </c>
      <c r="F1551">
        <v>13</v>
      </c>
      <c r="G1551">
        <v>38</v>
      </c>
      <c r="H1551">
        <v>14</v>
      </c>
      <c r="I1551">
        <v>14</v>
      </c>
      <c r="J1551">
        <v>3</v>
      </c>
      <c r="K1551">
        <v>0.33300000000000002</v>
      </c>
      <c r="L1551">
        <v>0.125</v>
      </c>
      <c r="M1551">
        <v>0.75</v>
      </c>
      <c r="N1551">
        <v>0</v>
      </c>
      <c r="O1551">
        <v>-8.0000000000000002E-3</v>
      </c>
      <c r="P1551">
        <v>2016</v>
      </c>
      <c r="Q1551">
        <v>2.9</v>
      </c>
      <c r="R1551">
        <v>1.1000000000000001</v>
      </c>
      <c r="S1551">
        <v>1.1000000000000001</v>
      </c>
      <c r="T1551">
        <v>0.2</v>
      </c>
      <c r="U1551">
        <v>2</v>
      </c>
      <c r="V1551">
        <v>23</v>
      </c>
      <c r="W1551">
        <f>IF(nba_draft[[#This Row],[years_played]]&gt;5,1,0)</f>
        <v>0</v>
      </c>
    </row>
    <row r="1552" spans="1:23" x14ac:dyDescent="0.25">
      <c r="A1552">
        <v>55</v>
      </c>
      <c r="B1552" t="s">
        <v>104</v>
      </c>
      <c r="C1552" t="s">
        <v>1649</v>
      </c>
      <c r="D1552" t="s">
        <v>820</v>
      </c>
      <c r="E1552">
        <v>1</v>
      </c>
      <c r="F1552">
        <v>10</v>
      </c>
      <c r="G1552">
        <v>50</v>
      </c>
      <c r="H1552">
        <v>14</v>
      </c>
      <c r="I1552">
        <v>6</v>
      </c>
      <c r="J1552">
        <v>6</v>
      </c>
      <c r="K1552">
        <v>0.313</v>
      </c>
      <c r="L1552">
        <v>0.28599999999999998</v>
      </c>
      <c r="M1552">
        <v>1</v>
      </c>
      <c r="N1552">
        <v>0</v>
      </c>
      <c r="O1552">
        <v>1.7000000000000001E-2</v>
      </c>
      <c r="P1552">
        <v>2017</v>
      </c>
      <c r="Q1552">
        <v>5</v>
      </c>
      <c r="R1552">
        <v>1.4</v>
      </c>
      <c r="S1552">
        <v>0.6</v>
      </c>
      <c r="T1552">
        <v>0.6</v>
      </c>
      <c r="U1552">
        <v>2</v>
      </c>
      <c r="V1552">
        <v>25</v>
      </c>
      <c r="W1552">
        <f>IF(nba_draft[[#This Row],[years_played]]&gt;5,1,0)</f>
        <v>0</v>
      </c>
    </row>
    <row r="1553" spans="1:23" x14ac:dyDescent="0.25">
      <c r="A1553">
        <v>59</v>
      </c>
      <c r="B1553" t="s">
        <v>395</v>
      </c>
      <c r="C1553" t="s">
        <v>1771</v>
      </c>
      <c r="D1553" t="s">
        <v>657</v>
      </c>
      <c r="E1553">
        <v>1</v>
      </c>
      <c r="F1553">
        <v>6</v>
      </c>
      <c r="G1553">
        <v>28</v>
      </c>
      <c r="H1553">
        <v>14</v>
      </c>
      <c r="I1553">
        <v>14</v>
      </c>
      <c r="J1553">
        <v>3</v>
      </c>
      <c r="K1553">
        <v>0.35699999999999998</v>
      </c>
      <c r="L1553">
        <v>0.5</v>
      </c>
      <c r="M1553">
        <v>0.6</v>
      </c>
      <c r="N1553">
        <v>0</v>
      </c>
      <c r="O1553">
        <v>4.2999999999999997E-2</v>
      </c>
      <c r="P1553">
        <v>2019</v>
      </c>
      <c r="Q1553">
        <v>4.7</v>
      </c>
      <c r="R1553">
        <v>2.2999999999999998</v>
      </c>
      <c r="S1553">
        <v>2.2999999999999998</v>
      </c>
      <c r="T1553">
        <v>0.5</v>
      </c>
      <c r="U1553">
        <v>2</v>
      </c>
      <c r="V1553">
        <v>29</v>
      </c>
      <c r="W1553">
        <f>IF(nba_draft[[#This Row],[years_played]]&gt;5,1,0)</f>
        <v>0</v>
      </c>
    </row>
    <row r="1554" spans="1:23" x14ac:dyDescent="0.25">
      <c r="A1554">
        <v>48</v>
      </c>
      <c r="B1554" t="s">
        <v>85</v>
      </c>
      <c r="C1554" t="s">
        <v>332</v>
      </c>
      <c r="D1554" t="s">
        <v>184</v>
      </c>
      <c r="E1554">
        <v>1</v>
      </c>
      <c r="F1554">
        <v>14</v>
      </c>
      <c r="G1554">
        <v>58</v>
      </c>
      <c r="H1554">
        <v>13</v>
      </c>
      <c r="I1554">
        <v>13</v>
      </c>
      <c r="J1554">
        <v>3</v>
      </c>
      <c r="K1554">
        <v>0.42899999999999999</v>
      </c>
      <c r="L1554">
        <v>0</v>
      </c>
      <c r="M1554">
        <v>0.5</v>
      </c>
      <c r="N1554">
        <v>0</v>
      </c>
      <c r="O1554">
        <v>-1.6E-2</v>
      </c>
      <c r="P1554">
        <v>1993</v>
      </c>
      <c r="Q1554">
        <v>4.0999999999999996</v>
      </c>
      <c r="R1554">
        <v>0.9</v>
      </c>
      <c r="S1554">
        <v>0.9</v>
      </c>
      <c r="T1554">
        <v>0.2</v>
      </c>
      <c r="U1554">
        <v>2</v>
      </c>
      <c r="V1554">
        <v>21</v>
      </c>
      <c r="W1554">
        <f>IF(nba_draft[[#This Row],[years_played]]&gt;5,1,0)</f>
        <v>0</v>
      </c>
    </row>
    <row r="1555" spans="1:23" x14ac:dyDescent="0.25">
      <c r="A1555">
        <v>40</v>
      </c>
      <c r="B1555" t="s">
        <v>88</v>
      </c>
      <c r="C1555" t="s">
        <v>610</v>
      </c>
      <c r="D1555" t="s">
        <v>97</v>
      </c>
      <c r="E1555">
        <v>1</v>
      </c>
      <c r="F1555">
        <v>3</v>
      </c>
      <c r="G1555">
        <v>15</v>
      </c>
      <c r="H1555">
        <v>13</v>
      </c>
      <c r="I1555">
        <v>4</v>
      </c>
      <c r="J1555">
        <v>1</v>
      </c>
      <c r="K1555">
        <v>0.5</v>
      </c>
      <c r="L1555">
        <v>0.25</v>
      </c>
      <c r="M1555">
        <v>1</v>
      </c>
      <c r="N1555">
        <v>0.1</v>
      </c>
      <c r="O1555">
        <v>0.28000000000000003</v>
      </c>
      <c r="P1555">
        <v>1998</v>
      </c>
      <c r="Q1555">
        <v>5</v>
      </c>
      <c r="R1555">
        <v>4.3</v>
      </c>
      <c r="S1555">
        <v>1.3</v>
      </c>
      <c r="T1555">
        <v>0.3</v>
      </c>
      <c r="U1555">
        <v>2</v>
      </c>
      <c r="V1555">
        <v>11</v>
      </c>
      <c r="W1555">
        <f>IF(nba_draft[[#This Row],[years_played]]&gt;5,1,0)</f>
        <v>0</v>
      </c>
    </row>
    <row r="1556" spans="1:23" x14ac:dyDescent="0.25">
      <c r="A1556">
        <v>47</v>
      </c>
      <c r="B1556" t="s">
        <v>127</v>
      </c>
      <c r="C1556" t="s">
        <v>1642</v>
      </c>
      <c r="D1556" t="s">
        <v>113</v>
      </c>
      <c r="E1556">
        <v>2</v>
      </c>
      <c r="F1556">
        <v>14</v>
      </c>
      <c r="G1556">
        <v>36</v>
      </c>
      <c r="H1556">
        <v>13</v>
      </c>
      <c r="I1556">
        <v>12</v>
      </c>
      <c r="J1556">
        <v>1</v>
      </c>
      <c r="K1556">
        <v>0.33300000000000002</v>
      </c>
      <c r="L1556">
        <v>0</v>
      </c>
      <c r="M1556">
        <v>0.83299999999999996</v>
      </c>
      <c r="N1556">
        <v>0</v>
      </c>
      <c r="O1556">
        <v>5.7000000000000002E-2</v>
      </c>
      <c r="P1556">
        <v>2017</v>
      </c>
      <c r="Q1556">
        <v>2.6</v>
      </c>
      <c r="R1556">
        <v>0.9</v>
      </c>
      <c r="S1556">
        <v>0.9</v>
      </c>
      <c r="T1556">
        <v>0.1</v>
      </c>
      <c r="U1556">
        <v>2</v>
      </c>
      <c r="V1556">
        <v>17</v>
      </c>
      <c r="W1556">
        <f>IF(nba_draft[[#This Row],[years_played]]&gt;5,1,0)</f>
        <v>0</v>
      </c>
    </row>
    <row r="1557" spans="1:23" x14ac:dyDescent="0.25">
      <c r="A1557">
        <v>31</v>
      </c>
      <c r="B1557" t="s">
        <v>149</v>
      </c>
      <c r="C1557" t="s">
        <v>1802</v>
      </c>
      <c r="D1557" t="s">
        <v>226</v>
      </c>
      <c r="E1557">
        <v>2</v>
      </c>
      <c r="F1557">
        <v>13</v>
      </c>
      <c r="G1557">
        <v>59</v>
      </c>
      <c r="H1557">
        <v>13</v>
      </c>
      <c r="I1557">
        <v>6</v>
      </c>
      <c r="J1557">
        <v>6</v>
      </c>
      <c r="K1557">
        <v>0.35299999999999998</v>
      </c>
      <c r="L1557">
        <v>0</v>
      </c>
      <c r="M1557">
        <v>0.33300000000000002</v>
      </c>
      <c r="N1557">
        <v>0</v>
      </c>
      <c r="O1557">
        <v>-3.5000000000000003E-2</v>
      </c>
      <c r="P1557">
        <v>2020</v>
      </c>
      <c r="Q1557">
        <v>4.5</v>
      </c>
      <c r="R1557">
        <v>1</v>
      </c>
      <c r="S1557">
        <v>0.5</v>
      </c>
      <c r="T1557">
        <v>0.5</v>
      </c>
      <c r="U1557">
        <v>2</v>
      </c>
      <c r="V1557">
        <v>1</v>
      </c>
      <c r="W1557">
        <f>IF(nba_draft[[#This Row],[years_played]]&gt;5,1,0)</f>
        <v>0</v>
      </c>
    </row>
    <row r="1558" spans="1:23" x14ac:dyDescent="0.25">
      <c r="A1558">
        <v>55</v>
      </c>
      <c r="B1558" t="s">
        <v>22</v>
      </c>
      <c r="C1558" t="s">
        <v>1592</v>
      </c>
      <c r="D1558" t="s">
        <v>179</v>
      </c>
      <c r="E1558">
        <v>1</v>
      </c>
      <c r="F1558">
        <v>5</v>
      </c>
      <c r="G1558">
        <v>28</v>
      </c>
      <c r="H1558">
        <v>12</v>
      </c>
      <c r="I1558">
        <v>4</v>
      </c>
      <c r="J1558">
        <v>3</v>
      </c>
      <c r="K1558">
        <v>0.28599999999999998</v>
      </c>
      <c r="L1558">
        <v>0.25</v>
      </c>
      <c r="M1558">
        <v>1</v>
      </c>
      <c r="N1558">
        <v>0</v>
      </c>
      <c r="O1558">
        <v>-6.0000000000000001E-3</v>
      </c>
      <c r="P1558">
        <v>2016</v>
      </c>
      <c r="Q1558">
        <v>5.6</v>
      </c>
      <c r="R1558">
        <v>2.4</v>
      </c>
      <c r="S1558">
        <v>0.8</v>
      </c>
      <c r="T1558">
        <v>0.6</v>
      </c>
      <c r="U1558">
        <v>2</v>
      </c>
      <c r="V1558">
        <v>25</v>
      </c>
      <c r="W1558">
        <f>IF(nba_draft[[#This Row],[years_played]]&gt;5,1,0)</f>
        <v>0</v>
      </c>
    </row>
    <row r="1559" spans="1:23" x14ac:dyDescent="0.25">
      <c r="A1559">
        <v>38</v>
      </c>
      <c r="B1559" t="s">
        <v>55</v>
      </c>
      <c r="C1559" t="s">
        <v>827</v>
      </c>
      <c r="D1559" t="s">
        <v>609</v>
      </c>
      <c r="E1559">
        <v>1</v>
      </c>
      <c r="F1559">
        <v>9</v>
      </c>
      <c r="G1559">
        <v>35</v>
      </c>
      <c r="H1559">
        <v>11</v>
      </c>
      <c r="I1559">
        <v>7</v>
      </c>
      <c r="J1559">
        <v>5</v>
      </c>
      <c r="K1559">
        <v>0.25</v>
      </c>
      <c r="L1559">
        <v>0</v>
      </c>
      <c r="M1559">
        <v>0.625</v>
      </c>
      <c r="N1559">
        <v>0</v>
      </c>
      <c r="O1559">
        <v>-1.0999999999999999E-2</v>
      </c>
      <c r="P1559">
        <v>2002</v>
      </c>
      <c r="Q1559">
        <v>3.9</v>
      </c>
      <c r="R1559">
        <v>1.2</v>
      </c>
      <c r="S1559">
        <v>0.8</v>
      </c>
      <c r="T1559">
        <v>0.6</v>
      </c>
      <c r="U1559">
        <v>2</v>
      </c>
      <c r="V1559">
        <v>9</v>
      </c>
      <c r="W1559">
        <f>IF(nba_draft[[#This Row],[years_played]]&gt;5,1,0)</f>
        <v>0</v>
      </c>
    </row>
    <row r="1560" spans="1:23" x14ac:dyDescent="0.25">
      <c r="A1560">
        <v>16</v>
      </c>
      <c r="B1560" t="s">
        <v>70</v>
      </c>
      <c r="C1560" t="s">
        <v>861</v>
      </c>
      <c r="D1560" t="s">
        <v>360</v>
      </c>
      <c r="E1560">
        <v>1</v>
      </c>
      <c r="F1560">
        <v>6</v>
      </c>
      <c r="G1560">
        <v>34</v>
      </c>
      <c r="H1560">
        <v>11</v>
      </c>
      <c r="I1560">
        <v>4</v>
      </c>
      <c r="J1560">
        <v>4</v>
      </c>
      <c r="K1560">
        <v>0.222</v>
      </c>
      <c r="L1560">
        <v>0</v>
      </c>
      <c r="M1560">
        <v>1</v>
      </c>
      <c r="N1560">
        <v>-0.2</v>
      </c>
      <c r="O1560">
        <v>-0.32600000000000001</v>
      </c>
      <c r="P1560">
        <v>2003</v>
      </c>
      <c r="Q1560">
        <v>5.7</v>
      </c>
      <c r="R1560">
        <v>1.8</v>
      </c>
      <c r="S1560">
        <v>0.7</v>
      </c>
      <c r="T1560">
        <v>0.7</v>
      </c>
      <c r="U1560">
        <v>1</v>
      </c>
      <c r="V1560">
        <v>16</v>
      </c>
      <c r="W1560">
        <f>IF(nba_draft[[#This Row],[years_played]]&gt;5,1,0)</f>
        <v>0</v>
      </c>
    </row>
    <row r="1561" spans="1:23" x14ac:dyDescent="0.25">
      <c r="A1561">
        <v>48</v>
      </c>
      <c r="B1561" t="s">
        <v>863</v>
      </c>
      <c r="C1561" t="s">
        <v>891</v>
      </c>
      <c r="D1561" t="s">
        <v>97</v>
      </c>
      <c r="E1561">
        <v>1</v>
      </c>
      <c r="F1561">
        <v>11</v>
      </c>
      <c r="G1561">
        <v>55</v>
      </c>
      <c r="H1561">
        <v>11</v>
      </c>
      <c r="I1561">
        <v>11</v>
      </c>
      <c r="J1561">
        <v>2</v>
      </c>
      <c r="K1561">
        <v>0.44400000000000001</v>
      </c>
      <c r="L1561">
        <v>0</v>
      </c>
      <c r="M1561">
        <v>0.6</v>
      </c>
      <c r="N1561">
        <v>0.1</v>
      </c>
      <c r="O1561">
        <v>4.7E-2</v>
      </c>
      <c r="P1561">
        <v>2003</v>
      </c>
      <c r="Q1561">
        <v>5</v>
      </c>
      <c r="R1561">
        <v>1</v>
      </c>
      <c r="S1561">
        <v>1</v>
      </c>
      <c r="T1561">
        <v>0.2</v>
      </c>
      <c r="U1561">
        <v>2</v>
      </c>
      <c r="V1561">
        <v>19</v>
      </c>
      <c r="W1561">
        <f>IF(nba_draft[[#This Row],[years_played]]&gt;5,1,0)</f>
        <v>0</v>
      </c>
    </row>
    <row r="1562" spans="1:23" x14ac:dyDescent="0.25">
      <c r="A1562">
        <v>32</v>
      </c>
      <c r="B1562" t="s">
        <v>109</v>
      </c>
      <c r="C1562" t="s">
        <v>929</v>
      </c>
      <c r="D1562" t="s">
        <v>97</v>
      </c>
      <c r="E1562">
        <v>1</v>
      </c>
      <c r="F1562">
        <v>6</v>
      </c>
      <c r="G1562">
        <v>20</v>
      </c>
      <c r="H1562">
        <v>11</v>
      </c>
      <c r="I1562">
        <v>4</v>
      </c>
      <c r="J1562">
        <v>0</v>
      </c>
      <c r="K1562">
        <v>0.5</v>
      </c>
      <c r="L1562">
        <v>0</v>
      </c>
      <c r="M1562">
        <v>0.5</v>
      </c>
      <c r="N1562">
        <v>0</v>
      </c>
      <c r="O1562">
        <v>-0.108</v>
      </c>
      <c r="P1562">
        <v>2004</v>
      </c>
      <c r="Q1562">
        <v>3.3</v>
      </c>
      <c r="R1562">
        <v>1.8</v>
      </c>
      <c r="S1562">
        <v>0.7</v>
      </c>
      <c r="T1562">
        <v>0</v>
      </c>
      <c r="U1562">
        <v>2</v>
      </c>
      <c r="V1562">
        <v>3</v>
      </c>
      <c r="W1562">
        <f>IF(nba_draft[[#This Row],[years_played]]&gt;5,1,0)</f>
        <v>0</v>
      </c>
    </row>
    <row r="1563" spans="1:23" x14ac:dyDescent="0.25">
      <c r="A1563">
        <v>54</v>
      </c>
      <c r="B1563" t="s">
        <v>102</v>
      </c>
      <c r="C1563" t="s">
        <v>1766</v>
      </c>
      <c r="D1563" t="s">
        <v>168</v>
      </c>
      <c r="E1563">
        <v>1</v>
      </c>
      <c r="F1563">
        <v>4</v>
      </c>
      <c r="G1563">
        <v>28</v>
      </c>
      <c r="H1563">
        <v>11</v>
      </c>
      <c r="I1563">
        <v>7</v>
      </c>
      <c r="J1563">
        <v>1</v>
      </c>
      <c r="K1563">
        <v>0.25</v>
      </c>
      <c r="L1563">
        <v>0.33300000000000002</v>
      </c>
      <c r="M1563">
        <v>0.75</v>
      </c>
      <c r="N1563">
        <v>-0.1</v>
      </c>
      <c r="O1563">
        <v>-0.13</v>
      </c>
      <c r="P1563">
        <v>2019</v>
      </c>
      <c r="Q1563">
        <v>7</v>
      </c>
      <c r="R1563">
        <v>2.8</v>
      </c>
      <c r="S1563">
        <v>1.8</v>
      </c>
      <c r="T1563">
        <v>0.3</v>
      </c>
      <c r="U1563">
        <v>2</v>
      </c>
      <c r="V1563">
        <v>24</v>
      </c>
      <c r="W1563">
        <f>IF(nba_draft[[#This Row],[years_played]]&gt;5,1,0)</f>
        <v>0</v>
      </c>
    </row>
    <row r="1564" spans="1:23" x14ac:dyDescent="0.25">
      <c r="A1564">
        <v>38</v>
      </c>
      <c r="B1564" t="s">
        <v>52</v>
      </c>
      <c r="C1564" t="s">
        <v>1042</v>
      </c>
      <c r="D1564" t="s">
        <v>97</v>
      </c>
      <c r="E1564">
        <v>1</v>
      </c>
      <c r="F1564">
        <v>7</v>
      </c>
      <c r="G1564">
        <v>38</v>
      </c>
      <c r="H1564">
        <v>10</v>
      </c>
      <c r="I1564">
        <v>13</v>
      </c>
      <c r="J1564">
        <v>1</v>
      </c>
      <c r="K1564">
        <v>0.3</v>
      </c>
      <c r="L1564">
        <v>0</v>
      </c>
      <c r="M1564">
        <v>0.66700000000000004</v>
      </c>
      <c r="N1564">
        <v>0</v>
      </c>
      <c r="O1564">
        <v>0.06</v>
      </c>
      <c r="P1564">
        <v>2006</v>
      </c>
      <c r="Q1564">
        <v>5.4</v>
      </c>
      <c r="R1564">
        <v>1.4</v>
      </c>
      <c r="S1564">
        <v>1.9</v>
      </c>
      <c r="T1564">
        <v>0.1</v>
      </c>
      <c r="U1564">
        <v>2</v>
      </c>
      <c r="V1564">
        <v>8</v>
      </c>
      <c r="W1564">
        <f>IF(nba_draft[[#This Row],[years_played]]&gt;5,1,0)</f>
        <v>0</v>
      </c>
    </row>
    <row r="1565" spans="1:23" x14ac:dyDescent="0.25">
      <c r="A1565">
        <v>42</v>
      </c>
      <c r="B1565" t="s">
        <v>85</v>
      </c>
      <c r="C1565" t="s">
        <v>1097</v>
      </c>
      <c r="D1565" t="s">
        <v>716</v>
      </c>
      <c r="E1565">
        <v>1</v>
      </c>
      <c r="F1565">
        <v>2</v>
      </c>
      <c r="G1565">
        <v>37</v>
      </c>
      <c r="H1565">
        <v>10</v>
      </c>
      <c r="I1565">
        <v>11</v>
      </c>
      <c r="J1565">
        <v>1</v>
      </c>
      <c r="K1565">
        <v>0.27300000000000002</v>
      </c>
      <c r="L1565">
        <v>0</v>
      </c>
      <c r="M1565">
        <v>1</v>
      </c>
      <c r="N1565">
        <v>0.1</v>
      </c>
      <c r="O1565">
        <v>0.14699999999999999</v>
      </c>
      <c r="P1565">
        <v>2007</v>
      </c>
      <c r="Q1565">
        <v>18.5</v>
      </c>
      <c r="R1565">
        <v>5</v>
      </c>
      <c r="S1565">
        <v>5.5</v>
      </c>
      <c r="T1565">
        <v>0.5</v>
      </c>
      <c r="U1565">
        <v>2</v>
      </c>
      <c r="V1565">
        <v>12</v>
      </c>
      <c r="W1565">
        <f>IF(nba_draft[[#This Row],[years_played]]&gt;5,1,0)</f>
        <v>0</v>
      </c>
    </row>
    <row r="1566" spans="1:23" x14ac:dyDescent="0.25">
      <c r="A1566">
        <v>48</v>
      </c>
      <c r="B1566" t="s">
        <v>75</v>
      </c>
      <c r="C1566" t="s">
        <v>1210</v>
      </c>
      <c r="D1566" t="s">
        <v>255</v>
      </c>
      <c r="E1566">
        <v>1</v>
      </c>
      <c r="F1566">
        <v>8</v>
      </c>
      <c r="G1566">
        <v>32</v>
      </c>
      <c r="H1566">
        <v>10</v>
      </c>
      <c r="I1566">
        <v>2</v>
      </c>
      <c r="J1566">
        <v>1</v>
      </c>
      <c r="K1566">
        <v>0.4</v>
      </c>
      <c r="L1566">
        <v>0</v>
      </c>
      <c r="M1566">
        <v>0.5</v>
      </c>
      <c r="N1566">
        <v>0</v>
      </c>
      <c r="O1566">
        <v>-3.9E-2</v>
      </c>
      <c r="P1566">
        <v>2009</v>
      </c>
      <c r="Q1566">
        <v>4</v>
      </c>
      <c r="R1566">
        <v>1.3</v>
      </c>
      <c r="S1566">
        <v>0.3</v>
      </c>
      <c r="T1566">
        <v>0.1</v>
      </c>
      <c r="U1566">
        <v>2</v>
      </c>
      <c r="V1566">
        <v>18</v>
      </c>
      <c r="W1566">
        <f>IF(nba_draft[[#This Row],[years_played]]&gt;5,1,0)</f>
        <v>0</v>
      </c>
    </row>
    <row r="1567" spans="1:23" x14ac:dyDescent="0.25">
      <c r="A1567">
        <v>40</v>
      </c>
      <c r="B1567" t="s">
        <v>863</v>
      </c>
      <c r="C1567" t="s">
        <v>1578</v>
      </c>
      <c r="D1567" t="s">
        <v>67</v>
      </c>
      <c r="E1567">
        <v>1</v>
      </c>
      <c r="F1567">
        <v>7</v>
      </c>
      <c r="G1567">
        <v>24</v>
      </c>
      <c r="H1567">
        <v>10</v>
      </c>
      <c r="I1567">
        <v>6</v>
      </c>
      <c r="J1567">
        <v>0</v>
      </c>
      <c r="K1567">
        <v>0.23100000000000001</v>
      </c>
      <c r="L1567">
        <v>0</v>
      </c>
      <c r="M1567">
        <v>1</v>
      </c>
      <c r="N1567">
        <v>-0.1</v>
      </c>
      <c r="O1567">
        <v>-0.21099999999999999</v>
      </c>
      <c r="P1567">
        <v>2016</v>
      </c>
      <c r="Q1567">
        <v>3.4</v>
      </c>
      <c r="R1567">
        <v>1.4</v>
      </c>
      <c r="S1567">
        <v>0.9</v>
      </c>
      <c r="T1567">
        <v>0</v>
      </c>
      <c r="U1567">
        <v>2</v>
      </c>
      <c r="V1567">
        <v>10</v>
      </c>
      <c r="W1567">
        <f>IF(nba_draft[[#This Row],[years_played]]&gt;5,1,0)</f>
        <v>0</v>
      </c>
    </row>
    <row r="1568" spans="1:23" x14ac:dyDescent="0.25">
      <c r="A1568">
        <v>34</v>
      </c>
      <c r="B1568" t="s">
        <v>37</v>
      </c>
      <c r="C1568" t="s">
        <v>190</v>
      </c>
      <c r="D1568" t="s">
        <v>191</v>
      </c>
      <c r="E1568">
        <v>1</v>
      </c>
      <c r="F1568">
        <v>4</v>
      </c>
      <c r="G1568">
        <v>23</v>
      </c>
      <c r="H1568">
        <v>9</v>
      </c>
      <c r="I1568">
        <v>3</v>
      </c>
      <c r="J1568">
        <v>6</v>
      </c>
      <c r="K1568">
        <v>0.66700000000000004</v>
      </c>
      <c r="L1568">
        <v>0.33300000000000002</v>
      </c>
      <c r="M1568">
        <v>0</v>
      </c>
      <c r="N1568">
        <v>0</v>
      </c>
      <c r="O1568">
        <v>3.2000000000000001E-2</v>
      </c>
      <c r="P1568">
        <v>1991</v>
      </c>
      <c r="Q1568">
        <v>5.8</v>
      </c>
      <c r="R1568">
        <v>2.2999999999999998</v>
      </c>
      <c r="S1568">
        <v>0.8</v>
      </c>
      <c r="T1568">
        <v>1.5</v>
      </c>
      <c r="U1568">
        <v>2</v>
      </c>
      <c r="V1568">
        <v>7</v>
      </c>
      <c r="W1568">
        <f>IF(nba_draft[[#This Row],[years_played]]&gt;5,1,0)</f>
        <v>0</v>
      </c>
    </row>
    <row r="1569" spans="1:23" x14ac:dyDescent="0.25">
      <c r="A1569">
        <v>57</v>
      </c>
      <c r="B1569" t="s">
        <v>49</v>
      </c>
      <c r="C1569" t="s">
        <v>448</v>
      </c>
      <c r="D1569" t="s">
        <v>119</v>
      </c>
      <c r="E1569">
        <v>2</v>
      </c>
      <c r="F1569">
        <v>7</v>
      </c>
      <c r="G1569">
        <v>32</v>
      </c>
      <c r="H1569">
        <v>9</v>
      </c>
      <c r="I1569">
        <v>3</v>
      </c>
      <c r="J1569">
        <v>3</v>
      </c>
      <c r="K1569">
        <v>0.25</v>
      </c>
      <c r="L1569">
        <v>0.6</v>
      </c>
      <c r="M1569">
        <v>0</v>
      </c>
      <c r="N1569">
        <v>-0.1</v>
      </c>
      <c r="O1569">
        <v>-0.151</v>
      </c>
      <c r="P1569">
        <v>1995</v>
      </c>
      <c r="Q1569">
        <v>4.5999999999999996</v>
      </c>
      <c r="R1569">
        <v>1.3</v>
      </c>
      <c r="S1569">
        <v>0.4</v>
      </c>
      <c r="T1569">
        <v>0.4</v>
      </c>
      <c r="U1569">
        <v>2</v>
      </c>
      <c r="V1569">
        <v>28</v>
      </c>
      <c r="W1569">
        <f>IF(nba_draft[[#This Row],[years_played]]&gt;5,1,0)</f>
        <v>0</v>
      </c>
    </row>
    <row r="1570" spans="1:23" x14ac:dyDescent="0.25">
      <c r="A1570">
        <v>58</v>
      </c>
      <c r="B1570" t="s">
        <v>90</v>
      </c>
      <c r="C1570" t="s">
        <v>1160</v>
      </c>
      <c r="D1570" t="s">
        <v>282</v>
      </c>
      <c r="E1570">
        <v>1</v>
      </c>
      <c r="F1570">
        <v>2</v>
      </c>
      <c r="G1570">
        <v>23</v>
      </c>
      <c r="H1570">
        <v>9</v>
      </c>
      <c r="I1570">
        <v>4</v>
      </c>
      <c r="J1570">
        <v>1</v>
      </c>
      <c r="K1570">
        <v>0.3</v>
      </c>
      <c r="L1570">
        <v>0.25</v>
      </c>
      <c r="M1570">
        <v>1</v>
      </c>
      <c r="N1570">
        <v>0</v>
      </c>
      <c r="O1570">
        <v>3.6999999999999998E-2</v>
      </c>
      <c r="P1570">
        <v>2008</v>
      </c>
      <c r="Q1570">
        <v>11.5</v>
      </c>
      <c r="R1570">
        <v>4.5</v>
      </c>
      <c r="S1570">
        <v>2</v>
      </c>
      <c r="T1570">
        <v>0.5</v>
      </c>
      <c r="U1570">
        <v>2</v>
      </c>
      <c r="V1570">
        <v>28</v>
      </c>
      <c r="W1570">
        <f>IF(nba_draft[[#This Row],[years_played]]&gt;5,1,0)</f>
        <v>0</v>
      </c>
    </row>
    <row r="1571" spans="1:23" x14ac:dyDescent="0.25">
      <c r="A1571">
        <v>51</v>
      </c>
      <c r="B1571" t="s">
        <v>70</v>
      </c>
      <c r="C1571" t="s">
        <v>1380</v>
      </c>
      <c r="D1571" t="s">
        <v>24</v>
      </c>
      <c r="E1571">
        <v>1</v>
      </c>
      <c r="F1571">
        <v>10</v>
      </c>
      <c r="G1571">
        <v>54</v>
      </c>
      <c r="H1571">
        <v>9</v>
      </c>
      <c r="I1571">
        <v>7</v>
      </c>
      <c r="J1571">
        <v>1</v>
      </c>
      <c r="K1571">
        <v>0.14299999999999999</v>
      </c>
      <c r="L1571">
        <v>0</v>
      </c>
      <c r="M1571">
        <v>0.625</v>
      </c>
      <c r="N1571">
        <v>-0.1</v>
      </c>
      <c r="O1571">
        <v>-0.127</v>
      </c>
      <c r="P1571">
        <v>2012</v>
      </c>
      <c r="Q1571">
        <v>5.4</v>
      </c>
      <c r="R1571">
        <v>0.9</v>
      </c>
      <c r="S1571">
        <v>0.7</v>
      </c>
      <c r="T1571">
        <v>0.1</v>
      </c>
      <c r="U1571">
        <v>2</v>
      </c>
      <c r="V1571">
        <v>21</v>
      </c>
      <c r="W1571">
        <f>IF(nba_draft[[#This Row],[years_played]]&gt;5,1,0)</f>
        <v>0</v>
      </c>
    </row>
    <row r="1572" spans="1:23" x14ac:dyDescent="0.25">
      <c r="A1572">
        <v>52</v>
      </c>
      <c r="B1572" t="s">
        <v>138</v>
      </c>
      <c r="C1572" t="s">
        <v>139</v>
      </c>
      <c r="D1572" t="s">
        <v>97</v>
      </c>
      <c r="E1572">
        <v>1</v>
      </c>
      <c r="F1572">
        <v>7</v>
      </c>
      <c r="G1572">
        <v>30</v>
      </c>
      <c r="H1572">
        <v>8</v>
      </c>
      <c r="I1572">
        <v>6</v>
      </c>
      <c r="J1572">
        <v>3</v>
      </c>
      <c r="K1572">
        <v>0.33300000000000002</v>
      </c>
      <c r="L1572">
        <v>0</v>
      </c>
      <c r="M1572">
        <v>0.4</v>
      </c>
      <c r="N1572">
        <v>-0.1</v>
      </c>
      <c r="O1572">
        <v>-0.104</v>
      </c>
      <c r="P1572">
        <v>1990</v>
      </c>
      <c r="Q1572">
        <v>4.3</v>
      </c>
      <c r="R1572">
        <v>1.1000000000000001</v>
      </c>
      <c r="S1572">
        <v>0.9</v>
      </c>
      <c r="T1572">
        <v>0.4</v>
      </c>
      <c r="U1572">
        <v>2</v>
      </c>
      <c r="V1572">
        <v>25</v>
      </c>
      <c r="W1572">
        <f>IF(nba_draft[[#This Row],[years_played]]&gt;5,1,0)</f>
        <v>0</v>
      </c>
    </row>
    <row r="1573" spans="1:23" x14ac:dyDescent="0.25">
      <c r="A1573">
        <v>39</v>
      </c>
      <c r="B1573" t="s">
        <v>138</v>
      </c>
      <c r="C1573" t="s">
        <v>673</v>
      </c>
      <c r="D1573" t="s">
        <v>117</v>
      </c>
      <c r="E1573">
        <v>1</v>
      </c>
      <c r="F1573">
        <v>8</v>
      </c>
      <c r="G1573">
        <v>61</v>
      </c>
      <c r="H1573">
        <v>8</v>
      </c>
      <c r="I1573">
        <v>22</v>
      </c>
      <c r="J1573">
        <v>0</v>
      </c>
      <c r="K1573">
        <v>0.19</v>
      </c>
      <c r="L1573">
        <v>0</v>
      </c>
      <c r="M1573">
        <v>0</v>
      </c>
      <c r="N1573">
        <v>-0.2</v>
      </c>
      <c r="O1573">
        <v>-0.129</v>
      </c>
      <c r="P1573">
        <v>1999</v>
      </c>
      <c r="Q1573">
        <v>7.6</v>
      </c>
      <c r="R1573">
        <v>1</v>
      </c>
      <c r="S1573">
        <v>2.8</v>
      </c>
      <c r="T1573">
        <v>0</v>
      </c>
      <c r="U1573">
        <v>2</v>
      </c>
      <c r="V1573">
        <v>10</v>
      </c>
      <c r="W1573">
        <f>IF(nba_draft[[#This Row],[years_played]]&gt;5,1,0)</f>
        <v>0</v>
      </c>
    </row>
    <row r="1574" spans="1:23" x14ac:dyDescent="0.25">
      <c r="A1574">
        <v>32</v>
      </c>
      <c r="B1574" t="s">
        <v>25</v>
      </c>
      <c r="C1574" t="s">
        <v>1141</v>
      </c>
      <c r="D1574" t="s">
        <v>1142</v>
      </c>
      <c r="E1574">
        <v>1</v>
      </c>
      <c r="F1574">
        <v>8</v>
      </c>
      <c r="G1574">
        <v>20</v>
      </c>
      <c r="H1574">
        <v>8</v>
      </c>
      <c r="I1574">
        <v>3</v>
      </c>
      <c r="J1574">
        <v>0</v>
      </c>
      <c r="K1574">
        <v>0.36399999999999999</v>
      </c>
      <c r="L1574">
        <v>0</v>
      </c>
      <c r="M1574">
        <v>0</v>
      </c>
      <c r="N1574">
        <v>-0.1</v>
      </c>
      <c r="O1574">
        <v>-0.13100000000000001</v>
      </c>
      <c r="P1574">
        <v>2008</v>
      </c>
      <c r="Q1574">
        <v>2.5</v>
      </c>
      <c r="R1574">
        <v>1</v>
      </c>
      <c r="S1574">
        <v>0.4</v>
      </c>
      <c r="T1574">
        <v>0</v>
      </c>
      <c r="U1574">
        <v>2</v>
      </c>
      <c r="V1574">
        <v>2</v>
      </c>
      <c r="W1574">
        <f>IF(nba_draft[[#This Row],[years_played]]&gt;5,1,0)</f>
        <v>0</v>
      </c>
    </row>
    <row r="1575" spans="1:23" x14ac:dyDescent="0.25">
      <c r="A1575">
        <v>38</v>
      </c>
      <c r="B1575" t="s">
        <v>65</v>
      </c>
      <c r="C1575" t="s">
        <v>1254</v>
      </c>
      <c r="D1575" t="s">
        <v>24</v>
      </c>
      <c r="E1575">
        <v>1</v>
      </c>
      <c r="F1575">
        <v>5</v>
      </c>
      <c r="G1575">
        <v>24</v>
      </c>
      <c r="H1575">
        <v>8</v>
      </c>
      <c r="I1575">
        <v>1</v>
      </c>
      <c r="J1575">
        <v>3</v>
      </c>
      <c r="K1575">
        <v>0.42899999999999999</v>
      </c>
      <c r="L1575">
        <v>0.25</v>
      </c>
      <c r="M1575">
        <v>0.5</v>
      </c>
      <c r="N1575">
        <v>-0.2</v>
      </c>
      <c r="O1575">
        <v>-0.314</v>
      </c>
      <c r="P1575">
        <v>2010</v>
      </c>
      <c r="Q1575">
        <v>4.8</v>
      </c>
      <c r="R1575">
        <v>1.6</v>
      </c>
      <c r="S1575">
        <v>0.2</v>
      </c>
      <c r="T1575">
        <v>0.6</v>
      </c>
      <c r="U1575">
        <v>2</v>
      </c>
      <c r="V1575">
        <v>8</v>
      </c>
      <c r="W1575">
        <f>IF(nba_draft[[#This Row],[years_played]]&gt;5,1,0)</f>
        <v>0</v>
      </c>
    </row>
    <row r="1576" spans="1:23" x14ac:dyDescent="0.25">
      <c r="A1576">
        <v>57</v>
      </c>
      <c r="B1576" t="s">
        <v>127</v>
      </c>
      <c r="C1576" t="s">
        <v>1267</v>
      </c>
      <c r="D1576" t="s">
        <v>298</v>
      </c>
      <c r="E1576">
        <v>1</v>
      </c>
      <c r="F1576">
        <v>5</v>
      </c>
      <c r="G1576">
        <v>17</v>
      </c>
      <c r="H1576">
        <v>8</v>
      </c>
      <c r="I1576">
        <v>2</v>
      </c>
      <c r="J1576">
        <v>0</v>
      </c>
      <c r="K1576">
        <v>0.8</v>
      </c>
      <c r="L1576">
        <v>0</v>
      </c>
      <c r="M1576">
        <v>0</v>
      </c>
      <c r="N1576">
        <v>0.1</v>
      </c>
      <c r="O1576">
        <v>0.14199999999999999</v>
      </c>
      <c r="P1576">
        <v>2010</v>
      </c>
      <c r="Q1576">
        <v>3.4</v>
      </c>
      <c r="R1576">
        <v>1.6</v>
      </c>
      <c r="S1576">
        <v>0.4</v>
      </c>
      <c r="T1576">
        <v>0</v>
      </c>
      <c r="U1576">
        <v>2</v>
      </c>
      <c r="V1576">
        <v>27</v>
      </c>
      <c r="W1576">
        <f>IF(nba_draft[[#This Row],[years_played]]&gt;5,1,0)</f>
        <v>0</v>
      </c>
    </row>
    <row r="1577" spans="1:23" x14ac:dyDescent="0.25">
      <c r="A1577">
        <v>35</v>
      </c>
      <c r="B1577" t="s">
        <v>49</v>
      </c>
      <c r="C1577" t="s">
        <v>1747</v>
      </c>
      <c r="D1577" t="s">
        <v>97</v>
      </c>
      <c r="E1577">
        <v>2</v>
      </c>
      <c r="F1577">
        <v>5</v>
      </c>
      <c r="G1577">
        <v>63</v>
      </c>
      <c r="H1577">
        <v>8</v>
      </c>
      <c r="I1577">
        <v>5</v>
      </c>
      <c r="J1577">
        <v>4</v>
      </c>
      <c r="K1577">
        <v>0.188</v>
      </c>
      <c r="L1577">
        <v>0.182</v>
      </c>
      <c r="M1577">
        <v>0</v>
      </c>
      <c r="N1577">
        <v>-0.2</v>
      </c>
      <c r="O1577">
        <v>-0.11600000000000001</v>
      </c>
      <c r="P1577">
        <v>2019</v>
      </c>
      <c r="Q1577">
        <v>12.6</v>
      </c>
      <c r="R1577">
        <v>1.6</v>
      </c>
      <c r="S1577">
        <v>1</v>
      </c>
      <c r="T1577">
        <v>0.8</v>
      </c>
      <c r="U1577">
        <v>2</v>
      </c>
      <c r="V1577">
        <v>5</v>
      </c>
      <c r="W1577">
        <f>IF(nba_draft[[#This Row],[years_played]]&gt;5,1,0)</f>
        <v>0</v>
      </c>
    </row>
    <row r="1578" spans="1:23" x14ac:dyDescent="0.25">
      <c r="A1578">
        <v>53</v>
      </c>
      <c r="B1578" t="s">
        <v>49</v>
      </c>
      <c r="C1578" t="s">
        <v>1263</v>
      </c>
      <c r="D1578" t="s">
        <v>97</v>
      </c>
      <c r="E1578">
        <v>1</v>
      </c>
      <c r="F1578">
        <v>3</v>
      </c>
      <c r="G1578">
        <v>21</v>
      </c>
      <c r="H1578">
        <v>7</v>
      </c>
      <c r="I1578">
        <v>3</v>
      </c>
      <c r="J1578">
        <v>2</v>
      </c>
      <c r="K1578">
        <v>0.33300000000000002</v>
      </c>
      <c r="L1578">
        <v>0</v>
      </c>
      <c r="M1578">
        <v>1</v>
      </c>
      <c r="N1578">
        <v>0</v>
      </c>
      <c r="O1578">
        <v>-4.7E-2</v>
      </c>
      <c r="P1578">
        <v>2010</v>
      </c>
      <c r="Q1578">
        <v>7</v>
      </c>
      <c r="R1578">
        <v>2.2999999999999998</v>
      </c>
      <c r="S1578">
        <v>1</v>
      </c>
      <c r="T1578">
        <v>0.7</v>
      </c>
      <c r="U1578">
        <v>2</v>
      </c>
      <c r="V1578">
        <v>23</v>
      </c>
      <c r="W1578">
        <f>IF(nba_draft[[#This Row],[years_played]]&gt;5,1,0)</f>
        <v>0</v>
      </c>
    </row>
    <row r="1579" spans="1:23" x14ac:dyDescent="0.25">
      <c r="A1579">
        <v>22</v>
      </c>
      <c r="B1579" t="s">
        <v>70</v>
      </c>
      <c r="C1579" t="s">
        <v>1350</v>
      </c>
      <c r="D1579" t="s">
        <v>24</v>
      </c>
      <c r="E1579">
        <v>1</v>
      </c>
      <c r="F1579">
        <v>6</v>
      </c>
      <c r="G1579">
        <v>36</v>
      </c>
      <c r="H1579">
        <v>7</v>
      </c>
      <c r="I1579">
        <v>3</v>
      </c>
      <c r="J1579">
        <v>0</v>
      </c>
      <c r="K1579">
        <v>0.5</v>
      </c>
      <c r="L1579">
        <v>0</v>
      </c>
      <c r="M1579">
        <v>0.25</v>
      </c>
      <c r="N1579">
        <v>0</v>
      </c>
      <c r="O1579">
        <v>2.1000000000000001E-2</v>
      </c>
      <c r="P1579">
        <v>2012</v>
      </c>
      <c r="Q1579">
        <v>6</v>
      </c>
      <c r="R1579">
        <v>1.2</v>
      </c>
      <c r="S1579">
        <v>0.5</v>
      </c>
      <c r="T1579">
        <v>0</v>
      </c>
      <c r="U1579">
        <v>1</v>
      </c>
      <c r="V1579">
        <v>22</v>
      </c>
      <c r="W1579">
        <f>IF(nba_draft[[#This Row],[years_played]]&gt;5,1,0)</f>
        <v>0</v>
      </c>
    </row>
    <row r="1580" spans="1:23" x14ac:dyDescent="0.25">
      <c r="A1580">
        <v>48</v>
      </c>
      <c r="B1580" t="s">
        <v>49</v>
      </c>
      <c r="C1580" t="s">
        <v>1877</v>
      </c>
      <c r="D1580" t="s">
        <v>362</v>
      </c>
      <c r="E1580">
        <v>1</v>
      </c>
      <c r="F1580">
        <v>11</v>
      </c>
      <c r="G1580">
        <v>35</v>
      </c>
      <c r="H1580">
        <v>7</v>
      </c>
      <c r="I1580">
        <v>5</v>
      </c>
      <c r="J1580">
        <v>5</v>
      </c>
      <c r="K1580">
        <v>0.214</v>
      </c>
      <c r="L1580">
        <v>0.16700000000000001</v>
      </c>
      <c r="M1580">
        <v>0</v>
      </c>
      <c r="N1580">
        <v>-0.2</v>
      </c>
      <c r="O1580">
        <v>-0.33200000000000002</v>
      </c>
      <c r="P1580">
        <v>2021</v>
      </c>
      <c r="Q1580">
        <v>3.2</v>
      </c>
      <c r="R1580">
        <v>0.6</v>
      </c>
      <c r="S1580">
        <v>0.5</v>
      </c>
      <c r="T1580">
        <v>0.5</v>
      </c>
      <c r="U1580">
        <v>2</v>
      </c>
      <c r="V1580">
        <v>18</v>
      </c>
      <c r="W1580">
        <f>IF(nba_draft[[#This Row],[years_played]]&gt;5,1,0)</f>
        <v>0</v>
      </c>
    </row>
    <row r="1581" spans="1:23" x14ac:dyDescent="0.25">
      <c r="A1581">
        <v>32</v>
      </c>
      <c r="B1581" t="s">
        <v>75</v>
      </c>
      <c r="C1581" t="s">
        <v>187</v>
      </c>
      <c r="D1581" t="s">
        <v>188</v>
      </c>
      <c r="E1581">
        <v>1</v>
      </c>
      <c r="F1581">
        <v>2</v>
      </c>
      <c r="G1581">
        <v>3</v>
      </c>
      <c r="H1581">
        <v>6</v>
      </c>
      <c r="I1581">
        <v>0</v>
      </c>
      <c r="J1581">
        <v>0</v>
      </c>
      <c r="K1581">
        <v>1</v>
      </c>
      <c r="L1581">
        <v>0</v>
      </c>
      <c r="M1581">
        <v>0</v>
      </c>
      <c r="N1581">
        <v>0.1</v>
      </c>
      <c r="O1581">
        <v>1.4419999999999999</v>
      </c>
      <c r="P1581">
        <v>1991</v>
      </c>
      <c r="Q1581">
        <v>1.5</v>
      </c>
      <c r="R1581">
        <v>3</v>
      </c>
      <c r="S1581">
        <v>0</v>
      </c>
      <c r="T1581">
        <v>0</v>
      </c>
      <c r="U1581">
        <v>2</v>
      </c>
      <c r="V1581">
        <v>5</v>
      </c>
      <c r="W1581">
        <f>IF(nba_draft[[#This Row],[years_played]]&gt;5,1,0)</f>
        <v>0</v>
      </c>
    </row>
    <row r="1582" spans="1:23" x14ac:dyDescent="0.25">
      <c r="A1582">
        <v>38</v>
      </c>
      <c r="B1582" t="s">
        <v>65</v>
      </c>
      <c r="C1582" t="s">
        <v>606</v>
      </c>
      <c r="D1582" t="s">
        <v>607</v>
      </c>
      <c r="E1582">
        <v>1</v>
      </c>
      <c r="F1582">
        <v>5</v>
      </c>
      <c r="G1582">
        <v>37</v>
      </c>
      <c r="H1582">
        <v>6</v>
      </c>
      <c r="I1582">
        <v>7</v>
      </c>
      <c r="J1582">
        <v>0</v>
      </c>
      <c r="K1582">
        <v>0.33300000000000002</v>
      </c>
      <c r="L1582">
        <v>0</v>
      </c>
      <c r="M1582">
        <v>0</v>
      </c>
      <c r="N1582">
        <v>-0.1</v>
      </c>
      <c r="O1582">
        <v>-9.0999999999999998E-2</v>
      </c>
      <c r="P1582">
        <v>1998</v>
      </c>
      <c r="Q1582">
        <v>7.4</v>
      </c>
      <c r="R1582">
        <v>1.2</v>
      </c>
      <c r="S1582">
        <v>1.4</v>
      </c>
      <c r="T1582">
        <v>0</v>
      </c>
      <c r="U1582">
        <v>2</v>
      </c>
      <c r="V1582">
        <v>9</v>
      </c>
      <c r="W1582">
        <f>IF(nba_draft[[#This Row],[years_played]]&gt;5,1,0)</f>
        <v>0</v>
      </c>
    </row>
    <row r="1583" spans="1:23" x14ac:dyDescent="0.25">
      <c r="A1583">
        <v>40</v>
      </c>
      <c r="B1583" t="s">
        <v>90</v>
      </c>
      <c r="C1583" t="s">
        <v>1095</v>
      </c>
      <c r="D1583" t="s">
        <v>97</v>
      </c>
      <c r="E1583">
        <v>1</v>
      </c>
      <c r="F1583">
        <v>10</v>
      </c>
      <c r="G1583">
        <v>28</v>
      </c>
      <c r="H1583">
        <v>6</v>
      </c>
      <c r="I1583">
        <v>0</v>
      </c>
      <c r="J1583">
        <v>2</v>
      </c>
      <c r="K1583">
        <v>0.27300000000000002</v>
      </c>
      <c r="L1583">
        <v>0</v>
      </c>
      <c r="M1583">
        <v>0</v>
      </c>
      <c r="N1583">
        <v>-0.1</v>
      </c>
      <c r="O1583">
        <v>-0.22600000000000001</v>
      </c>
      <c r="P1583">
        <v>2007</v>
      </c>
      <c r="Q1583">
        <v>2.8</v>
      </c>
      <c r="R1583">
        <v>0.6</v>
      </c>
      <c r="S1583">
        <v>0</v>
      </c>
      <c r="T1583">
        <v>0.2</v>
      </c>
      <c r="U1583">
        <v>2</v>
      </c>
      <c r="V1583">
        <v>10</v>
      </c>
      <c r="W1583">
        <f>IF(nba_draft[[#This Row],[years_played]]&gt;5,1,0)</f>
        <v>0</v>
      </c>
    </row>
    <row r="1584" spans="1:23" x14ac:dyDescent="0.25">
      <c r="A1584">
        <v>49</v>
      </c>
      <c r="B1584" t="s">
        <v>95</v>
      </c>
      <c r="C1584" t="s">
        <v>1437</v>
      </c>
      <c r="D1584" t="s">
        <v>84</v>
      </c>
      <c r="E1584">
        <v>1</v>
      </c>
      <c r="F1584">
        <v>24</v>
      </c>
      <c r="G1584">
        <v>62</v>
      </c>
      <c r="H1584">
        <v>6</v>
      </c>
      <c r="I1584">
        <v>8</v>
      </c>
      <c r="J1584">
        <v>2</v>
      </c>
      <c r="K1584">
        <v>0.23100000000000001</v>
      </c>
      <c r="L1584">
        <v>0</v>
      </c>
      <c r="M1584">
        <v>0</v>
      </c>
      <c r="N1584">
        <v>-0.1</v>
      </c>
      <c r="O1584">
        <v>-5.5E-2</v>
      </c>
      <c r="P1584">
        <v>2013</v>
      </c>
      <c r="Q1584">
        <v>2.6</v>
      </c>
      <c r="R1584">
        <v>0.3</v>
      </c>
      <c r="S1584">
        <v>0.3</v>
      </c>
      <c r="T1584">
        <v>0.1</v>
      </c>
      <c r="U1584">
        <v>2</v>
      </c>
      <c r="V1584">
        <v>19</v>
      </c>
      <c r="W1584">
        <f>IF(nba_draft[[#This Row],[years_played]]&gt;5,1,0)</f>
        <v>0</v>
      </c>
    </row>
    <row r="1585" spans="1:23" x14ac:dyDescent="0.25">
      <c r="A1585">
        <v>37</v>
      </c>
      <c r="B1585" t="s">
        <v>109</v>
      </c>
      <c r="C1585" t="s">
        <v>1808</v>
      </c>
      <c r="D1585" t="s">
        <v>97</v>
      </c>
      <c r="E1585">
        <v>1</v>
      </c>
      <c r="F1585">
        <v>6</v>
      </c>
      <c r="G1585">
        <v>31</v>
      </c>
      <c r="H1585">
        <v>6</v>
      </c>
      <c r="I1585">
        <v>5</v>
      </c>
      <c r="J1585">
        <v>2</v>
      </c>
      <c r="K1585">
        <v>0.33300000000000002</v>
      </c>
      <c r="L1585">
        <v>0</v>
      </c>
      <c r="M1585">
        <v>1</v>
      </c>
      <c r="N1585">
        <v>0</v>
      </c>
      <c r="O1585">
        <v>-4.9000000000000002E-2</v>
      </c>
      <c r="P1585">
        <v>2020</v>
      </c>
      <c r="Q1585">
        <v>5.2</v>
      </c>
      <c r="R1585">
        <v>1</v>
      </c>
      <c r="S1585">
        <v>0.8</v>
      </c>
      <c r="T1585">
        <v>0.3</v>
      </c>
      <c r="U1585">
        <v>2</v>
      </c>
      <c r="V1585">
        <v>7</v>
      </c>
      <c r="W1585">
        <f>IF(nba_draft[[#This Row],[years_played]]&gt;5,1,0)</f>
        <v>0</v>
      </c>
    </row>
    <row r="1586" spans="1:23" x14ac:dyDescent="0.25">
      <c r="A1586">
        <v>45</v>
      </c>
      <c r="B1586" t="s">
        <v>40</v>
      </c>
      <c r="C1586" t="s">
        <v>677</v>
      </c>
      <c r="D1586" t="s">
        <v>108</v>
      </c>
      <c r="E1586">
        <v>1</v>
      </c>
      <c r="F1586">
        <v>1</v>
      </c>
      <c r="G1586">
        <v>25</v>
      </c>
      <c r="H1586">
        <v>5</v>
      </c>
      <c r="I1586">
        <v>0</v>
      </c>
      <c r="J1586">
        <v>0</v>
      </c>
      <c r="K1586">
        <v>0.33300000000000002</v>
      </c>
      <c r="L1586">
        <v>0</v>
      </c>
      <c r="M1586">
        <v>1</v>
      </c>
      <c r="N1586">
        <v>0</v>
      </c>
      <c r="O1586">
        <v>-2.1999999999999999E-2</v>
      </c>
      <c r="P1586">
        <v>1999</v>
      </c>
      <c r="Q1586">
        <v>25</v>
      </c>
      <c r="R1586">
        <v>5</v>
      </c>
      <c r="S1586">
        <v>0</v>
      </c>
      <c r="T1586">
        <v>0</v>
      </c>
      <c r="U1586">
        <v>2</v>
      </c>
      <c r="V1586">
        <v>16</v>
      </c>
      <c r="W1586">
        <f>IF(nba_draft[[#This Row],[years_played]]&gt;5,1,0)</f>
        <v>0</v>
      </c>
    </row>
    <row r="1587" spans="1:23" x14ac:dyDescent="0.25">
      <c r="A1587">
        <v>52</v>
      </c>
      <c r="B1587" t="s">
        <v>43</v>
      </c>
      <c r="C1587" t="s">
        <v>1052</v>
      </c>
      <c r="D1587" t="s">
        <v>657</v>
      </c>
      <c r="E1587">
        <v>1</v>
      </c>
      <c r="F1587">
        <v>6</v>
      </c>
      <c r="G1587">
        <v>18</v>
      </c>
      <c r="H1587">
        <v>5</v>
      </c>
      <c r="I1587">
        <v>2</v>
      </c>
      <c r="J1587">
        <v>1</v>
      </c>
      <c r="K1587">
        <v>0.25</v>
      </c>
      <c r="L1587">
        <v>0</v>
      </c>
      <c r="M1587">
        <v>0.6</v>
      </c>
      <c r="N1587">
        <v>0</v>
      </c>
      <c r="O1587">
        <v>3.3000000000000002E-2</v>
      </c>
      <c r="P1587">
        <v>2006</v>
      </c>
      <c r="Q1587">
        <v>3</v>
      </c>
      <c r="R1587">
        <v>0.8</v>
      </c>
      <c r="S1587">
        <v>0.3</v>
      </c>
      <c r="T1587">
        <v>0.2</v>
      </c>
      <c r="U1587">
        <v>2</v>
      </c>
      <c r="V1587">
        <v>22</v>
      </c>
      <c r="W1587">
        <f>IF(nba_draft[[#This Row],[years_played]]&gt;5,1,0)</f>
        <v>0</v>
      </c>
    </row>
    <row r="1588" spans="1:23" x14ac:dyDescent="0.25">
      <c r="A1588">
        <v>56</v>
      </c>
      <c r="B1588" t="s">
        <v>863</v>
      </c>
      <c r="C1588" t="s">
        <v>1540</v>
      </c>
      <c r="D1588" t="s">
        <v>148</v>
      </c>
      <c r="E1588">
        <v>1</v>
      </c>
      <c r="F1588">
        <v>6</v>
      </c>
      <c r="G1588">
        <v>29</v>
      </c>
      <c r="H1588">
        <v>5</v>
      </c>
      <c r="I1588">
        <v>4</v>
      </c>
      <c r="J1588">
        <v>0</v>
      </c>
      <c r="K1588">
        <v>0.4</v>
      </c>
      <c r="L1588">
        <v>0</v>
      </c>
      <c r="M1588">
        <v>1</v>
      </c>
      <c r="N1588">
        <v>0</v>
      </c>
      <c r="O1588">
        <v>6.9000000000000006E-2</v>
      </c>
      <c r="P1588">
        <v>2015</v>
      </c>
      <c r="Q1588">
        <v>4.8</v>
      </c>
      <c r="R1588">
        <v>0.8</v>
      </c>
      <c r="S1588">
        <v>0.7</v>
      </c>
      <c r="T1588">
        <v>0</v>
      </c>
      <c r="U1588">
        <v>2</v>
      </c>
      <c r="V1588">
        <v>26</v>
      </c>
      <c r="W1588">
        <f>IF(nba_draft[[#This Row],[years_played]]&gt;5,1,0)</f>
        <v>0</v>
      </c>
    </row>
    <row r="1589" spans="1:23" x14ac:dyDescent="0.25">
      <c r="A1589">
        <v>47</v>
      </c>
      <c r="B1589" t="s">
        <v>395</v>
      </c>
      <c r="C1589" t="s">
        <v>618</v>
      </c>
      <c r="D1589" t="s">
        <v>612</v>
      </c>
      <c r="E1589">
        <v>1</v>
      </c>
      <c r="F1589">
        <v>1</v>
      </c>
      <c r="G1589">
        <v>3</v>
      </c>
      <c r="H1589">
        <v>4</v>
      </c>
      <c r="I1589">
        <v>0</v>
      </c>
      <c r="J1589">
        <v>2</v>
      </c>
      <c r="K1589">
        <v>1</v>
      </c>
      <c r="L1589">
        <v>1</v>
      </c>
      <c r="M1589">
        <v>0.5</v>
      </c>
      <c r="N1589">
        <v>0.1</v>
      </c>
      <c r="O1589">
        <v>1.367</v>
      </c>
      <c r="P1589">
        <v>1998</v>
      </c>
      <c r="Q1589">
        <v>3</v>
      </c>
      <c r="R1589">
        <v>4</v>
      </c>
      <c r="S1589">
        <v>0</v>
      </c>
      <c r="T1589">
        <v>2</v>
      </c>
      <c r="U1589">
        <v>2</v>
      </c>
      <c r="V1589">
        <v>18</v>
      </c>
      <c r="W1589">
        <f>IF(nba_draft[[#This Row],[years_played]]&gt;5,1,0)</f>
        <v>0</v>
      </c>
    </row>
    <row r="1590" spans="1:23" x14ac:dyDescent="0.25">
      <c r="A1590">
        <v>48</v>
      </c>
      <c r="B1590" t="s">
        <v>63</v>
      </c>
      <c r="C1590" t="s">
        <v>835</v>
      </c>
      <c r="D1590" t="s">
        <v>60</v>
      </c>
      <c r="E1590">
        <v>1</v>
      </c>
      <c r="F1590">
        <v>1</v>
      </c>
      <c r="G1590">
        <v>6</v>
      </c>
      <c r="H1590">
        <v>4</v>
      </c>
      <c r="I1590">
        <v>1</v>
      </c>
      <c r="J1590">
        <v>0</v>
      </c>
      <c r="K1590">
        <v>0.66700000000000004</v>
      </c>
      <c r="L1590">
        <v>0</v>
      </c>
      <c r="M1590">
        <v>0</v>
      </c>
      <c r="N1590">
        <v>0</v>
      </c>
      <c r="O1590">
        <v>-3.2000000000000001E-2</v>
      </c>
      <c r="P1590">
        <v>2002</v>
      </c>
      <c r="Q1590">
        <v>6</v>
      </c>
      <c r="R1590">
        <v>4</v>
      </c>
      <c r="S1590">
        <v>1</v>
      </c>
      <c r="T1590">
        <v>0</v>
      </c>
      <c r="U1590">
        <v>2</v>
      </c>
      <c r="V1590">
        <v>19</v>
      </c>
      <c r="W1590">
        <f>IF(nba_draft[[#This Row],[years_played]]&gt;5,1,0)</f>
        <v>0</v>
      </c>
    </row>
    <row r="1591" spans="1:23" x14ac:dyDescent="0.25">
      <c r="A1591">
        <v>40</v>
      </c>
      <c r="B1591" t="s">
        <v>52</v>
      </c>
      <c r="C1591" t="s">
        <v>884</v>
      </c>
      <c r="D1591" t="s">
        <v>461</v>
      </c>
      <c r="E1591">
        <v>1</v>
      </c>
      <c r="F1591">
        <v>2</v>
      </c>
      <c r="G1591">
        <v>32</v>
      </c>
      <c r="H1591">
        <v>4</v>
      </c>
      <c r="I1591">
        <v>4</v>
      </c>
      <c r="J1591">
        <v>7</v>
      </c>
      <c r="K1591">
        <v>0.66700000000000004</v>
      </c>
      <c r="L1591">
        <v>0</v>
      </c>
      <c r="M1591">
        <v>0</v>
      </c>
      <c r="N1591">
        <v>0</v>
      </c>
      <c r="O1591">
        <v>4.0000000000000001E-3</v>
      </c>
      <c r="P1591">
        <v>2003</v>
      </c>
      <c r="Q1591">
        <v>16</v>
      </c>
      <c r="R1591">
        <v>2</v>
      </c>
      <c r="S1591">
        <v>2</v>
      </c>
      <c r="T1591">
        <v>3.5</v>
      </c>
      <c r="U1591">
        <v>2</v>
      </c>
      <c r="V1591">
        <v>11</v>
      </c>
      <c r="W1591">
        <f>IF(nba_draft[[#This Row],[years_played]]&gt;5,1,0)</f>
        <v>0</v>
      </c>
    </row>
    <row r="1592" spans="1:23" x14ac:dyDescent="0.25">
      <c r="A1592">
        <v>21</v>
      </c>
      <c r="B1592" t="s">
        <v>104</v>
      </c>
      <c r="C1592" t="s">
        <v>918</v>
      </c>
      <c r="D1592" t="s">
        <v>97</v>
      </c>
      <c r="E1592">
        <v>2</v>
      </c>
      <c r="F1592">
        <v>6</v>
      </c>
      <c r="G1592">
        <v>28</v>
      </c>
      <c r="H1592">
        <v>4</v>
      </c>
      <c r="I1592">
        <v>9</v>
      </c>
      <c r="J1592">
        <v>0</v>
      </c>
      <c r="K1592">
        <v>0</v>
      </c>
      <c r="L1592">
        <v>0</v>
      </c>
      <c r="M1592">
        <v>0.5</v>
      </c>
      <c r="N1592">
        <v>-0.1</v>
      </c>
      <c r="O1592">
        <v>-0.16300000000000001</v>
      </c>
      <c r="P1592">
        <v>2004</v>
      </c>
      <c r="Q1592">
        <v>4.7</v>
      </c>
      <c r="R1592">
        <v>0.7</v>
      </c>
      <c r="S1592">
        <v>1.5</v>
      </c>
      <c r="T1592">
        <v>0</v>
      </c>
      <c r="U1592">
        <v>1</v>
      </c>
      <c r="V1592">
        <v>21</v>
      </c>
      <c r="W1592">
        <f>IF(nba_draft[[#This Row],[years_played]]&gt;5,1,0)</f>
        <v>0</v>
      </c>
    </row>
    <row r="1593" spans="1:23" x14ac:dyDescent="0.25">
      <c r="A1593">
        <v>37</v>
      </c>
      <c r="B1593" t="s">
        <v>63</v>
      </c>
      <c r="C1593" t="s">
        <v>1253</v>
      </c>
      <c r="D1593" t="s">
        <v>153</v>
      </c>
      <c r="E1593">
        <v>1</v>
      </c>
      <c r="F1593">
        <v>5</v>
      </c>
      <c r="G1593">
        <v>39</v>
      </c>
      <c r="H1593">
        <v>4</v>
      </c>
      <c r="I1593">
        <v>3</v>
      </c>
      <c r="J1593">
        <v>6</v>
      </c>
      <c r="K1593">
        <v>0.154</v>
      </c>
      <c r="L1593">
        <v>0</v>
      </c>
      <c r="M1593">
        <v>0</v>
      </c>
      <c r="N1593">
        <v>-0.2</v>
      </c>
      <c r="O1593">
        <v>-0.22500000000000001</v>
      </c>
      <c r="P1593">
        <v>2010</v>
      </c>
      <c r="Q1593">
        <v>7.8</v>
      </c>
      <c r="R1593">
        <v>0.8</v>
      </c>
      <c r="S1593">
        <v>0.6</v>
      </c>
      <c r="T1593">
        <v>1.2</v>
      </c>
      <c r="U1593">
        <v>2</v>
      </c>
      <c r="V1593">
        <v>7</v>
      </c>
      <c r="W1593">
        <f>IF(nba_draft[[#This Row],[years_played]]&gt;5,1,0)</f>
        <v>0</v>
      </c>
    </row>
    <row r="1594" spans="1:23" x14ac:dyDescent="0.25">
      <c r="A1594">
        <v>49</v>
      </c>
      <c r="B1594" t="s">
        <v>88</v>
      </c>
      <c r="C1594" t="s">
        <v>1586</v>
      </c>
      <c r="D1594" t="s">
        <v>24</v>
      </c>
      <c r="E1594">
        <v>1</v>
      </c>
      <c r="F1594">
        <v>9</v>
      </c>
      <c r="G1594">
        <v>32</v>
      </c>
      <c r="H1594">
        <v>4</v>
      </c>
      <c r="I1594">
        <v>3</v>
      </c>
      <c r="J1594">
        <v>2</v>
      </c>
      <c r="K1594">
        <v>0.1</v>
      </c>
      <c r="L1594">
        <v>0</v>
      </c>
      <c r="M1594">
        <v>1</v>
      </c>
      <c r="N1594">
        <v>-0.1</v>
      </c>
      <c r="O1594">
        <v>-0.13600000000000001</v>
      </c>
      <c r="P1594">
        <v>2016</v>
      </c>
      <c r="Q1594">
        <v>3.6</v>
      </c>
      <c r="R1594">
        <v>0.4</v>
      </c>
      <c r="S1594">
        <v>0.3</v>
      </c>
      <c r="T1594">
        <v>0.2</v>
      </c>
      <c r="U1594">
        <v>2</v>
      </c>
      <c r="V1594">
        <v>19</v>
      </c>
      <c r="W1594">
        <f>IF(nba_draft[[#This Row],[years_played]]&gt;5,1,0)</f>
        <v>0</v>
      </c>
    </row>
    <row r="1595" spans="1:23" x14ac:dyDescent="0.25">
      <c r="A1595">
        <v>52</v>
      </c>
      <c r="B1595" t="s">
        <v>95</v>
      </c>
      <c r="C1595" t="s">
        <v>276</v>
      </c>
      <c r="D1595" t="s">
        <v>148</v>
      </c>
      <c r="E1595">
        <v>1</v>
      </c>
      <c r="F1595">
        <v>2</v>
      </c>
      <c r="G1595">
        <v>12</v>
      </c>
      <c r="H1595">
        <v>3</v>
      </c>
      <c r="I1595">
        <v>3</v>
      </c>
      <c r="J1595">
        <v>2</v>
      </c>
      <c r="K1595">
        <v>0.25</v>
      </c>
      <c r="L1595">
        <v>0</v>
      </c>
      <c r="M1595">
        <v>0.5</v>
      </c>
      <c r="N1595">
        <v>0</v>
      </c>
      <c r="O1595">
        <v>-0.126</v>
      </c>
      <c r="P1595">
        <v>1992</v>
      </c>
      <c r="Q1595">
        <v>6</v>
      </c>
      <c r="R1595">
        <v>1.5</v>
      </c>
      <c r="S1595">
        <v>1.5</v>
      </c>
      <c r="T1595">
        <v>1</v>
      </c>
      <c r="U1595">
        <v>2</v>
      </c>
      <c r="V1595">
        <v>25</v>
      </c>
      <c r="W1595">
        <f>IF(nba_draft[[#This Row],[years_played]]&gt;5,1,0)</f>
        <v>0</v>
      </c>
    </row>
    <row r="1596" spans="1:23" x14ac:dyDescent="0.25">
      <c r="A1596">
        <v>35</v>
      </c>
      <c r="B1596" t="s">
        <v>46</v>
      </c>
      <c r="C1596" t="s">
        <v>322</v>
      </c>
      <c r="D1596" t="s">
        <v>117</v>
      </c>
      <c r="E1596">
        <v>1</v>
      </c>
      <c r="F1596">
        <v>4</v>
      </c>
      <c r="G1596">
        <v>17</v>
      </c>
      <c r="H1596">
        <v>3</v>
      </c>
      <c r="I1596">
        <v>4</v>
      </c>
      <c r="J1596">
        <v>1</v>
      </c>
      <c r="K1596">
        <v>0.33300000000000002</v>
      </c>
      <c r="L1596">
        <v>0</v>
      </c>
      <c r="M1596">
        <v>0.5</v>
      </c>
      <c r="N1596">
        <v>0</v>
      </c>
      <c r="O1596">
        <v>-7.6999999999999999E-2</v>
      </c>
      <c r="P1596">
        <v>1993</v>
      </c>
      <c r="Q1596">
        <v>4.3</v>
      </c>
      <c r="R1596">
        <v>0.8</v>
      </c>
      <c r="S1596">
        <v>1</v>
      </c>
      <c r="T1596">
        <v>0.3</v>
      </c>
      <c r="U1596">
        <v>2</v>
      </c>
      <c r="V1596">
        <v>8</v>
      </c>
      <c r="W1596">
        <f>IF(nba_draft[[#This Row],[years_played]]&gt;5,1,0)</f>
        <v>0</v>
      </c>
    </row>
    <row r="1597" spans="1:23" x14ac:dyDescent="0.25">
      <c r="A1597">
        <v>52</v>
      </c>
      <c r="B1597" t="s">
        <v>46</v>
      </c>
      <c r="C1597" t="s">
        <v>735</v>
      </c>
      <c r="D1597" t="s">
        <v>736</v>
      </c>
      <c r="E1597">
        <v>1</v>
      </c>
      <c r="F1597">
        <v>3</v>
      </c>
      <c r="G1597">
        <v>21</v>
      </c>
      <c r="H1597">
        <v>3</v>
      </c>
      <c r="I1597">
        <v>6</v>
      </c>
      <c r="J1597">
        <v>0</v>
      </c>
      <c r="K1597">
        <v>0.16700000000000001</v>
      </c>
      <c r="L1597">
        <v>0</v>
      </c>
      <c r="M1597">
        <v>0.25</v>
      </c>
      <c r="N1597">
        <v>-0.2</v>
      </c>
      <c r="O1597">
        <v>-0.34899999999999998</v>
      </c>
      <c r="P1597">
        <v>2000</v>
      </c>
      <c r="Q1597">
        <v>7</v>
      </c>
      <c r="R1597">
        <v>1</v>
      </c>
      <c r="S1597">
        <v>2</v>
      </c>
      <c r="T1597">
        <v>0</v>
      </c>
      <c r="U1597">
        <v>2</v>
      </c>
      <c r="V1597">
        <v>23</v>
      </c>
      <c r="W1597">
        <f>IF(nba_draft[[#This Row],[years_played]]&gt;5,1,0)</f>
        <v>0</v>
      </c>
    </row>
    <row r="1598" spans="1:23" x14ac:dyDescent="0.25">
      <c r="A1598">
        <v>43</v>
      </c>
      <c r="B1598" t="s">
        <v>40</v>
      </c>
      <c r="C1598" t="s">
        <v>1153</v>
      </c>
      <c r="D1598" t="s">
        <v>146</v>
      </c>
      <c r="E1598">
        <v>1</v>
      </c>
      <c r="F1598">
        <v>7</v>
      </c>
      <c r="G1598">
        <v>19</v>
      </c>
      <c r="H1598">
        <v>3</v>
      </c>
      <c r="I1598">
        <v>2</v>
      </c>
      <c r="J1598">
        <v>2</v>
      </c>
      <c r="K1598">
        <v>0</v>
      </c>
      <c r="L1598">
        <v>0</v>
      </c>
      <c r="M1598">
        <v>0.75</v>
      </c>
      <c r="N1598">
        <v>-0.1</v>
      </c>
      <c r="O1598">
        <v>-0.158</v>
      </c>
      <c r="P1598">
        <v>2008</v>
      </c>
      <c r="Q1598">
        <v>2.7</v>
      </c>
      <c r="R1598">
        <v>0.4</v>
      </c>
      <c r="S1598">
        <v>0.3</v>
      </c>
      <c r="T1598">
        <v>0.3</v>
      </c>
      <c r="U1598">
        <v>2</v>
      </c>
      <c r="V1598">
        <v>13</v>
      </c>
      <c r="W1598">
        <f>IF(nba_draft[[#This Row],[years_played]]&gt;5,1,0)</f>
        <v>0</v>
      </c>
    </row>
    <row r="1599" spans="1:23" x14ac:dyDescent="0.25">
      <c r="A1599">
        <v>52</v>
      </c>
      <c r="B1599" t="s">
        <v>104</v>
      </c>
      <c r="C1599" t="s">
        <v>1702</v>
      </c>
      <c r="D1599" t="s">
        <v>119</v>
      </c>
      <c r="E1599">
        <v>1</v>
      </c>
      <c r="F1599">
        <v>2</v>
      </c>
      <c r="G1599">
        <v>16</v>
      </c>
      <c r="H1599">
        <v>3</v>
      </c>
      <c r="I1599">
        <v>2</v>
      </c>
      <c r="J1599">
        <v>0</v>
      </c>
      <c r="K1599">
        <v>0.25</v>
      </c>
      <c r="L1599">
        <v>0.25</v>
      </c>
      <c r="M1599">
        <v>0</v>
      </c>
      <c r="N1599">
        <v>0</v>
      </c>
      <c r="O1599">
        <v>-1.4E-2</v>
      </c>
      <c r="P1599">
        <v>2018</v>
      </c>
      <c r="Q1599">
        <v>8</v>
      </c>
      <c r="R1599">
        <v>1.5</v>
      </c>
      <c r="S1599">
        <v>1</v>
      </c>
      <c r="T1599">
        <v>0</v>
      </c>
      <c r="U1599">
        <v>2</v>
      </c>
      <c r="V1599">
        <v>22</v>
      </c>
      <c r="W1599">
        <f>IF(nba_draft[[#This Row],[years_played]]&gt;5,1,0)</f>
        <v>0</v>
      </c>
    </row>
    <row r="1600" spans="1:23" x14ac:dyDescent="0.25">
      <c r="A1600">
        <v>50</v>
      </c>
      <c r="B1600" t="s">
        <v>75</v>
      </c>
      <c r="C1600" t="s">
        <v>384</v>
      </c>
      <c r="D1600" t="s">
        <v>57</v>
      </c>
      <c r="E1600">
        <v>1</v>
      </c>
      <c r="F1600">
        <v>3</v>
      </c>
      <c r="G1600">
        <v>7</v>
      </c>
      <c r="H1600">
        <v>2</v>
      </c>
      <c r="I1600">
        <v>2</v>
      </c>
      <c r="J1600">
        <v>0</v>
      </c>
      <c r="K1600">
        <v>0.5</v>
      </c>
      <c r="L1600">
        <v>0</v>
      </c>
      <c r="M1600">
        <v>0</v>
      </c>
      <c r="N1600">
        <v>0</v>
      </c>
      <c r="O1600">
        <v>-0.17899999999999999</v>
      </c>
      <c r="P1600">
        <v>1994</v>
      </c>
      <c r="Q1600">
        <v>2.2999999999999998</v>
      </c>
      <c r="R1600">
        <v>0.7</v>
      </c>
      <c r="S1600">
        <v>0.7</v>
      </c>
      <c r="T1600">
        <v>0</v>
      </c>
      <c r="U1600">
        <v>2</v>
      </c>
      <c r="V1600">
        <v>23</v>
      </c>
      <c r="W1600">
        <f>IF(nba_draft[[#This Row],[years_played]]&gt;5,1,0)</f>
        <v>0</v>
      </c>
    </row>
    <row r="1601" spans="1:23" x14ac:dyDescent="0.25">
      <c r="A1601">
        <v>37</v>
      </c>
      <c r="B1601" t="s">
        <v>102</v>
      </c>
      <c r="C1601" t="s">
        <v>604</v>
      </c>
      <c r="D1601" t="s">
        <v>605</v>
      </c>
      <c r="E1601">
        <v>1</v>
      </c>
      <c r="F1601">
        <v>9</v>
      </c>
      <c r="G1601">
        <v>14</v>
      </c>
      <c r="H1601">
        <v>2</v>
      </c>
      <c r="I1601">
        <v>3</v>
      </c>
      <c r="J1601">
        <v>0</v>
      </c>
      <c r="K1601">
        <v>0.125</v>
      </c>
      <c r="L1601">
        <v>0</v>
      </c>
      <c r="M1601">
        <v>0</v>
      </c>
      <c r="N1601">
        <v>-0.1</v>
      </c>
      <c r="O1601">
        <v>-0.498</v>
      </c>
      <c r="P1601">
        <v>1998</v>
      </c>
      <c r="Q1601">
        <v>1.6</v>
      </c>
      <c r="R1601">
        <v>0.2</v>
      </c>
      <c r="S1601">
        <v>0.3</v>
      </c>
      <c r="T1601">
        <v>0</v>
      </c>
      <c r="U1601">
        <v>2</v>
      </c>
      <c r="V1601">
        <v>8</v>
      </c>
      <c r="W1601">
        <f>IF(nba_draft[[#This Row],[years_played]]&gt;5,1,0)</f>
        <v>0</v>
      </c>
    </row>
    <row r="1602" spans="1:23" x14ac:dyDescent="0.25">
      <c r="A1602">
        <v>42</v>
      </c>
      <c r="B1602" t="s">
        <v>31</v>
      </c>
      <c r="C1602" t="s">
        <v>613</v>
      </c>
      <c r="D1602" t="s">
        <v>117</v>
      </c>
      <c r="E1602">
        <v>1</v>
      </c>
      <c r="F1602">
        <v>5</v>
      </c>
      <c r="G1602">
        <v>19</v>
      </c>
      <c r="H1602">
        <v>2</v>
      </c>
      <c r="I1602">
        <v>2</v>
      </c>
      <c r="J1602">
        <v>0</v>
      </c>
      <c r="K1602">
        <v>0.2</v>
      </c>
      <c r="L1602">
        <v>0</v>
      </c>
      <c r="M1602">
        <v>0</v>
      </c>
      <c r="N1602">
        <v>-0.1</v>
      </c>
      <c r="O1602">
        <v>-0.28899999999999998</v>
      </c>
      <c r="P1602">
        <v>1998</v>
      </c>
      <c r="Q1602">
        <v>3.8</v>
      </c>
      <c r="R1602">
        <v>0.4</v>
      </c>
      <c r="S1602">
        <v>0.4</v>
      </c>
      <c r="T1602">
        <v>0</v>
      </c>
      <c r="U1602">
        <v>2</v>
      </c>
      <c r="V1602">
        <v>13</v>
      </c>
      <c r="W1602">
        <f>IF(nba_draft[[#This Row],[years_played]]&gt;5,1,0)</f>
        <v>0</v>
      </c>
    </row>
    <row r="1603" spans="1:23" x14ac:dyDescent="0.25">
      <c r="A1603">
        <v>57</v>
      </c>
      <c r="B1603" t="s">
        <v>82</v>
      </c>
      <c r="C1603" t="s">
        <v>841</v>
      </c>
      <c r="D1603" t="s">
        <v>842</v>
      </c>
      <c r="E1603">
        <v>1</v>
      </c>
      <c r="F1603">
        <v>4</v>
      </c>
      <c r="G1603">
        <v>11</v>
      </c>
      <c r="H1603">
        <v>2</v>
      </c>
      <c r="I1603">
        <v>1</v>
      </c>
      <c r="J1603">
        <v>0</v>
      </c>
      <c r="K1603">
        <v>1</v>
      </c>
      <c r="L1603">
        <v>0</v>
      </c>
      <c r="M1603">
        <v>0</v>
      </c>
      <c r="N1603">
        <v>0</v>
      </c>
      <c r="O1603">
        <v>0.15</v>
      </c>
      <c r="P1603">
        <v>2002</v>
      </c>
      <c r="Q1603">
        <v>2.8</v>
      </c>
      <c r="R1603">
        <v>0.5</v>
      </c>
      <c r="S1603">
        <v>0.3</v>
      </c>
      <c r="T1603">
        <v>0</v>
      </c>
      <c r="U1603">
        <v>2</v>
      </c>
      <c r="V1603">
        <v>28</v>
      </c>
      <c r="W1603">
        <f>IF(nba_draft[[#This Row],[years_played]]&gt;5,1,0)</f>
        <v>0</v>
      </c>
    </row>
    <row r="1604" spans="1:23" x14ac:dyDescent="0.25">
      <c r="A1604">
        <v>33</v>
      </c>
      <c r="B1604" t="s">
        <v>46</v>
      </c>
      <c r="C1604" t="s">
        <v>879</v>
      </c>
      <c r="D1604" t="s">
        <v>880</v>
      </c>
      <c r="E1604">
        <v>1</v>
      </c>
      <c r="F1604">
        <v>2</v>
      </c>
      <c r="G1604">
        <v>5</v>
      </c>
      <c r="H1604">
        <v>2</v>
      </c>
      <c r="I1604">
        <v>1</v>
      </c>
      <c r="J1604">
        <v>0</v>
      </c>
      <c r="K1604">
        <v>0.33300000000000002</v>
      </c>
      <c r="L1604">
        <v>0</v>
      </c>
      <c r="M1604">
        <v>0</v>
      </c>
      <c r="N1604">
        <v>0</v>
      </c>
      <c r="O1604">
        <v>-0.11700000000000001</v>
      </c>
      <c r="P1604">
        <v>2003</v>
      </c>
      <c r="Q1604">
        <v>2.5</v>
      </c>
      <c r="R1604">
        <v>1</v>
      </c>
      <c r="S1604">
        <v>0.5</v>
      </c>
      <c r="T1604">
        <v>0</v>
      </c>
      <c r="U1604">
        <v>2</v>
      </c>
      <c r="V1604">
        <v>4</v>
      </c>
      <c r="W1604">
        <f>IF(nba_draft[[#This Row],[years_played]]&gt;5,1,0)</f>
        <v>0</v>
      </c>
    </row>
    <row r="1605" spans="1:23" x14ac:dyDescent="0.25">
      <c r="A1605">
        <v>28</v>
      </c>
      <c r="B1605" t="s">
        <v>102</v>
      </c>
      <c r="C1605" t="s">
        <v>1859</v>
      </c>
      <c r="D1605" t="s">
        <v>293</v>
      </c>
      <c r="E1605">
        <v>1</v>
      </c>
      <c r="F1605">
        <v>2</v>
      </c>
      <c r="G1605">
        <v>6</v>
      </c>
      <c r="H1605">
        <v>2</v>
      </c>
      <c r="I1605">
        <v>2</v>
      </c>
      <c r="J1605">
        <v>0</v>
      </c>
      <c r="K1605">
        <v>1</v>
      </c>
      <c r="L1605">
        <v>0</v>
      </c>
      <c r="M1605">
        <v>0</v>
      </c>
      <c r="N1605">
        <v>0</v>
      </c>
      <c r="O1605">
        <v>0.14099999999999999</v>
      </c>
      <c r="P1605">
        <v>2021</v>
      </c>
      <c r="Q1605">
        <v>3</v>
      </c>
      <c r="R1605">
        <v>1</v>
      </c>
      <c r="S1605">
        <v>1</v>
      </c>
      <c r="T1605">
        <v>0</v>
      </c>
      <c r="U1605">
        <v>1</v>
      </c>
      <c r="V1605">
        <v>28</v>
      </c>
      <c r="W1605">
        <f>IF(nba_draft[[#This Row],[years_played]]&gt;5,1,0)</f>
        <v>0</v>
      </c>
    </row>
    <row r="1606" spans="1:23" x14ac:dyDescent="0.25">
      <c r="A1606">
        <v>59</v>
      </c>
      <c r="B1606" t="s">
        <v>75</v>
      </c>
      <c r="C1606" t="s">
        <v>1710</v>
      </c>
      <c r="D1606" t="s">
        <v>435</v>
      </c>
      <c r="E1606">
        <v>2</v>
      </c>
      <c r="F1606">
        <v>5</v>
      </c>
      <c r="G1606">
        <v>25</v>
      </c>
      <c r="H1606">
        <v>1</v>
      </c>
      <c r="I1606">
        <v>6</v>
      </c>
      <c r="J1606">
        <v>0</v>
      </c>
      <c r="K1606">
        <v>0</v>
      </c>
      <c r="L1606">
        <v>0</v>
      </c>
      <c r="M1606">
        <v>0.5</v>
      </c>
      <c r="N1606">
        <v>-0.1</v>
      </c>
      <c r="O1606">
        <v>-0.222</v>
      </c>
      <c r="P1606">
        <v>2018</v>
      </c>
      <c r="Q1606">
        <v>5</v>
      </c>
      <c r="R1606">
        <v>0.2</v>
      </c>
      <c r="S1606">
        <v>1.2</v>
      </c>
      <c r="T1606">
        <v>0</v>
      </c>
      <c r="U1606">
        <v>2</v>
      </c>
      <c r="V1606">
        <v>29</v>
      </c>
      <c r="W1606">
        <f>IF(nba_draft[[#This Row],[years_played]]&gt;5,1,0)</f>
        <v>0</v>
      </c>
    </row>
    <row r="1607" spans="1:23" x14ac:dyDescent="0.25">
      <c r="A1607">
        <v>56</v>
      </c>
      <c r="B1607" t="s">
        <v>34</v>
      </c>
      <c r="C1607" t="s">
        <v>1883</v>
      </c>
      <c r="D1607" t="s">
        <v>84</v>
      </c>
      <c r="E1607">
        <v>1</v>
      </c>
      <c r="F1607">
        <v>2</v>
      </c>
      <c r="G1607">
        <v>7</v>
      </c>
      <c r="H1607">
        <v>1</v>
      </c>
      <c r="I1607">
        <v>0</v>
      </c>
      <c r="J1607">
        <v>1</v>
      </c>
      <c r="K1607">
        <v>0</v>
      </c>
      <c r="L1607">
        <v>0</v>
      </c>
      <c r="M1607">
        <v>0.5</v>
      </c>
      <c r="N1607">
        <v>0</v>
      </c>
      <c r="O1607">
        <v>0.16400000000000001</v>
      </c>
      <c r="P1607">
        <v>2021</v>
      </c>
      <c r="Q1607">
        <v>3.5</v>
      </c>
      <c r="R1607">
        <v>0.5</v>
      </c>
      <c r="S1607">
        <v>0</v>
      </c>
      <c r="T1607">
        <v>0.5</v>
      </c>
      <c r="U1607">
        <v>2</v>
      </c>
      <c r="V1607">
        <v>26</v>
      </c>
      <c r="W1607">
        <f>IF(nba_draft[[#This Row],[years_played]]&gt;5,1,0)</f>
        <v>0</v>
      </c>
    </row>
    <row r="1608" spans="1:23" x14ac:dyDescent="0.25">
      <c r="A1608">
        <v>55</v>
      </c>
      <c r="B1608" t="s">
        <v>52</v>
      </c>
      <c r="C1608" t="s">
        <v>445</v>
      </c>
      <c r="D1608" t="s">
        <v>307</v>
      </c>
      <c r="E1608">
        <v>1</v>
      </c>
      <c r="F1608">
        <v>1</v>
      </c>
      <c r="G1608">
        <v>4</v>
      </c>
      <c r="H1608">
        <v>0</v>
      </c>
      <c r="I1608">
        <v>1</v>
      </c>
      <c r="J1608">
        <v>0</v>
      </c>
      <c r="K1608">
        <v>0</v>
      </c>
      <c r="L1608">
        <v>0</v>
      </c>
      <c r="M1608">
        <v>0</v>
      </c>
      <c r="N1608">
        <v>-0.1</v>
      </c>
      <c r="O1608">
        <v>-0.63800000000000001</v>
      </c>
      <c r="P1608">
        <v>1995</v>
      </c>
      <c r="Q1608">
        <v>4</v>
      </c>
      <c r="R1608">
        <v>0</v>
      </c>
      <c r="S1608">
        <v>1</v>
      </c>
      <c r="T1608">
        <v>0</v>
      </c>
      <c r="U1608">
        <v>2</v>
      </c>
      <c r="V1608">
        <v>26</v>
      </c>
      <c r="W1608">
        <f>IF(nba_draft[[#This Row],[years_played]]&gt;5,1,0)</f>
        <v>0</v>
      </c>
    </row>
    <row r="1609" spans="1:23" x14ac:dyDescent="0.25">
      <c r="A1609">
        <v>39</v>
      </c>
      <c r="B1609" t="s">
        <v>65</v>
      </c>
      <c r="C1609" t="s">
        <v>883</v>
      </c>
      <c r="D1609" t="s">
        <v>97</v>
      </c>
      <c r="E1609">
        <v>1</v>
      </c>
      <c r="F1609">
        <v>1</v>
      </c>
      <c r="G1609">
        <v>3</v>
      </c>
      <c r="H1609">
        <v>0</v>
      </c>
      <c r="I1609">
        <v>0</v>
      </c>
      <c r="J1609">
        <v>0</v>
      </c>
      <c r="K1609">
        <v>0</v>
      </c>
      <c r="L1609">
        <v>0</v>
      </c>
      <c r="M1609">
        <v>0</v>
      </c>
      <c r="N1609">
        <v>0</v>
      </c>
      <c r="O1609">
        <v>-0.371</v>
      </c>
      <c r="P1609">
        <v>2003</v>
      </c>
      <c r="Q1609">
        <v>3</v>
      </c>
      <c r="R1609">
        <v>0</v>
      </c>
      <c r="S1609">
        <v>0</v>
      </c>
      <c r="T1609">
        <v>0</v>
      </c>
      <c r="U1609">
        <v>2</v>
      </c>
      <c r="V1609">
        <v>10</v>
      </c>
      <c r="W1609">
        <f>IF(nba_draft[[#This Row],[years_played]]&gt;5,1,0)</f>
        <v>0</v>
      </c>
    </row>
    <row r="1610" spans="1:23" x14ac:dyDescent="0.25">
      <c r="A1610">
        <v>43</v>
      </c>
      <c r="B1610" t="s">
        <v>22</v>
      </c>
      <c r="C1610" t="s">
        <v>987</v>
      </c>
      <c r="D1610" t="s">
        <v>97</v>
      </c>
      <c r="E1610">
        <v>1</v>
      </c>
      <c r="F1610">
        <v>5</v>
      </c>
      <c r="G1610">
        <v>6</v>
      </c>
      <c r="H1610">
        <v>0</v>
      </c>
      <c r="I1610">
        <v>1</v>
      </c>
      <c r="J1610">
        <v>0</v>
      </c>
      <c r="K1610">
        <v>0</v>
      </c>
      <c r="L1610">
        <v>0</v>
      </c>
      <c r="M1610">
        <v>0</v>
      </c>
      <c r="N1610">
        <v>-0.2</v>
      </c>
      <c r="O1610">
        <v>-1.264</v>
      </c>
      <c r="P1610">
        <v>2005</v>
      </c>
      <c r="Q1610">
        <v>1.2</v>
      </c>
      <c r="R1610">
        <v>0</v>
      </c>
      <c r="S1610">
        <v>0.2</v>
      </c>
      <c r="T1610">
        <v>0</v>
      </c>
      <c r="U1610">
        <v>2</v>
      </c>
      <c r="V1610">
        <v>13</v>
      </c>
      <c r="W1610">
        <f>IF(nba_draft[[#This Row],[years_played]]&gt;5,1,0)</f>
        <v>0</v>
      </c>
    </row>
    <row r="1611" spans="1:23" x14ac:dyDescent="0.25">
      <c r="A1611">
        <v>44</v>
      </c>
      <c r="B1611" t="s">
        <v>31</v>
      </c>
      <c r="C1611" t="s">
        <v>988</v>
      </c>
      <c r="D1611" t="s">
        <v>97</v>
      </c>
      <c r="E1611">
        <v>1</v>
      </c>
      <c r="F1611">
        <v>6</v>
      </c>
      <c r="G1611">
        <v>9</v>
      </c>
      <c r="H1611">
        <v>0</v>
      </c>
      <c r="I1611">
        <v>4</v>
      </c>
      <c r="J1611">
        <v>0</v>
      </c>
      <c r="K1611">
        <v>0</v>
      </c>
      <c r="L1611">
        <v>0</v>
      </c>
      <c r="M1611">
        <v>0</v>
      </c>
      <c r="N1611">
        <v>0</v>
      </c>
      <c r="O1611">
        <v>0.155</v>
      </c>
      <c r="P1611">
        <v>2005</v>
      </c>
      <c r="Q1611">
        <v>1.5</v>
      </c>
      <c r="R1611">
        <v>0</v>
      </c>
      <c r="S1611">
        <v>0.7</v>
      </c>
      <c r="T1611">
        <v>0</v>
      </c>
      <c r="U1611">
        <v>2</v>
      </c>
      <c r="V1611">
        <v>14</v>
      </c>
      <c r="W1611">
        <f>IF(nba_draft[[#This Row],[years_played]]&gt;5,1,0)</f>
        <v>0</v>
      </c>
    </row>
    <row r="1612" spans="1:23" x14ac:dyDescent="0.25">
      <c r="A1612">
        <v>51</v>
      </c>
      <c r="B1612" t="s">
        <v>95</v>
      </c>
      <c r="C1612" t="s">
        <v>1102</v>
      </c>
      <c r="D1612" t="s">
        <v>206</v>
      </c>
      <c r="E1612">
        <v>1</v>
      </c>
      <c r="F1612">
        <v>1</v>
      </c>
      <c r="G1612">
        <v>0</v>
      </c>
      <c r="H1612">
        <v>0</v>
      </c>
      <c r="I1612">
        <v>0</v>
      </c>
      <c r="J1612">
        <v>0</v>
      </c>
      <c r="K1612">
        <v>0</v>
      </c>
      <c r="L1612">
        <v>0</v>
      </c>
      <c r="M1612">
        <v>0</v>
      </c>
      <c r="N1612">
        <v>0</v>
      </c>
      <c r="O1612">
        <v>0</v>
      </c>
      <c r="P1612">
        <v>2007</v>
      </c>
      <c r="Q1612">
        <v>0</v>
      </c>
      <c r="R1612">
        <v>0</v>
      </c>
      <c r="S1612">
        <v>0</v>
      </c>
      <c r="T1612">
        <v>0</v>
      </c>
      <c r="U1612">
        <v>2</v>
      </c>
      <c r="V1612">
        <v>21</v>
      </c>
      <c r="W1612">
        <f>IF(nba_draft[[#This Row],[years_played]]&gt;5,1,0)</f>
        <v>0</v>
      </c>
    </row>
    <row r="1613" spans="1:23" x14ac:dyDescent="0.25">
      <c r="A1613">
        <v>46</v>
      </c>
      <c r="B1613" t="s">
        <v>75</v>
      </c>
      <c r="C1613" t="s">
        <v>1260</v>
      </c>
      <c r="D1613" t="s">
        <v>33</v>
      </c>
      <c r="E1613">
        <v>1</v>
      </c>
      <c r="F1613">
        <v>1</v>
      </c>
      <c r="G1613">
        <v>2</v>
      </c>
      <c r="H1613">
        <v>0</v>
      </c>
      <c r="I1613">
        <v>0</v>
      </c>
      <c r="J1613">
        <v>0</v>
      </c>
      <c r="K1613">
        <v>0</v>
      </c>
      <c r="L1613">
        <v>0</v>
      </c>
      <c r="M1613">
        <v>0</v>
      </c>
      <c r="N1613">
        <v>0</v>
      </c>
      <c r="O1613">
        <v>-8.9999999999999993E-3</v>
      </c>
      <c r="P1613">
        <v>2010</v>
      </c>
      <c r="Q1613">
        <v>2</v>
      </c>
      <c r="R1613">
        <v>0</v>
      </c>
      <c r="S1613">
        <v>0</v>
      </c>
      <c r="T1613">
        <v>0</v>
      </c>
      <c r="U1613">
        <v>2</v>
      </c>
      <c r="V1613">
        <v>16</v>
      </c>
      <c r="W1613">
        <f>IF(nba_draft[[#This Row],[years_played]]&gt;5,1,0)</f>
        <v>0</v>
      </c>
    </row>
    <row r="1614" spans="1:23" x14ac:dyDescent="0.25">
      <c r="A1614">
        <v>48</v>
      </c>
      <c r="B1614" t="s">
        <v>49</v>
      </c>
      <c r="C1614" t="s">
        <v>1319</v>
      </c>
      <c r="D1614" t="s">
        <v>1320</v>
      </c>
      <c r="E1614">
        <v>1</v>
      </c>
      <c r="F1614">
        <v>3</v>
      </c>
      <c r="G1614">
        <v>9</v>
      </c>
      <c r="H1614">
        <v>0</v>
      </c>
      <c r="I1614">
        <v>3</v>
      </c>
      <c r="J1614">
        <v>0</v>
      </c>
      <c r="K1614">
        <v>0</v>
      </c>
      <c r="L1614">
        <v>0</v>
      </c>
      <c r="M1614">
        <v>0</v>
      </c>
      <c r="N1614">
        <v>0</v>
      </c>
      <c r="O1614">
        <v>-5.0000000000000001E-3</v>
      </c>
      <c r="P1614">
        <v>2011</v>
      </c>
      <c r="Q1614">
        <v>3</v>
      </c>
      <c r="R1614">
        <v>0</v>
      </c>
      <c r="S1614">
        <v>1</v>
      </c>
      <c r="T1614">
        <v>0</v>
      </c>
      <c r="U1614">
        <v>2</v>
      </c>
      <c r="V1614">
        <v>18</v>
      </c>
      <c r="W1614">
        <f>IF(nba_draft[[#This Row],[years_played]]&gt;5,1,0)</f>
        <v>0</v>
      </c>
    </row>
    <row r="1615" spans="1:23" x14ac:dyDescent="0.25">
      <c r="A1615">
        <v>16</v>
      </c>
      <c r="B1615" t="s">
        <v>55</v>
      </c>
      <c r="C1615" t="s">
        <v>1343</v>
      </c>
      <c r="D1615" t="s">
        <v>168</v>
      </c>
      <c r="E1615">
        <v>1</v>
      </c>
      <c r="F1615">
        <v>3</v>
      </c>
      <c r="G1615">
        <v>9</v>
      </c>
      <c r="H1615">
        <v>0</v>
      </c>
      <c r="I1615">
        <v>0</v>
      </c>
      <c r="J1615">
        <v>0</v>
      </c>
      <c r="K1615">
        <v>0</v>
      </c>
      <c r="L1615">
        <v>0</v>
      </c>
      <c r="M1615">
        <v>0</v>
      </c>
      <c r="N1615">
        <v>0</v>
      </c>
      <c r="O1615">
        <v>-0.121</v>
      </c>
      <c r="P1615">
        <v>2012</v>
      </c>
      <c r="Q1615">
        <v>3</v>
      </c>
      <c r="R1615">
        <v>0</v>
      </c>
      <c r="S1615">
        <v>0</v>
      </c>
      <c r="T1615">
        <v>0</v>
      </c>
      <c r="U1615">
        <v>1</v>
      </c>
      <c r="V1615">
        <v>16</v>
      </c>
      <c r="W1615">
        <f>IF(nba_draft[[#This Row],[years_played]]&gt;5,1,0)</f>
        <v>0</v>
      </c>
    </row>
    <row r="1616" spans="1:23" x14ac:dyDescent="0.25">
      <c r="A1616">
        <v>55</v>
      </c>
      <c r="B1616" t="s">
        <v>149</v>
      </c>
      <c r="C1616" t="s">
        <v>1384</v>
      </c>
      <c r="D1616" t="s">
        <v>137</v>
      </c>
      <c r="E1616">
        <v>2</v>
      </c>
      <c r="F1616">
        <v>7</v>
      </c>
      <c r="G1616">
        <v>21</v>
      </c>
      <c r="H1616">
        <v>0</v>
      </c>
      <c r="I1616">
        <v>6</v>
      </c>
      <c r="J1616">
        <v>2</v>
      </c>
      <c r="K1616">
        <v>0</v>
      </c>
      <c r="L1616">
        <v>0</v>
      </c>
      <c r="M1616">
        <v>0</v>
      </c>
      <c r="N1616">
        <v>-0.3</v>
      </c>
      <c r="O1616">
        <v>-0.59699999999999998</v>
      </c>
      <c r="P1616">
        <v>2012</v>
      </c>
      <c r="Q1616">
        <v>3</v>
      </c>
      <c r="R1616">
        <v>0</v>
      </c>
      <c r="S1616">
        <v>0.9</v>
      </c>
      <c r="T1616">
        <v>0.3</v>
      </c>
      <c r="U1616">
        <v>2</v>
      </c>
      <c r="V1616">
        <v>25</v>
      </c>
      <c r="W1616">
        <f>IF(nba_draft[[#This Row],[years_played]]&gt;5,1,0)</f>
        <v>0</v>
      </c>
    </row>
    <row r="1617" spans="1:23" x14ac:dyDescent="0.25">
      <c r="A1617">
        <v>51</v>
      </c>
      <c r="B1617" t="s">
        <v>70</v>
      </c>
      <c r="C1617" t="s">
        <v>1588</v>
      </c>
      <c r="D1617" t="s">
        <v>175</v>
      </c>
      <c r="E1617">
        <v>1</v>
      </c>
      <c r="F1617">
        <v>3</v>
      </c>
      <c r="G1617">
        <v>10</v>
      </c>
      <c r="H1617">
        <v>0</v>
      </c>
      <c r="I1617">
        <v>2</v>
      </c>
      <c r="J1617">
        <v>0</v>
      </c>
      <c r="K1617">
        <v>0</v>
      </c>
      <c r="L1617">
        <v>0</v>
      </c>
      <c r="M1617">
        <v>0</v>
      </c>
      <c r="N1617">
        <v>-0.1</v>
      </c>
      <c r="O1617">
        <v>-0.47299999999999998</v>
      </c>
      <c r="P1617">
        <v>2016</v>
      </c>
      <c r="Q1617">
        <v>3.3</v>
      </c>
      <c r="R1617">
        <v>0</v>
      </c>
      <c r="S1617">
        <v>0.7</v>
      </c>
      <c r="T1617">
        <v>0</v>
      </c>
      <c r="U1617">
        <v>2</v>
      </c>
      <c r="V1617">
        <v>21</v>
      </c>
      <c r="W1617">
        <f>IF(nba_draft[[#This Row],[years_played]]&gt;5,1,0)</f>
        <v>0</v>
      </c>
    </row>
    <row r="1618" spans="1:23" x14ac:dyDescent="0.25">
      <c r="A1618">
        <v>55</v>
      </c>
      <c r="B1618" t="s">
        <v>34</v>
      </c>
      <c r="C1618" t="s">
        <v>1705</v>
      </c>
      <c r="D1618" t="s">
        <v>97</v>
      </c>
      <c r="E1618">
        <v>1</v>
      </c>
      <c r="F1618">
        <v>1</v>
      </c>
      <c r="G1618">
        <v>3</v>
      </c>
      <c r="H1618">
        <v>0</v>
      </c>
      <c r="I1618">
        <v>0</v>
      </c>
      <c r="J1618">
        <v>0</v>
      </c>
      <c r="K1618">
        <v>0</v>
      </c>
      <c r="L1618">
        <v>0</v>
      </c>
      <c r="M1618">
        <v>0</v>
      </c>
      <c r="N1618">
        <v>0</v>
      </c>
      <c r="O1618">
        <v>-1.6E-2</v>
      </c>
      <c r="P1618">
        <v>2018</v>
      </c>
      <c r="Q1618">
        <v>3</v>
      </c>
      <c r="R1618">
        <v>0</v>
      </c>
      <c r="S1618">
        <v>0</v>
      </c>
      <c r="T1618">
        <v>0</v>
      </c>
      <c r="U1618">
        <v>2</v>
      </c>
      <c r="V1618">
        <v>25</v>
      </c>
      <c r="W1618">
        <f>IF(nba_draft[[#This Row],[years_played]]&gt;5,1,0)</f>
        <v>0</v>
      </c>
    </row>
    <row r="1619" spans="1:23" x14ac:dyDescent="0.25">
      <c r="A1619">
        <v>42</v>
      </c>
      <c r="B1619" t="s">
        <v>88</v>
      </c>
      <c r="C1619" t="s">
        <v>1872</v>
      </c>
      <c r="D1619" t="s">
        <v>51</v>
      </c>
      <c r="E1619">
        <v>1</v>
      </c>
      <c r="F1619">
        <v>1</v>
      </c>
      <c r="G1619">
        <v>5</v>
      </c>
      <c r="H1619">
        <v>0</v>
      </c>
      <c r="I1619">
        <v>0</v>
      </c>
      <c r="J1619">
        <v>0</v>
      </c>
      <c r="K1619">
        <v>0</v>
      </c>
      <c r="L1619">
        <v>0</v>
      </c>
      <c r="M1619">
        <v>0</v>
      </c>
      <c r="N1619">
        <v>-0.1</v>
      </c>
      <c r="O1619">
        <v>-0.52</v>
      </c>
      <c r="P1619">
        <v>2021</v>
      </c>
      <c r="Q1619">
        <v>5</v>
      </c>
      <c r="R1619">
        <v>0</v>
      </c>
      <c r="S1619">
        <v>0</v>
      </c>
      <c r="T1619">
        <v>0</v>
      </c>
      <c r="U1619">
        <v>2</v>
      </c>
      <c r="V1619">
        <v>12</v>
      </c>
      <c r="W1619">
        <f>IF(nba_draft[[#This Row],[years_played]]&gt;5,1,0)</f>
        <v>0</v>
      </c>
    </row>
    <row r="1620" spans="1:23" x14ac:dyDescent="0.25">
      <c r="A1620">
        <v>47</v>
      </c>
      <c r="B1620" t="s">
        <v>395</v>
      </c>
      <c r="C1620" t="s">
        <v>1876</v>
      </c>
      <c r="D1620" t="s">
        <v>39</v>
      </c>
      <c r="E1620">
        <v>1</v>
      </c>
      <c r="F1620">
        <v>2</v>
      </c>
      <c r="G1620">
        <v>2</v>
      </c>
      <c r="H1620">
        <v>0</v>
      </c>
      <c r="I1620">
        <v>0</v>
      </c>
      <c r="J1620">
        <v>0</v>
      </c>
      <c r="K1620">
        <v>0</v>
      </c>
      <c r="L1620">
        <v>0</v>
      </c>
      <c r="M1620">
        <v>0</v>
      </c>
      <c r="N1620">
        <v>0</v>
      </c>
      <c r="O1620">
        <v>-0.50600000000000001</v>
      </c>
      <c r="P1620">
        <v>2021</v>
      </c>
      <c r="Q1620">
        <v>1</v>
      </c>
      <c r="R1620">
        <v>0</v>
      </c>
      <c r="S1620">
        <v>0</v>
      </c>
      <c r="T1620">
        <v>0</v>
      </c>
      <c r="U1620">
        <v>2</v>
      </c>
      <c r="V1620">
        <v>17</v>
      </c>
      <c r="W1620">
        <f>IF(nba_draft[[#This Row],[years_played]]&gt;5,1,0)</f>
        <v>0</v>
      </c>
    </row>
  </sheetData>
  <conditionalFormatting sqref="H2:H1620">
    <cfRule type="top10" dxfId="11" priority="7" percent="1" rank="10"/>
  </conditionalFormatting>
  <conditionalFormatting sqref="N2:N1620">
    <cfRule type="top10" dxfId="10" priority="6" percent="1" rank="10"/>
  </conditionalFormatting>
  <conditionalFormatting sqref="I1:J1048576">
    <cfRule type="top10" dxfId="9" priority="5" percent="1" rank="10"/>
  </conditionalFormatting>
  <conditionalFormatting sqref="E1:E1048576">
    <cfRule type="top10" dxfId="8" priority="4" percent="1" rank="10"/>
  </conditionalFormatting>
  <conditionalFormatting sqref="F2:F1620">
    <cfRule type="top10" dxfId="7" priority="3" percent="1" rank="10"/>
  </conditionalFormatting>
  <conditionalFormatting sqref="R2:R1620">
    <cfRule type="top10" dxfId="6" priority="2" percent="1" rank="10"/>
  </conditionalFormatting>
  <conditionalFormatting sqref="O2:O1620">
    <cfRule type="top10" dxfId="5" priority="1" percent="1" rank="10"/>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68D11-B08E-4CF2-9AF2-C44AFC09DCC9}">
  <dimension ref="A1:D14"/>
  <sheetViews>
    <sheetView showGridLines="0" zoomScale="50" zoomScaleNormal="50" workbookViewId="0"/>
  </sheetViews>
  <sheetFormatPr defaultRowHeight="15" x14ac:dyDescent="0.25"/>
  <sheetData>
    <row r="1" spans="1:4" x14ac:dyDescent="0.25">
      <c r="A1" s="7"/>
    </row>
    <row r="2" spans="1:4" x14ac:dyDescent="0.25">
      <c r="A2" s="7"/>
    </row>
    <row r="3" spans="1:4" x14ac:dyDescent="0.25">
      <c r="A3" s="7"/>
    </row>
    <row r="14" spans="1:4" x14ac:dyDescent="0.25">
      <c r="D14" s="7"/>
    </row>
  </sheetData>
  <pageMargins left="0.7" right="0.7" top="0.75" bottom="0.75" header="0.3" footer="0.3"/>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D123-F6C3-48DE-B2A8-1647351346D6}">
  <dimension ref="A1:AD62"/>
  <sheetViews>
    <sheetView topLeftCell="Z1" zoomScale="111" zoomScaleNormal="73" workbookViewId="0">
      <selection activeCell="E17" sqref="E17"/>
    </sheetView>
  </sheetViews>
  <sheetFormatPr defaultRowHeight="15" x14ac:dyDescent="0.25"/>
  <cols>
    <col min="1" max="1" width="35.85546875" bestFit="1" customWidth="1"/>
    <col min="2" max="2" width="13.140625" customWidth="1"/>
    <col min="3" max="3" width="8.7109375" customWidth="1"/>
    <col min="4" max="4" width="13.42578125" bestFit="1" customWidth="1"/>
    <col min="5" max="5" width="21.42578125" bestFit="1" customWidth="1"/>
    <col min="7" max="7" width="13.42578125" bestFit="1" customWidth="1"/>
    <col min="8" max="8" width="17.7109375" bestFit="1" customWidth="1"/>
    <col min="10" max="10" width="15.42578125" bestFit="1" customWidth="1"/>
    <col min="11" max="11" width="14.85546875" bestFit="1" customWidth="1"/>
    <col min="13" max="13" width="8.7109375" style="1"/>
    <col min="15" max="15" width="24.28515625" bestFit="1" customWidth="1"/>
    <col min="18" max="18" width="18.85546875" bestFit="1" customWidth="1"/>
    <col min="19" max="19" width="10.28515625" customWidth="1"/>
    <col min="21" max="21" width="20.85546875" bestFit="1" customWidth="1"/>
    <col min="22" max="22" width="10.28515625" customWidth="1"/>
    <col min="24" max="24" width="8.7109375" style="1"/>
    <col min="26" max="26" width="14.42578125" bestFit="1" customWidth="1"/>
    <col min="27" max="27" width="22.42578125" bestFit="1" customWidth="1"/>
    <col min="29" max="29" width="14.7109375" bestFit="1" customWidth="1"/>
    <col min="30" max="30" width="18.85546875" bestFit="1" customWidth="1"/>
    <col min="32" max="32" width="14.7109375" bestFit="1" customWidth="1"/>
    <col min="33" max="33" width="16.5703125" bestFit="1" customWidth="1"/>
    <col min="34" max="34" width="14.7109375" bestFit="1" customWidth="1"/>
    <col min="35" max="35" width="18.85546875" bestFit="1" customWidth="1"/>
    <col min="36" max="36" width="14.42578125" customWidth="1"/>
    <col min="37" max="37" width="18.5703125" customWidth="1"/>
  </cols>
  <sheetData>
    <row r="1" spans="1:30" x14ac:dyDescent="0.25">
      <c r="A1" s="6" t="s">
        <v>1933</v>
      </c>
      <c r="B1" s="6" t="s">
        <v>1886</v>
      </c>
    </row>
    <row r="2" spans="1:30" x14ac:dyDescent="0.25">
      <c r="A2" t="s">
        <v>1934</v>
      </c>
      <c r="B2" t="s">
        <v>1921</v>
      </c>
      <c r="D2" s="3" t="s">
        <v>1912</v>
      </c>
      <c r="E2" t="s">
        <v>1911</v>
      </c>
      <c r="G2" s="3" t="s">
        <v>1917</v>
      </c>
      <c r="H2" t="s">
        <v>1914</v>
      </c>
      <c r="J2" s="3" t="s">
        <v>1919</v>
      </c>
      <c r="K2" t="s">
        <v>1918</v>
      </c>
      <c r="O2" t="s">
        <v>1920</v>
      </c>
      <c r="P2" t="s">
        <v>1921</v>
      </c>
      <c r="R2" t="s">
        <v>1920</v>
      </c>
      <c r="S2" t="s">
        <v>1921</v>
      </c>
      <c r="U2" t="s">
        <v>1920</v>
      </c>
      <c r="V2" t="s">
        <v>1921</v>
      </c>
      <c r="Z2" s="3" t="s">
        <v>1912</v>
      </c>
      <c r="AA2" t="s">
        <v>1930</v>
      </c>
      <c r="AC2" t="s">
        <v>1932</v>
      </c>
      <c r="AD2" t="s">
        <v>1931</v>
      </c>
    </row>
    <row r="3" spans="1:30" x14ac:dyDescent="0.25">
      <c r="A3" t="s">
        <v>1935</v>
      </c>
      <c r="B3">
        <f>GETPIVOTDATA("years_played",$D$2,"round_picked",1)</f>
        <v>7.7462203023758098</v>
      </c>
      <c r="D3" s="4">
        <v>1</v>
      </c>
      <c r="E3" s="2">
        <v>7.7462203023758098</v>
      </c>
      <c r="G3" s="4" t="s">
        <v>63</v>
      </c>
      <c r="H3" s="2">
        <v>36</v>
      </c>
      <c r="J3" s="4" t="s">
        <v>845</v>
      </c>
      <c r="K3" s="2">
        <v>36559</v>
      </c>
      <c r="O3" t="s">
        <v>1922</v>
      </c>
      <c r="P3">
        <f>CORREL(nba_draft[pick_in_round],nba_draft[total_pts])</f>
        <v>-0.25931560504433321</v>
      </c>
      <c r="R3" t="s">
        <v>1924</v>
      </c>
      <c r="S3">
        <f>CORREL(nba_draft[fg_percent],nba_draft[total_assists])</f>
        <v>9.4679810083243762E-2</v>
      </c>
      <c r="U3" t="s">
        <v>1927</v>
      </c>
      <c r="V3">
        <f>CORREL(nba_draft[fg_percent],nba_draft[total_rebounds])</f>
        <v>0.30454307772901706</v>
      </c>
      <c r="Z3" s="4">
        <v>1</v>
      </c>
      <c r="AA3" s="2">
        <v>9.0788336933045262</v>
      </c>
      <c r="AC3">
        <v>1</v>
      </c>
      <c r="AD3">
        <v>2003.3999999999999</v>
      </c>
    </row>
    <row r="4" spans="1:30" x14ac:dyDescent="0.25">
      <c r="A4" t="s">
        <v>1936</v>
      </c>
      <c r="B4">
        <f>GETPIVOTDATA("years_played",$D$2,"round_picked",2)</f>
        <v>4.3924963924963922</v>
      </c>
      <c r="D4" s="4">
        <v>2</v>
      </c>
      <c r="E4" s="2">
        <v>4.3924963924963922</v>
      </c>
      <c r="G4" s="4" t="s">
        <v>40</v>
      </c>
      <c r="H4" s="2">
        <v>35</v>
      </c>
      <c r="J4" s="4" t="s">
        <v>465</v>
      </c>
      <c r="K4" s="2">
        <v>33643</v>
      </c>
      <c r="O4" t="s">
        <v>1923</v>
      </c>
      <c r="P4">
        <f>CORREL(nba_draft[pick_in_round],nba_draft[win_shares])</f>
        <v>-0.23034595961269036</v>
      </c>
      <c r="R4" t="s">
        <v>1925</v>
      </c>
      <c r="S4">
        <f>CORREL(nba_draft[three_pt_percent],nba_draft[total_assists])</f>
        <v>0.27501083766988837</v>
      </c>
      <c r="U4" t="s">
        <v>1928</v>
      </c>
      <c r="V4">
        <f>CORREL(nba_draft[three_pt_percent],nba_draft[total_rebounds])</f>
        <v>7.3010011028567898E-2</v>
      </c>
      <c r="Z4" s="4">
        <v>2</v>
      </c>
      <c r="AA4" s="2">
        <v>4.7493506493506512</v>
      </c>
      <c r="AC4">
        <v>2</v>
      </c>
      <c r="AD4">
        <v>1481.9999999999998</v>
      </c>
    </row>
    <row r="5" spans="1:30" x14ac:dyDescent="0.25">
      <c r="D5" s="4" t="s">
        <v>1910</v>
      </c>
      <c r="E5" s="2">
        <v>6.3106856084002469</v>
      </c>
      <c r="G5" s="4" t="s">
        <v>95</v>
      </c>
      <c r="H5" s="2">
        <v>32</v>
      </c>
      <c r="J5" s="4" t="s">
        <v>572</v>
      </c>
      <c r="K5" s="2">
        <v>31560</v>
      </c>
      <c r="R5" t="s">
        <v>1926</v>
      </c>
      <c r="S5">
        <f>CORREL(nba_draft[ft_percent],nba_draft[total_assists])</f>
        <v>0.26961591874579055</v>
      </c>
      <c r="U5" t="s">
        <v>1929</v>
      </c>
      <c r="V5">
        <f>CORREL(nba_draft[ft_percent],nba_draft[total_rebounds])</f>
        <v>0.15288602107241914</v>
      </c>
      <c r="Z5" s="4" t="s">
        <v>1910</v>
      </c>
      <c r="AA5" s="2">
        <v>7.2256331068560682</v>
      </c>
      <c r="AC5">
        <v>3</v>
      </c>
      <c r="AD5">
        <v>1663.9999999999998</v>
      </c>
    </row>
    <row r="6" spans="1:30" x14ac:dyDescent="0.25">
      <c r="G6" s="4" t="s">
        <v>88</v>
      </c>
      <c r="H6" s="2">
        <v>32</v>
      </c>
      <c r="J6" s="4" t="s">
        <v>212</v>
      </c>
      <c r="K6" s="2">
        <v>28596</v>
      </c>
      <c r="AC6">
        <v>4</v>
      </c>
      <c r="AD6">
        <v>1488.9</v>
      </c>
    </row>
    <row r="7" spans="1:30" x14ac:dyDescent="0.25">
      <c r="G7" s="4" t="s">
        <v>25</v>
      </c>
      <c r="H7" s="2">
        <v>30</v>
      </c>
      <c r="J7" s="4" t="s">
        <v>847</v>
      </c>
      <c r="K7" s="2">
        <v>28042</v>
      </c>
      <c r="AC7">
        <v>5</v>
      </c>
      <c r="AD7">
        <v>1462.8</v>
      </c>
    </row>
    <row r="8" spans="1:30" x14ac:dyDescent="0.25">
      <c r="G8" s="4" t="s">
        <v>37</v>
      </c>
      <c r="H8" s="2">
        <v>30</v>
      </c>
      <c r="J8" s="4" t="s">
        <v>506</v>
      </c>
      <c r="K8" s="2">
        <v>26496</v>
      </c>
      <c r="AC8">
        <v>6</v>
      </c>
      <c r="AD8">
        <v>700.40000000000009</v>
      </c>
    </row>
    <row r="9" spans="1:30" x14ac:dyDescent="0.25">
      <c r="G9" s="4" t="s">
        <v>34</v>
      </c>
      <c r="H9" s="2">
        <v>29</v>
      </c>
      <c r="J9" s="4" t="s">
        <v>573</v>
      </c>
      <c r="K9" s="2">
        <v>26397</v>
      </c>
      <c r="AC9">
        <v>7</v>
      </c>
      <c r="AD9">
        <v>974.09999999999991</v>
      </c>
    </row>
    <row r="10" spans="1:30" x14ac:dyDescent="0.25">
      <c r="G10" s="4" t="s">
        <v>109</v>
      </c>
      <c r="H10" s="2">
        <v>28</v>
      </c>
      <c r="J10" s="4" t="s">
        <v>392</v>
      </c>
      <c r="K10" s="2">
        <v>26071</v>
      </c>
      <c r="AC10">
        <v>8</v>
      </c>
      <c r="AD10">
        <v>711.49999999999989</v>
      </c>
    </row>
    <row r="11" spans="1:30" x14ac:dyDescent="0.25">
      <c r="G11" s="4" t="s">
        <v>102</v>
      </c>
      <c r="H11" s="2">
        <v>28</v>
      </c>
      <c r="J11" s="4" t="s">
        <v>568</v>
      </c>
      <c r="K11" s="2">
        <v>25728</v>
      </c>
      <c r="AC11">
        <v>9</v>
      </c>
      <c r="AD11">
        <v>1283.7000000000003</v>
      </c>
    </row>
    <row r="12" spans="1:30" x14ac:dyDescent="0.25">
      <c r="G12" s="4" t="s">
        <v>52</v>
      </c>
      <c r="H12" s="2">
        <v>28</v>
      </c>
      <c r="J12" s="4" t="s">
        <v>1057</v>
      </c>
      <c r="K12" s="2">
        <v>24936</v>
      </c>
      <c r="AC12">
        <v>10</v>
      </c>
      <c r="AD12">
        <v>1091.8999999999996</v>
      </c>
    </row>
    <row r="13" spans="1:30" x14ac:dyDescent="0.25">
      <c r="G13" s="4" t="s">
        <v>104</v>
      </c>
      <c r="H13" s="2">
        <v>28</v>
      </c>
      <c r="J13" s="4" t="s">
        <v>1910</v>
      </c>
      <c r="K13" s="2">
        <v>288028</v>
      </c>
      <c r="AC13">
        <v>11</v>
      </c>
      <c r="AD13">
        <v>669.00000000000023</v>
      </c>
    </row>
    <row r="14" spans="1:30" x14ac:dyDescent="0.25">
      <c r="G14" s="4" t="s">
        <v>55</v>
      </c>
      <c r="H14" s="2">
        <v>28</v>
      </c>
      <c r="AC14">
        <v>12</v>
      </c>
      <c r="AD14">
        <v>539.30000000000007</v>
      </c>
    </row>
    <row r="15" spans="1:30" x14ac:dyDescent="0.25">
      <c r="G15" s="4" t="s">
        <v>49</v>
      </c>
      <c r="H15" s="2">
        <v>27</v>
      </c>
      <c r="AC15">
        <v>13</v>
      </c>
      <c r="AD15">
        <v>904.00000000000011</v>
      </c>
    </row>
    <row r="16" spans="1:30" x14ac:dyDescent="0.25">
      <c r="G16" s="4" t="s">
        <v>127</v>
      </c>
      <c r="H16" s="2">
        <v>27</v>
      </c>
      <c r="AC16">
        <v>14</v>
      </c>
      <c r="AD16">
        <v>497.8</v>
      </c>
    </row>
    <row r="17" spans="7:30" x14ac:dyDescent="0.25">
      <c r="G17" s="4" t="s">
        <v>138</v>
      </c>
      <c r="H17" s="2">
        <v>26</v>
      </c>
      <c r="AC17">
        <v>15</v>
      </c>
      <c r="AD17">
        <v>746</v>
      </c>
    </row>
    <row r="18" spans="7:30" x14ac:dyDescent="0.25">
      <c r="G18" s="4" t="s">
        <v>28</v>
      </c>
      <c r="H18" s="2">
        <v>26</v>
      </c>
      <c r="AC18">
        <v>16</v>
      </c>
      <c r="AD18">
        <v>506.80000000000013</v>
      </c>
    </row>
    <row r="19" spans="7:30" x14ac:dyDescent="0.25">
      <c r="G19" s="4" t="s">
        <v>90</v>
      </c>
      <c r="H19" s="2">
        <v>25</v>
      </c>
      <c r="AC19">
        <v>17</v>
      </c>
      <c r="AD19">
        <v>545.00000000000011</v>
      </c>
    </row>
    <row r="20" spans="7:30" x14ac:dyDescent="0.25">
      <c r="G20" s="4" t="s">
        <v>70</v>
      </c>
      <c r="H20" s="2">
        <v>24</v>
      </c>
      <c r="AC20">
        <v>18</v>
      </c>
      <c r="AD20">
        <v>552.5</v>
      </c>
    </row>
    <row r="21" spans="7:30" x14ac:dyDescent="0.25">
      <c r="G21" s="4" t="s">
        <v>75</v>
      </c>
      <c r="H21" s="2">
        <v>24</v>
      </c>
      <c r="AC21">
        <v>19</v>
      </c>
      <c r="AD21">
        <v>500.00000000000006</v>
      </c>
    </row>
    <row r="22" spans="7:30" x14ac:dyDescent="0.25">
      <c r="G22" s="4" t="s">
        <v>43</v>
      </c>
      <c r="H22" s="2">
        <v>23</v>
      </c>
      <c r="AC22">
        <v>20</v>
      </c>
      <c r="AD22">
        <v>391.40000000000003</v>
      </c>
    </row>
    <row r="23" spans="7:30" x14ac:dyDescent="0.25">
      <c r="G23" s="4" t="s">
        <v>395</v>
      </c>
      <c r="H23" s="2">
        <v>22</v>
      </c>
      <c r="AC23">
        <v>21</v>
      </c>
      <c r="AD23">
        <v>644.29999999999984</v>
      </c>
    </row>
    <row r="24" spans="7:30" x14ac:dyDescent="0.25">
      <c r="G24" s="4" t="s">
        <v>31</v>
      </c>
      <c r="H24" s="2">
        <v>21</v>
      </c>
      <c r="AC24">
        <v>22</v>
      </c>
      <c r="AD24">
        <v>395.09999999999997</v>
      </c>
    </row>
    <row r="25" spans="7:30" x14ac:dyDescent="0.25">
      <c r="G25" s="4" t="s">
        <v>82</v>
      </c>
      <c r="H25" s="2">
        <v>20</v>
      </c>
      <c r="AC25">
        <v>23</v>
      </c>
      <c r="AD25">
        <v>521.9</v>
      </c>
    </row>
    <row r="26" spans="7:30" x14ac:dyDescent="0.25">
      <c r="G26" s="4" t="s">
        <v>85</v>
      </c>
      <c r="H26" s="2">
        <v>20</v>
      </c>
      <c r="AC26">
        <v>24</v>
      </c>
      <c r="AD26">
        <v>699.40000000000032</v>
      </c>
    </row>
    <row r="27" spans="7:30" x14ac:dyDescent="0.25">
      <c r="G27" s="4" t="s">
        <v>22</v>
      </c>
      <c r="H27" s="2">
        <v>19</v>
      </c>
      <c r="AC27">
        <v>25</v>
      </c>
      <c r="AD27">
        <v>380.10000000000008</v>
      </c>
    </row>
    <row r="28" spans="7:30" x14ac:dyDescent="0.25">
      <c r="G28" s="4" t="s">
        <v>149</v>
      </c>
      <c r="H28" s="2">
        <v>18</v>
      </c>
      <c r="AC28">
        <v>26</v>
      </c>
      <c r="AD28">
        <v>465.09999999999997</v>
      </c>
    </row>
    <row r="29" spans="7:30" x14ac:dyDescent="0.25">
      <c r="G29" s="4" t="s">
        <v>65</v>
      </c>
      <c r="H29" s="2">
        <v>18</v>
      </c>
      <c r="AC29">
        <v>27</v>
      </c>
      <c r="AD29">
        <v>475.69999999999993</v>
      </c>
    </row>
    <row r="30" spans="7:30" x14ac:dyDescent="0.25">
      <c r="G30" s="4" t="s">
        <v>393</v>
      </c>
      <c r="H30" s="2">
        <v>18</v>
      </c>
      <c r="AC30">
        <v>28</v>
      </c>
      <c r="AD30">
        <v>371.7</v>
      </c>
    </row>
    <row r="31" spans="7:30" x14ac:dyDescent="0.25">
      <c r="G31" s="4" t="s">
        <v>46</v>
      </c>
      <c r="H31" s="2">
        <v>17</v>
      </c>
      <c r="AC31">
        <v>29</v>
      </c>
      <c r="AD31">
        <v>330.40000000000009</v>
      </c>
    </row>
    <row r="32" spans="7:30" x14ac:dyDescent="0.25">
      <c r="G32" s="4" t="s">
        <v>863</v>
      </c>
      <c r="H32" s="2">
        <v>12</v>
      </c>
      <c r="AC32">
        <v>30</v>
      </c>
      <c r="AD32">
        <v>413.40000000000003</v>
      </c>
    </row>
    <row r="33" spans="7:30" x14ac:dyDescent="0.25">
      <c r="G33" s="4" t="s">
        <v>1910</v>
      </c>
      <c r="H33" s="2">
        <v>751</v>
      </c>
      <c r="AC33">
        <v>31</v>
      </c>
      <c r="AD33">
        <v>256.20000000000005</v>
      </c>
    </row>
    <row r="34" spans="7:30" x14ac:dyDescent="0.25">
      <c r="AC34">
        <v>32</v>
      </c>
      <c r="AD34">
        <v>240.60000000000002</v>
      </c>
    </row>
    <row r="35" spans="7:30" x14ac:dyDescent="0.25">
      <c r="AC35">
        <v>33</v>
      </c>
      <c r="AD35">
        <v>220.6</v>
      </c>
    </row>
    <row r="36" spans="7:30" x14ac:dyDescent="0.25">
      <c r="AC36">
        <v>34</v>
      </c>
      <c r="AD36">
        <v>180.50000000000003</v>
      </c>
    </row>
    <row r="37" spans="7:30" x14ac:dyDescent="0.25">
      <c r="AC37">
        <v>35</v>
      </c>
      <c r="AD37">
        <v>376.59999999999997</v>
      </c>
    </row>
    <row r="38" spans="7:30" x14ac:dyDescent="0.25">
      <c r="AC38">
        <v>36</v>
      </c>
      <c r="AD38">
        <v>155.70000000000002</v>
      </c>
    </row>
    <row r="39" spans="7:30" x14ac:dyDescent="0.25">
      <c r="AC39">
        <v>37</v>
      </c>
      <c r="AD39">
        <v>268.39999999999992</v>
      </c>
    </row>
    <row r="40" spans="7:30" x14ac:dyDescent="0.25">
      <c r="AC40">
        <v>38</v>
      </c>
      <c r="AD40">
        <v>237.50000000000006</v>
      </c>
    </row>
    <row r="41" spans="7:30" x14ac:dyDescent="0.25">
      <c r="AC41">
        <v>39</v>
      </c>
      <c r="AD41">
        <v>190.1</v>
      </c>
    </row>
    <row r="42" spans="7:30" x14ac:dyDescent="0.25">
      <c r="AC42">
        <v>40</v>
      </c>
      <c r="AD42">
        <v>201.50000000000006</v>
      </c>
    </row>
    <row r="43" spans="7:30" x14ac:dyDescent="0.25">
      <c r="AC43">
        <v>41</v>
      </c>
      <c r="AD43">
        <v>231.79999999999998</v>
      </c>
    </row>
    <row r="44" spans="7:30" x14ac:dyDescent="0.25">
      <c r="AC44">
        <v>42</v>
      </c>
      <c r="AD44">
        <v>241.20000000000002</v>
      </c>
    </row>
    <row r="45" spans="7:30" x14ac:dyDescent="0.25">
      <c r="AC45">
        <v>43</v>
      </c>
      <c r="AD45">
        <v>270.19999999999993</v>
      </c>
    </row>
    <row r="46" spans="7:30" x14ac:dyDescent="0.25">
      <c r="AC46">
        <v>44</v>
      </c>
      <c r="AD46">
        <v>95.300000000000011</v>
      </c>
    </row>
    <row r="47" spans="7:30" x14ac:dyDescent="0.25">
      <c r="AC47">
        <v>45</v>
      </c>
      <c r="AD47">
        <v>358.70000000000005</v>
      </c>
    </row>
    <row r="48" spans="7:30" x14ac:dyDescent="0.25">
      <c r="AC48">
        <v>46</v>
      </c>
      <c r="AD48">
        <v>200.6</v>
      </c>
    </row>
    <row r="49" spans="29:30" x14ac:dyDescent="0.25">
      <c r="AC49">
        <v>47</v>
      </c>
      <c r="AD49">
        <v>244.29999999999998</v>
      </c>
    </row>
    <row r="50" spans="29:30" x14ac:dyDescent="0.25">
      <c r="AC50">
        <v>48</v>
      </c>
      <c r="AD50">
        <v>171.7</v>
      </c>
    </row>
    <row r="51" spans="29:30" x14ac:dyDescent="0.25">
      <c r="AC51">
        <v>49</v>
      </c>
      <c r="AD51">
        <v>91.9</v>
      </c>
    </row>
    <row r="52" spans="29:30" x14ac:dyDescent="0.25">
      <c r="AC52">
        <v>50</v>
      </c>
      <c r="AD52">
        <v>93.3</v>
      </c>
    </row>
    <row r="53" spans="29:30" x14ac:dyDescent="0.25">
      <c r="AC53">
        <v>51</v>
      </c>
      <c r="AD53">
        <v>114.60000000000001</v>
      </c>
    </row>
    <row r="54" spans="29:30" x14ac:dyDescent="0.25">
      <c r="AC54">
        <v>52</v>
      </c>
      <c r="AD54">
        <v>53.599999999999994</v>
      </c>
    </row>
    <row r="55" spans="29:30" x14ac:dyDescent="0.25">
      <c r="AC55">
        <v>53</v>
      </c>
      <c r="AD55">
        <v>65.999999999999986</v>
      </c>
    </row>
    <row r="56" spans="29:30" x14ac:dyDescent="0.25">
      <c r="AC56">
        <v>54</v>
      </c>
      <c r="AD56">
        <v>59.300000000000011</v>
      </c>
    </row>
    <row r="57" spans="29:30" x14ac:dyDescent="0.25">
      <c r="AC57">
        <v>55</v>
      </c>
      <c r="AD57">
        <v>79.400000000000006</v>
      </c>
    </row>
    <row r="58" spans="29:30" x14ac:dyDescent="0.25">
      <c r="AC58">
        <v>56</v>
      </c>
      <c r="AD58">
        <v>135.09999999999997</v>
      </c>
    </row>
    <row r="59" spans="29:30" x14ac:dyDescent="0.25">
      <c r="AC59">
        <v>57</v>
      </c>
      <c r="AD59">
        <v>169</v>
      </c>
    </row>
    <row r="60" spans="29:30" x14ac:dyDescent="0.25">
      <c r="AC60">
        <v>58</v>
      </c>
      <c r="AD60">
        <v>25.6</v>
      </c>
    </row>
    <row r="61" spans="29:30" x14ac:dyDescent="0.25">
      <c r="AC61">
        <v>59</v>
      </c>
      <c r="AD61">
        <v>9.999999999999995E-2</v>
      </c>
    </row>
    <row r="62" spans="29:30" x14ac:dyDescent="0.25">
      <c r="AC62">
        <v>60</v>
      </c>
      <c r="AD62">
        <v>50.3</v>
      </c>
    </row>
  </sheetData>
  <pageMargins left="0.7" right="0.7" top="0.75" bottom="0.75" header="0.3" footer="0.3"/>
  <ignoredErrors>
    <ignoredError sqref="P3" calculatedColumn="1"/>
  </ignoredErrors>
  <tableParts count="5">
    <tablePart r:id="rId5"/>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8C844-5B05-4FAE-9CFC-D566BCAB42D0}">
  <dimension ref="D14"/>
  <sheetViews>
    <sheetView showGridLines="0" zoomScale="50" zoomScaleNormal="50" workbookViewId="0"/>
  </sheetViews>
  <sheetFormatPr defaultRowHeight="15" x14ac:dyDescent="0.25"/>
  <sheetData>
    <row r="14" spans="4:4" x14ac:dyDescent="0.25">
      <c r="D14" s="7"/>
    </row>
  </sheetData>
  <pageMargins left="0.7" right="0.7" top="0.75" bottom="0.75" header="0.3" footer="0.3"/>
  <drawing r:id="rId1"/>
  <pictur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245EB3-6C97-4849-835E-27C4509649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NBA_Dictionary</vt:lpstr>
      <vt:lpstr>NBA_Draft</vt:lpstr>
      <vt:lpstr>Executive Summary</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Divine Nwokedi</dc:creator>
  <cp:lastModifiedBy>HP</cp:lastModifiedBy>
  <dcterms:created xsi:type="dcterms:W3CDTF">2025-11-10T12:38:27Z</dcterms:created>
  <dcterms:modified xsi:type="dcterms:W3CDTF">2025-12-10T10:26:19Z</dcterms:modified>
</cp:coreProperties>
</file>